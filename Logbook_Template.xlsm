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Git\pilotlogbook\"/>
    </mc:Choice>
  </mc:AlternateContent>
  <xr:revisionPtr revIDLastSave="0" documentId="13_ncr:1_{B00084B2-B5AA-4F1D-B00E-C4C5114811A4}" xr6:coauthVersionLast="47" xr6:coauthVersionMax="47" xr10:uidLastSave="{00000000-0000-0000-0000-000000000000}"/>
  <bookViews>
    <workbookView xWindow="-108" yWindow="-108" windowWidth="23256" windowHeight="13896" xr2:uid="{9803C3A4-5341-4E18-9433-3DEC959F397C}"/>
  </bookViews>
  <sheets>
    <sheet name="Flights" sheetId="1" r:id="rId1"/>
    <sheet name="Totals" sheetId="7" r:id="rId2"/>
    <sheet name="Currencies" sheetId="3" r:id="rId3"/>
    <sheet name="Aircraft" sheetId="2" r:id="rId4"/>
    <sheet name="FAA 8710-1" sheetId="6" r:id="rId5"/>
    <sheet name="Setup" sheetId="8" r:id="rId6"/>
  </sheets>
  <definedNames>
    <definedName name="_xleta.ISBLANK" hidden="1" xlm="1">#NAME?</definedName>
    <definedName name="_xleta.RECEIVED" hidden="1" xlm="1">#NAME?</definedName>
    <definedName name="_xleta.SINGLE" hidden="1" xlm="1">#NAME?</definedName>
    <definedName name="_xleta.TIME" hidden="1" xlm="1">#NAME?</definedName>
    <definedName name="_xlpm.a" hidden="1" xlm="1">#NAME?</definedName>
    <definedName name="_xlpm.apprTotals" hidden="1" xlm="1">#NAME?</definedName>
    <definedName name="_xlpm.b" hidden="1" xlm="1">#NAME?</definedName>
    <definedName name="_xlpm.d" hidden="1" xlm="1">#NAME?</definedName>
    <definedName name="_xlpm.dates" hidden="1" xlm="1">#NAME?</definedName>
    <definedName name="_xlpm.gearType" hidden="1" xlm="1">#NAME?</definedName>
    <definedName name="_xlpm.holdTotals" hidden="1" xlm="1">#NAME?</definedName>
    <definedName name="_xlpm.ipcDate" hidden="1" xlm="1">#NAME?</definedName>
    <definedName name="_xlpm.mEngine" hidden="1" xlm="1">#NAME?</definedName>
    <definedName name="_xlpm.muEngine" hidden="1" xlm="1">#NAME?</definedName>
    <definedName name="_xlpm.mulEngine" hidden="1" xlm="1">#NAME?</definedName>
    <definedName name="_xlpm.multEngine" hidden="1" xlm="1">#NAME?</definedName>
    <definedName name="_xlpm.multiEngine" hidden="1" xlm="1">#NAME?</definedName>
    <definedName name="_xlpm.qualifyingDate" hidden="1" xlm="1">#NAME?</definedName>
    <definedName name="_xlpm.singleEngine" hidden="1" xlm="1">#NAME?</definedName>
    <definedName name="_xlpm.totals" hidden="1" xlm="1">#NAME?</definedName>
  </definedNames>
  <calcPr calcId="191029" calcMode="manual"/>
  <pivotCaches>
    <pivotCache cacheId="96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A4" i="1" l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D4" i="3"/>
  <c r="D3" i="3" s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5" i="1"/>
  <c r="AR6" i="1"/>
  <c r="AR4" i="1"/>
  <c r="I11" i="6"/>
  <c r="I7" i="6"/>
  <c r="I5" i="6"/>
  <c r="AE4" i="1"/>
  <c r="AS4" i="1" s="1"/>
  <c r="AT4" i="1"/>
  <c r="AE5" i="1"/>
  <c r="AS5" i="1" s="1"/>
  <c r="AT5" i="1"/>
  <c r="AE6" i="1"/>
  <c r="AS6" i="1" s="1"/>
  <c r="AT6" i="1"/>
  <c r="C21" i="7"/>
  <c r="R2" i="2"/>
  <c r="R3" i="2"/>
  <c r="R4" i="2"/>
  <c r="R5" i="2"/>
  <c r="R6" i="2"/>
  <c r="R7" i="2"/>
  <c r="P11" i="3"/>
  <c r="P7" i="3"/>
  <c r="E12" i="6"/>
  <c r="E11" i="6"/>
  <c r="E8" i="6"/>
  <c r="E7" i="6"/>
  <c r="E6" i="6"/>
  <c r="E5" i="6"/>
  <c r="Q12" i="6"/>
  <c r="O12" i="6"/>
  <c r="Q10" i="6"/>
  <c r="O10" i="6"/>
  <c r="R7" i="6"/>
  <c r="R8" i="6"/>
  <c r="O4" i="6"/>
  <c r="D11" i="6"/>
  <c r="D7" i="6"/>
  <c r="D5" i="6"/>
  <c r="C11" i="6"/>
  <c r="C7" i="6"/>
  <c r="C5" i="6"/>
  <c r="B11" i="6"/>
  <c r="B7" i="6"/>
  <c r="B5" i="6"/>
  <c r="M2" i="2"/>
  <c r="M3" i="2"/>
  <c r="M4" i="2"/>
  <c r="M5" i="2"/>
  <c r="M6" i="2"/>
  <c r="M7" i="2"/>
  <c r="H12" i="3" a="1"/>
  <c r="H11" i="3" s="1"/>
  <c r="H8" i="3" a="1"/>
  <c r="D12" i="3" a="1"/>
  <c r="D11" i="3" s="1"/>
  <c r="D8" i="3" a="1"/>
  <c r="D7" i="3" s="1"/>
  <c r="AF2" i="2"/>
  <c r="AF3" i="2"/>
  <c r="AF4" i="2"/>
  <c r="AF5" i="2"/>
  <c r="AF6" i="2"/>
  <c r="AF7" i="2"/>
  <c r="AG2" i="2"/>
  <c r="AG3" i="2"/>
  <c r="AG4" i="2"/>
  <c r="AG5" i="2"/>
  <c r="AG6" i="2"/>
  <c r="AG7" i="2"/>
  <c r="AH2" i="2"/>
  <c r="AH3" i="2"/>
  <c r="AH4" i="2"/>
  <c r="AH5" i="2"/>
  <c r="AH6" i="2"/>
  <c r="AH7" i="2"/>
  <c r="AI2" i="2"/>
  <c r="AI3" i="2"/>
  <c r="AI4" i="2"/>
  <c r="AI5" i="2"/>
  <c r="AI6" i="2"/>
  <c r="AI7" i="2"/>
  <c r="AJ2" i="2"/>
  <c r="AJ3" i="2"/>
  <c r="AJ4" i="2"/>
  <c r="AJ5" i="2"/>
  <c r="AJ6" i="2"/>
  <c r="AJ7" i="2"/>
  <c r="AK2" i="2"/>
  <c r="AK3" i="2"/>
  <c r="AK4" i="2"/>
  <c r="AK5" i="2"/>
  <c r="AK6" i="2"/>
  <c r="AK7" i="2"/>
  <c r="AL2" i="2"/>
  <c r="AL3" i="2"/>
  <c r="AL4" i="2"/>
  <c r="AL5" i="2"/>
  <c r="AL6" i="2"/>
  <c r="AL7" i="2"/>
  <c r="AD2" i="2"/>
  <c r="AD3" i="2"/>
  <c r="AD4" i="2"/>
  <c r="AD5" i="2"/>
  <c r="AD6" i="2"/>
  <c r="AD7" i="2"/>
  <c r="AC3" i="2"/>
  <c r="AC4" i="2"/>
  <c r="AC5" i="2"/>
  <c r="AC6" i="2"/>
  <c r="AB2" i="2"/>
  <c r="AB3" i="2"/>
  <c r="AB4" i="2"/>
  <c r="AB5" i="2"/>
  <c r="AB6" i="2"/>
  <c r="AB7" i="2"/>
  <c r="AA2" i="2"/>
  <c r="AA3" i="2"/>
  <c r="AA4" i="2"/>
  <c r="AA5" i="2"/>
  <c r="AA6" i="2"/>
  <c r="AA7" i="2"/>
  <c r="Z2" i="2"/>
  <c r="Z3" i="2"/>
  <c r="Z4" i="2"/>
  <c r="Z5" i="2"/>
  <c r="Z6" i="2"/>
  <c r="Z7" i="2"/>
  <c r="Y2" i="2"/>
  <c r="Y3" i="2"/>
  <c r="Y4" i="2"/>
  <c r="Y5" i="2"/>
  <c r="Y6" i="2"/>
  <c r="Y7" i="2"/>
  <c r="X2" i="2"/>
  <c r="X3" i="2"/>
  <c r="X4" i="2"/>
  <c r="X5" i="2"/>
  <c r="X6" i="2"/>
  <c r="X7" i="2"/>
  <c r="W2" i="2"/>
  <c r="W3" i="2"/>
  <c r="W4" i="2"/>
  <c r="W5" i="2"/>
  <c r="W6" i="2"/>
  <c r="W7" i="2"/>
  <c r="V2" i="2"/>
  <c r="V3" i="2"/>
  <c r="V4" i="2"/>
  <c r="V5" i="2"/>
  <c r="V6" i="2"/>
  <c r="V7" i="2"/>
  <c r="U2" i="2"/>
  <c r="U3" i="2"/>
  <c r="U4" i="2"/>
  <c r="U5" i="2"/>
  <c r="U6" i="2"/>
  <c r="U7" i="2"/>
  <c r="T2" i="2"/>
  <c r="T3" i="2"/>
  <c r="T4" i="2"/>
  <c r="T5" i="2"/>
  <c r="T6" i="2"/>
  <c r="T7" i="2"/>
  <c r="S2" i="2"/>
  <c r="S3" i="2"/>
  <c r="S4" i="2"/>
  <c r="S5" i="2"/>
  <c r="S6" i="2"/>
  <c r="S7" i="2"/>
  <c r="Q2" i="2"/>
  <c r="Q3" i="2"/>
  <c r="Q4" i="2"/>
  <c r="Q5" i="2"/>
  <c r="Q6" i="2"/>
  <c r="Q7" i="2"/>
  <c r="O2" i="2"/>
  <c r="O3" i="2"/>
  <c r="O4" i="2"/>
  <c r="O5" i="2"/>
  <c r="O6" i="2"/>
  <c r="O7" i="2"/>
  <c r="P2" i="2"/>
  <c r="P3" i="2"/>
  <c r="P4" i="2"/>
  <c r="P5" i="2"/>
  <c r="N2" i="2"/>
  <c r="F19" i="7"/>
  <c r="F12" i="7"/>
  <c r="N3" i="2"/>
  <c r="N4" i="2"/>
  <c r="N5" i="2"/>
  <c r="N6" i="2"/>
  <c r="N7" i="2"/>
  <c r="F11" i="7" s="1"/>
  <c r="C19" i="7"/>
  <c r="C18" i="7"/>
  <c r="C17" i="7"/>
  <c r="C16" i="7"/>
  <c r="C15" i="7"/>
  <c r="S19" i="3"/>
  <c r="S18" i="3"/>
  <c r="S17" i="3"/>
  <c r="S16" i="3"/>
  <c r="S15" i="3"/>
  <c r="B33" i="3"/>
  <c r="AE7" i="1"/>
  <c r="AS7" i="1" s="1"/>
  <c r="AT7" i="1"/>
  <c r="AE8" i="1"/>
  <c r="AT8" i="1"/>
  <c r="AE9" i="1"/>
  <c r="AS9" i="1" s="1"/>
  <c r="AT9" i="1"/>
  <c r="AE10" i="1"/>
  <c r="AS10" i="1" s="1"/>
  <c r="AT10" i="1"/>
  <c r="AE11" i="1"/>
  <c r="AS11" i="1" s="1"/>
  <c r="AT11" i="1"/>
  <c r="AE12" i="1"/>
  <c r="AS12" i="1" s="1"/>
  <c r="AT12" i="1"/>
  <c r="AE13" i="1"/>
  <c r="AS13" i="1" s="1"/>
  <c r="AT13" i="1"/>
  <c r="AE14" i="1"/>
  <c r="AS14" i="1" s="1"/>
  <c r="AT14" i="1"/>
  <c r="AE15" i="1"/>
  <c r="AS15" i="1" s="1"/>
  <c r="AT15" i="1"/>
  <c r="AE16" i="1"/>
  <c r="AS16" i="1" s="1"/>
  <c r="AT16" i="1"/>
  <c r="AE17" i="1"/>
  <c r="AS17" i="1" s="1"/>
  <c r="AT17" i="1"/>
  <c r="AE18" i="1"/>
  <c r="AS18" i="1" s="1"/>
  <c r="AT18" i="1"/>
  <c r="AE19" i="1"/>
  <c r="AS19" i="1" s="1"/>
  <c r="AT19" i="1"/>
  <c r="AE20" i="1"/>
  <c r="AS20" i="1" s="1"/>
  <c r="AT20" i="1"/>
  <c r="P10" i="3"/>
  <c r="P9" i="3"/>
  <c r="P8" i="3" s="1"/>
  <c r="P6" i="3"/>
  <c r="L3" i="3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E21" i="1"/>
  <c r="AS21" i="1" s="1"/>
  <c r="AE22" i="1"/>
  <c r="AS22" i="1" s="1"/>
  <c r="AE23" i="1"/>
  <c r="AS23" i="1" s="1"/>
  <c r="AE24" i="1"/>
  <c r="AS24" i="1" s="1"/>
  <c r="AE25" i="1"/>
  <c r="AS25" i="1" s="1"/>
  <c r="AE26" i="1"/>
  <c r="AS26" i="1" s="1"/>
  <c r="AE27" i="1"/>
  <c r="AS27" i="1" s="1"/>
  <c r="AE28" i="1"/>
  <c r="AS28" i="1" s="1"/>
  <c r="AE29" i="1"/>
  <c r="AS29" i="1" s="1"/>
  <c r="AE30" i="1"/>
  <c r="AS30" i="1" s="1"/>
  <c r="AE31" i="1"/>
  <c r="AS31" i="1" s="1"/>
  <c r="AE32" i="1"/>
  <c r="AS32" i="1" s="1"/>
  <c r="AE33" i="1"/>
  <c r="AS33" i="1" s="1"/>
  <c r="AE34" i="1"/>
  <c r="AS34" i="1" s="1"/>
  <c r="AE35" i="1"/>
  <c r="AS35" i="1" s="1"/>
  <c r="AE36" i="1"/>
  <c r="AS36" i="1" s="1"/>
  <c r="AE37" i="1"/>
  <c r="AS37" i="1" s="1"/>
  <c r="AE38" i="1"/>
  <c r="AS38" i="1" s="1"/>
  <c r="AE39" i="1"/>
  <c r="AS39" i="1" s="1"/>
  <c r="AE40" i="1"/>
  <c r="AS40" i="1" s="1"/>
  <c r="AE41" i="1"/>
  <c r="AS41" i="1" s="1"/>
  <c r="AE42" i="1"/>
  <c r="AS42" i="1" s="1"/>
  <c r="AE43" i="1"/>
  <c r="AS43" i="1" s="1"/>
  <c r="AE44" i="1"/>
  <c r="AS44" i="1" s="1"/>
  <c r="AE45" i="1"/>
  <c r="AS45" i="1" s="1"/>
  <c r="AE46" i="1"/>
  <c r="AS46" i="1" s="1"/>
  <c r="AE47" i="1"/>
  <c r="AS47" i="1" s="1"/>
  <c r="AE48" i="1"/>
  <c r="AS48" i="1" s="1"/>
  <c r="AE49" i="1"/>
  <c r="AS49" i="1" s="1"/>
  <c r="AE50" i="1"/>
  <c r="AS50" i="1" s="1"/>
  <c r="AE51" i="1"/>
  <c r="AS51" i="1" s="1"/>
  <c r="AE52" i="1"/>
  <c r="AE53" i="1"/>
  <c r="AS53" i="1" s="1"/>
  <c r="AE54" i="1"/>
  <c r="AS54" i="1" s="1"/>
  <c r="AE55" i="1"/>
  <c r="AS55" i="1" s="1"/>
  <c r="AE56" i="1"/>
  <c r="AS56" i="1" s="1"/>
  <c r="AE57" i="1"/>
  <c r="AS57" i="1" s="1"/>
  <c r="AE58" i="1"/>
  <c r="AS58" i="1" s="1"/>
  <c r="AE59" i="1"/>
  <c r="AS59" i="1" s="1"/>
  <c r="AE60" i="1"/>
  <c r="AS60" i="1" s="1"/>
  <c r="AE61" i="1"/>
  <c r="AS61" i="1" s="1"/>
  <c r="AE62" i="1"/>
  <c r="AS62" i="1" s="1"/>
  <c r="AE63" i="1"/>
  <c r="AS63" i="1" s="1"/>
  <c r="AE64" i="1"/>
  <c r="AS64" i="1" s="1"/>
  <c r="AE65" i="1"/>
  <c r="AS65" i="1" s="1"/>
  <c r="AE66" i="1"/>
  <c r="AS66" i="1" s="1"/>
  <c r="AE67" i="1"/>
  <c r="AS67" i="1" s="1"/>
  <c r="AE68" i="1"/>
  <c r="AS68" i="1" s="1"/>
  <c r="AE69" i="1"/>
  <c r="AS69" i="1" s="1"/>
  <c r="AE70" i="1"/>
  <c r="AS70" i="1" s="1"/>
  <c r="AE71" i="1"/>
  <c r="AS71" i="1" s="1"/>
  <c r="AE72" i="1"/>
  <c r="AS72" i="1" s="1"/>
  <c r="AE73" i="1"/>
  <c r="AS73" i="1" s="1"/>
  <c r="AE74" i="1"/>
  <c r="AS74" i="1" s="1"/>
  <c r="AE75" i="1"/>
  <c r="AS75" i="1" s="1"/>
  <c r="AE76" i="1"/>
  <c r="AS76" i="1" s="1"/>
  <c r="AE77" i="1"/>
  <c r="AS77" i="1" s="1"/>
  <c r="AE78" i="1"/>
  <c r="AS78" i="1" s="1"/>
  <c r="AE79" i="1"/>
  <c r="AS79" i="1" s="1"/>
  <c r="AE80" i="1"/>
  <c r="AS80" i="1" s="1"/>
  <c r="AE81" i="1"/>
  <c r="AS81" i="1" s="1"/>
  <c r="AE82" i="1"/>
  <c r="AS82" i="1" s="1"/>
  <c r="AE83" i="1"/>
  <c r="AS83" i="1" s="1"/>
  <c r="AE84" i="1"/>
  <c r="AS84" i="1" s="1"/>
  <c r="AE85" i="1"/>
  <c r="AS85" i="1" s="1"/>
  <c r="AE86" i="1"/>
  <c r="AS86" i="1" s="1"/>
  <c r="AE87" i="1"/>
  <c r="AS87" i="1" s="1"/>
  <c r="AE88" i="1"/>
  <c r="AS88" i="1" s="1"/>
  <c r="AE89" i="1"/>
  <c r="AS89" i="1" s="1"/>
  <c r="AE90" i="1"/>
  <c r="AE91" i="1"/>
  <c r="AE92" i="1"/>
  <c r="AS92" i="1" s="1"/>
  <c r="AE93" i="1"/>
  <c r="AS93" i="1" s="1"/>
  <c r="AE94" i="1"/>
  <c r="AE95" i="1"/>
  <c r="AE96" i="1"/>
  <c r="AS96" i="1" s="1"/>
  <c r="AE97" i="1"/>
  <c r="AE98" i="1"/>
  <c r="AS98" i="1" s="1"/>
  <c r="AE99" i="1"/>
  <c r="AE100" i="1"/>
  <c r="AE101" i="1"/>
  <c r="AS101" i="1" s="1"/>
  <c r="AE102" i="1"/>
  <c r="AS102" i="1" s="1"/>
  <c r="AE103" i="1"/>
  <c r="AS103" i="1" s="1"/>
  <c r="AE104" i="1"/>
  <c r="AS104" i="1" s="1"/>
  <c r="AE105" i="1"/>
  <c r="AS105" i="1" s="1"/>
  <c r="AE106" i="1"/>
  <c r="AS106" i="1" s="1"/>
  <c r="AE107" i="1"/>
  <c r="AS107" i="1" s="1"/>
  <c r="AE108" i="1"/>
  <c r="AS108" i="1" s="1"/>
  <c r="AE109" i="1"/>
  <c r="AS109" i="1" s="1"/>
  <c r="AE110" i="1"/>
  <c r="AS110" i="1" s="1"/>
  <c r="AE111" i="1"/>
  <c r="AS111" i="1" s="1"/>
  <c r="AE112" i="1"/>
  <c r="AS112" i="1" s="1"/>
  <c r="AE113" i="1"/>
  <c r="AS113" i="1" s="1"/>
  <c r="AE114" i="1"/>
  <c r="AS114" i="1" s="1"/>
  <c r="AE115" i="1"/>
  <c r="AS115" i="1" s="1"/>
  <c r="AE116" i="1"/>
  <c r="AS116" i="1" s="1"/>
  <c r="AE117" i="1"/>
  <c r="AS117" i="1" s="1"/>
  <c r="AE118" i="1"/>
  <c r="AS118" i="1" s="1"/>
  <c r="AE119" i="1"/>
  <c r="AS119" i="1" s="1"/>
  <c r="AE120" i="1"/>
  <c r="AS120" i="1" s="1"/>
  <c r="AE121" i="1"/>
  <c r="AE122" i="1"/>
  <c r="AS122" i="1" s="1"/>
  <c r="AE123" i="1"/>
  <c r="AS123" i="1" s="1"/>
  <c r="AE124" i="1"/>
  <c r="AS124" i="1" s="1"/>
  <c r="AE125" i="1"/>
  <c r="AS125" i="1" s="1"/>
  <c r="AE126" i="1"/>
  <c r="AS126" i="1" s="1"/>
  <c r="AE127" i="1"/>
  <c r="AS127" i="1" s="1"/>
  <c r="AE128" i="1"/>
  <c r="AS128" i="1" s="1"/>
  <c r="AE129" i="1"/>
  <c r="AS129" i="1" s="1"/>
  <c r="AE130" i="1"/>
  <c r="AS130" i="1" s="1"/>
  <c r="AE131" i="1"/>
  <c r="AS131" i="1" s="1"/>
  <c r="AE132" i="1"/>
  <c r="AS132" i="1" s="1"/>
  <c r="AE133" i="1"/>
  <c r="AS133" i="1" s="1"/>
  <c r="AE134" i="1"/>
  <c r="AE135" i="1"/>
  <c r="AS135" i="1" s="1"/>
  <c r="AE136" i="1"/>
  <c r="AS136" i="1" s="1"/>
  <c r="AE137" i="1"/>
  <c r="AS137" i="1" s="1"/>
  <c r="AE138" i="1"/>
  <c r="AS138" i="1" s="1"/>
  <c r="AE139" i="1"/>
  <c r="AS139" i="1" s="1"/>
  <c r="AE140" i="1"/>
  <c r="AS140" i="1" s="1"/>
  <c r="AE141" i="1"/>
  <c r="AS141" i="1" s="1"/>
  <c r="AE142" i="1"/>
  <c r="AS142" i="1" s="1"/>
  <c r="AE143" i="1"/>
  <c r="AS143" i="1" s="1"/>
  <c r="AE144" i="1"/>
  <c r="AS144" i="1" s="1"/>
  <c r="AE145" i="1"/>
  <c r="AS145" i="1" s="1"/>
  <c r="AE146" i="1"/>
  <c r="AS146" i="1" s="1"/>
  <c r="AE147" i="1"/>
  <c r="AS147" i="1" s="1"/>
  <c r="AE148" i="1"/>
  <c r="AS148" i="1" s="1"/>
  <c r="K83" i="1"/>
  <c r="K84" i="1"/>
  <c r="K85" i="1"/>
  <c r="K86" i="1"/>
  <c r="K87" i="1"/>
  <c r="K88" i="1"/>
  <c r="K89" i="1"/>
  <c r="K90" i="1"/>
  <c r="K91" i="1"/>
  <c r="K82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23" i="1"/>
  <c r="P7" i="2" l="1"/>
  <c r="G5" i="6"/>
  <c r="F5" i="6"/>
  <c r="F11" i="6"/>
  <c r="F7" i="6"/>
  <c r="F9" i="6"/>
  <c r="G3" i="6"/>
  <c r="F3" i="6"/>
  <c r="L12" i="6"/>
  <c r="L11" i="6"/>
  <c r="L8" i="6"/>
  <c r="L7" i="6"/>
  <c r="L6" i="6"/>
  <c r="L5" i="6"/>
  <c r="L4" i="6"/>
  <c r="L3" i="6"/>
  <c r="M6" i="6"/>
  <c r="M5" i="6"/>
  <c r="M7" i="6"/>
  <c r="M8" i="6"/>
  <c r="M11" i="6"/>
  <c r="M12" i="6"/>
  <c r="M4" i="6"/>
  <c r="M3" i="6"/>
  <c r="K11" i="6"/>
  <c r="K7" i="6"/>
  <c r="K5" i="6"/>
  <c r="K3" i="6"/>
  <c r="J11" i="6"/>
  <c r="J7" i="6"/>
  <c r="J5" i="6"/>
  <c r="J3" i="6"/>
  <c r="H12" i="6"/>
  <c r="H6" i="6"/>
  <c r="H11" i="6"/>
  <c r="H7" i="6"/>
  <c r="H4" i="6"/>
  <c r="H8" i="6"/>
  <c r="H5" i="6"/>
  <c r="G11" i="6"/>
  <c r="G9" i="6"/>
  <c r="G7" i="6"/>
  <c r="H3" i="6"/>
  <c r="D9" i="6"/>
  <c r="I3" i="6"/>
  <c r="I9" i="6"/>
  <c r="C22" i="7" a="1"/>
  <c r="C23" i="7" a="1"/>
  <c r="E10" i="6"/>
  <c r="B9" i="6"/>
  <c r="D3" i="6"/>
  <c r="O3" i="6"/>
  <c r="C3" i="6"/>
  <c r="C9" i="6"/>
  <c r="Q8" i="6"/>
  <c r="P8" i="6"/>
  <c r="E9" i="6"/>
  <c r="P7" i="6"/>
  <c r="Q7" i="6"/>
  <c r="E4" i="6"/>
  <c r="O8" i="6"/>
  <c r="E3" i="6"/>
  <c r="O7" i="6"/>
  <c r="B3" i="6"/>
  <c r="F8" i="7"/>
  <c r="F13" i="7"/>
  <c r="F10" i="7"/>
  <c r="F9" i="7"/>
  <c r="F17" i="7"/>
  <c r="F16" i="7"/>
  <c r="F15" i="7"/>
  <c r="AC2" i="2"/>
  <c r="P6" i="2"/>
  <c r="AS52" i="1"/>
  <c r="AE6" i="2"/>
  <c r="AS90" i="1"/>
  <c r="AS91" i="1"/>
  <c r="AS94" i="1"/>
  <c r="AS95" i="1"/>
  <c r="AS97" i="1"/>
  <c r="AS99" i="1"/>
  <c r="AS100" i="1"/>
  <c r="AS121" i="1"/>
  <c r="AS134" i="1"/>
  <c r="AE4" i="2"/>
  <c r="AC7" i="2"/>
  <c r="AE3" i="2"/>
  <c r="AE5" i="2"/>
  <c r="AS8" i="1"/>
  <c r="AE7" i="2"/>
  <c r="AE2" i="2"/>
  <c r="C3" i="7"/>
  <c r="F5" i="7"/>
  <c r="C4" i="7"/>
  <c r="C13" i="7"/>
  <c r="C10" i="7"/>
  <c r="C11" i="7"/>
  <c r="F7" i="7"/>
  <c r="F3" i="7"/>
  <c r="C8" i="7"/>
  <c r="C12" i="7"/>
  <c r="C5" i="7"/>
  <c r="C9" i="7"/>
  <c r="F6" i="7"/>
  <c r="F4" i="7"/>
  <c r="H7" i="3"/>
  <c r="L8" i="3" a="1"/>
  <c r="L7" i="3" s="1"/>
  <c r="F18" i="7"/>
  <c r="H4" i="3" a="1"/>
  <c r="H3" i="3" s="1"/>
  <c r="B34" i="3"/>
  <c r="C33" i="3"/>
  <c r="C6" i="7" l="1"/>
  <c r="C7" i="7"/>
  <c r="B35" i="3"/>
  <c r="C34" i="3"/>
  <c r="C35" i="3" l="1"/>
  <c r="B36" i="3"/>
  <c r="C36" i="3" l="1"/>
  <c r="B37" i="3"/>
  <c r="C37" i="3" l="1"/>
  <c r="B38" i="3"/>
  <c r="C38" i="3" l="1"/>
  <c r="B39" i="3"/>
  <c r="C39" i="3" l="1"/>
  <c r="B40" i="3"/>
  <c r="C40" i="3" l="1"/>
  <c r="B41" i="3"/>
  <c r="C41" i="3" l="1"/>
  <c r="B42" i="3"/>
  <c r="C42" i="3" l="1"/>
  <c r="B43" i="3"/>
  <c r="C43" i="3" l="1"/>
  <c r="B44" i="3"/>
  <c r="C44" i="3" l="1"/>
  <c r="B45" i="3"/>
  <c r="C45" i="3" l="1"/>
  <c r="B46" i="3"/>
  <c r="C46" i="3" l="1"/>
  <c r="B47" i="3"/>
  <c r="C47" i="3" l="1"/>
  <c r="B48" i="3"/>
  <c r="C48" i="3" l="1"/>
  <c r="B49" i="3"/>
  <c r="C49" i="3" l="1"/>
  <c r="B50" i="3"/>
  <c r="C50" i="3" l="1"/>
  <c r="B51" i="3"/>
  <c r="C51" i="3" l="1"/>
  <c r="B52" i="3"/>
  <c r="C52" i="3" l="1"/>
  <c r="B53" i="3"/>
  <c r="C53" i="3" l="1"/>
  <c r="B54" i="3"/>
  <c r="C54" i="3" l="1"/>
  <c r="B55" i="3"/>
  <c r="C55" i="3" l="1"/>
  <c r="B56" i="3"/>
  <c r="C56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O'Dell</author>
  </authors>
  <commentList>
    <comment ref="A1" authorId="0" shapeId="0" xr:uid="{223A25BE-7F77-48A7-B51F-DC26EA3BCD64}">
      <text>
        <r>
          <rPr>
            <b/>
            <sz val="9"/>
            <color indexed="81"/>
            <rFont val="Tahoma"/>
            <family val="2"/>
          </rPr>
          <t>John O'Dell:</t>
        </r>
        <r>
          <rPr>
            <sz val="9"/>
            <color indexed="81"/>
            <rFont val="Tahoma"/>
            <family val="2"/>
          </rPr>
          <t xml:space="preserve">
Sheet protection password: JPO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<sst xmlns="http://schemas.openxmlformats.org/spreadsheetml/2006/main" count="793" uniqueCount="243">
  <si>
    <t>TypeCode</t>
  </si>
  <si>
    <t>Year</t>
  </si>
  <si>
    <t>Make</t>
  </si>
  <si>
    <t>Model</t>
  </si>
  <si>
    <t>GearType</t>
  </si>
  <si>
    <t>EngineType</t>
  </si>
  <si>
    <t>aircraftClass (FAA)</t>
  </si>
  <si>
    <t>taa (FAA)</t>
  </si>
  <si>
    <t>highPerformance (FAA)</t>
  </si>
  <si>
    <t>pressurized (FAA)</t>
  </si>
  <si>
    <t>C172</t>
  </si>
  <si>
    <t>Cessna</t>
  </si>
  <si>
    <t>Piston</t>
  </si>
  <si>
    <t>SGS 2-33</t>
  </si>
  <si>
    <t>Schweiser</t>
  </si>
  <si>
    <t>N5722S</t>
  </si>
  <si>
    <t>Turbofan</t>
  </si>
  <si>
    <t>Beechcraft</t>
  </si>
  <si>
    <t>Turboprop</t>
  </si>
  <si>
    <t>Diesel</t>
  </si>
  <si>
    <t>N49BR</t>
  </si>
  <si>
    <t>PTS2</t>
  </si>
  <si>
    <t>Aviat</t>
  </si>
  <si>
    <t>Pitts S-2A</t>
  </si>
  <si>
    <t>N1949B</t>
  </si>
  <si>
    <t>DHC2</t>
  </si>
  <si>
    <t>DeHavilland</t>
  </si>
  <si>
    <t>Beaver</t>
  </si>
  <si>
    <t>Radial</t>
  </si>
  <si>
    <t>N4389L</t>
  </si>
  <si>
    <t>172G</t>
  </si>
  <si>
    <t>T6II</t>
  </si>
  <si>
    <t>T-6 Texan II</t>
  </si>
  <si>
    <t>Northrop</t>
  </si>
  <si>
    <t>Turbojet</t>
  </si>
  <si>
    <t>Date</t>
  </si>
  <si>
    <t>From</t>
  </si>
  <si>
    <t>To</t>
  </si>
  <si>
    <t>Route</t>
  </si>
  <si>
    <t>PIC</t>
  </si>
  <si>
    <t>SIC</t>
  </si>
  <si>
    <t>Night</t>
  </si>
  <si>
    <t>Solo</t>
  </si>
  <si>
    <t>Holds</t>
  </si>
  <si>
    <t>KSPS</t>
  </si>
  <si>
    <t>KGGG</t>
  </si>
  <si>
    <t>KAUS</t>
  </si>
  <si>
    <t>KNFW</t>
  </si>
  <si>
    <t>KGRK</t>
  </si>
  <si>
    <t>KOKC</t>
  </si>
  <si>
    <t>KCWF</t>
  </si>
  <si>
    <t>KDYS</t>
  </si>
  <si>
    <t>KAFW</t>
  </si>
  <si>
    <t>KADM</t>
  </si>
  <si>
    <t>KSNS</t>
  </si>
  <si>
    <t>KFDR</t>
  </si>
  <si>
    <t>KSBP</t>
  </si>
  <si>
    <t>KTSP</t>
  </si>
  <si>
    <t>KMHV</t>
  </si>
  <si>
    <t>KDLO</t>
  </si>
  <si>
    <t>KMAE</t>
  </si>
  <si>
    <t>O61</t>
  </si>
  <si>
    <t>KBFL</t>
  </si>
  <si>
    <t>KPRB</t>
  </si>
  <si>
    <t>KDLO KPTV</t>
  </si>
  <si>
    <t>O26</t>
  </si>
  <si>
    <t>BC LB, 2O7, O26</t>
  </si>
  <si>
    <t>TSP</t>
  </si>
  <si>
    <t>E16</t>
  </si>
  <si>
    <t>KRHV</t>
  </si>
  <si>
    <t>ADD 
FLIGHT</t>
  </si>
  <si>
    <t>T38C</t>
  </si>
  <si>
    <t>T-38C Talon</t>
  </si>
  <si>
    <t>Actual
Instrument</t>
  </si>
  <si>
    <t>Simulated
Instrument</t>
  </si>
  <si>
    <t>Comments</t>
  </si>
  <si>
    <t>Formation</t>
  </si>
  <si>
    <t>complex (FAA)</t>
  </si>
  <si>
    <t>ILS</t>
  </si>
  <si>
    <t>LOC</t>
  </si>
  <si>
    <t>VOR/
TCN</t>
  </si>
  <si>
    <t>RNAV</t>
  </si>
  <si>
    <t>ASR</t>
  </si>
  <si>
    <t>PAR</t>
  </si>
  <si>
    <t>CIRCLE</t>
  </si>
  <si>
    <t>Dual
Given</t>
  </si>
  <si>
    <t>Total
Time</t>
  </si>
  <si>
    <t>Aircraft ID</t>
  </si>
  <si>
    <t>PRI 
(Mil)</t>
  </si>
  <si>
    <t>INST
(Mil)</t>
  </si>
  <si>
    <t>Takeoffs
Day</t>
  </si>
  <si>
    <t>Takeoffs
Night</t>
  </si>
  <si>
    <t>Landings
Day</t>
  </si>
  <si>
    <t>Landings
Night</t>
  </si>
  <si>
    <t>Landings
Total</t>
  </si>
  <si>
    <t>Cross
Country</t>
  </si>
  <si>
    <t>Dual
Received</t>
  </si>
  <si>
    <t>Flight Review
(FAA)</t>
  </si>
  <si>
    <t>IPC 
(FAA)</t>
  </si>
  <si>
    <t>Checkride
(FAA)</t>
  </si>
  <si>
    <t>Checkride
(MIL)</t>
  </si>
  <si>
    <t>APPR</t>
  </si>
  <si>
    <t>VAL APR</t>
  </si>
  <si>
    <t>VAL TT</t>
  </si>
  <si>
    <t>Expires:</t>
  </si>
  <si>
    <t>Days Remaining:</t>
  </si>
  <si>
    <t>TRUE</t>
  </si>
  <si>
    <t>CFI</t>
  </si>
  <si>
    <t>Medical</t>
  </si>
  <si>
    <t>General (ASEL)</t>
  </si>
  <si>
    <t>General (ASELT)</t>
  </si>
  <si>
    <t>General (AMEL)</t>
  </si>
  <si>
    <t>Night (AMEL)</t>
  </si>
  <si>
    <t>Class</t>
  </si>
  <si>
    <t>Issued</t>
  </si>
  <si>
    <t>Class 1 Expires:</t>
  </si>
  <si>
    <t>Class 2 Expires:</t>
  </si>
  <si>
    <t>Class 1 Days Remaining:</t>
  </si>
  <si>
    <t>Class 2 Days Remaining:</t>
  </si>
  <si>
    <t>Class 3 Days Remaining:</t>
  </si>
  <si>
    <t>Class 3 Expires:</t>
  </si>
  <si>
    <t>T6A</t>
  </si>
  <si>
    <t>Total Time</t>
  </si>
  <si>
    <t>Flights</t>
  </si>
  <si>
    <t>PRI</t>
  </si>
  <si>
    <t>DualGiven</t>
  </si>
  <si>
    <t>INST</t>
  </si>
  <si>
    <t>LDGs</t>
  </si>
  <si>
    <t>XC</t>
  </si>
  <si>
    <t>IFE - EGT</t>
  </si>
  <si>
    <t>Day LDG</t>
  </si>
  <si>
    <t>Night LDG</t>
  </si>
  <si>
    <t>Dual Received</t>
  </si>
  <si>
    <t>Actual Inst</t>
  </si>
  <si>
    <t>Sim Inst</t>
  </si>
  <si>
    <t>Total LDG</t>
  </si>
  <si>
    <t>Category/Class</t>
  </si>
  <si>
    <t>ASEL</t>
  </si>
  <si>
    <t>AMEL</t>
  </si>
  <si>
    <t>ASES</t>
  </si>
  <si>
    <t>GL</t>
  </si>
  <si>
    <t>Characteristic</t>
  </si>
  <si>
    <t>Complex</t>
  </si>
  <si>
    <t>High Perf</t>
  </si>
  <si>
    <t>TAA</t>
  </si>
  <si>
    <t>Tailwheel</t>
  </si>
  <si>
    <t>Retractable</t>
  </si>
  <si>
    <t>Summary</t>
  </si>
  <si>
    <t>WSC</t>
  </si>
  <si>
    <t>Hours in Last</t>
  </si>
  <si>
    <t>30 Days</t>
  </si>
  <si>
    <t>90 Days</t>
  </si>
  <si>
    <t>6 Months</t>
  </si>
  <si>
    <t>12 Months</t>
  </si>
  <si>
    <t>24 Months</t>
  </si>
  <si>
    <t>Row Labels</t>
  </si>
  <si>
    <t>Grand Total</t>
  </si>
  <si>
    <t>Glider</t>
  </si>
  <si>
    <t>Flight Hours Per Class/Type</t>
  </si>
  <si>
    <t>SEC
(MIL)</t>
  </si>
  <si>
    <t>EVAL
(MIL)</t>
  </si>
  <si>
    <t>OTHER
(MIL)</t>
  </si>
  <si>
    <t>Instrument</t>
  </si>
  <si>
    <t>Landings</t>
  </si>
  <si>
    <t>Other</t>
  </si>
  <si>
    <t>Instruction</t>
  </si>
  <si>
    <t>Time</t>
  </si>
  <si>
    <t>Flight Data</t>
  </si>
  <si>
    <t>Tags</t>
  </si>
  <si>
    <r>
      <t>Flight Review (</t>
    </r>
    <r>
      <rPr>
        <b/>
        <sz val="11"/>
        <color theme="0"/>
        <rFont val="Aptos Narrow"/>
        <family val="2"/>
      </rPr>
      <t>§61.56)</t>
    </r>
  </si>
  <si>
    <t>Night (ASEL)</t>
  </si>
  <si>
    <t>IFR (§61.57)</t>
  </si>
  <si>
    <t>Total</t>
  </si>
  <si>
    <t>Instruction Received</t>
  </si>
  <si>
    <t>PIC and SIC</t>
  </si>
  <si>
    <t>Cross Country Instruction Received</t>
  </si>
  <si>
    <t>Cross Country Solo</t>
  </si>
  <si>
    <t>Cross Country PIC/SIC</t>
  </si>
  <si>
    <t>Night Instruction Received</t>
  </si>
  <si>
    <t>Night PIC/SIC</t>
  </si>
  <si>
    <t>Airplanes</t>
  </si>
  <si>
    <t>Rotorcraft</t>
  </si>
  <si>
    <t>Powered Lift</t>
  </si>
  <si>
    <t>Gliders</t>
  </si>
  <si>
    <t>Lighter-Than-Air</t>
  </si>
  <si>
    <t>FFS</t>
  </si>
  <si>
    <t>FTD</t>
  </si>
  <si>
    <t>ATD</t>
  </si>
  <si>
    <t>Night Takeoff / Landing</t>
  </si>
  <si>
    <t>Night Takeoff / Landing PIC/SIC</t>
  </si>
  <si>
    <t>Number of</t>
  </si>
  <si>
    <t>Aero-Tows</t>
  </si>
  <si>
    <t>Ground Launches</t>
  </si>
  <si>
    <t>Powered Launches</t>
  </si>
  <si>
    <t>Class Totals</t>
  </si>
  <si>
    <t>Airplane</t>
  </si>
  <si>
    <t>Lighter-than-air</t>
  </si>
  <si>
    <t>SEL</t>
  </si>
  <si>
    <t>MEL</t>
  </si>
  <si>
    <t>SES</t>
  </si>
  <si>
    <t>MES</t>
  </si>
  <si>
    <t>Helicopter</t>
  </si>
  <si>
    <t>Balloon</t>
  </si>
  <si>
    <t>Airship</t>
  </si>
  <si>
    <t>Gyroplane</t>
  </si>
  <si>
    <t>SE</t>
  </si>
  <si>
    <t>ME</t>
  </si>
  <si>
    <t>Gear Type</t>
  </si>
  <si>
    <t>Engine Type</t>
  </si>
  <si>
    <t>AircraftClass</t>
  </si>
  <si>
    <t>Weight Shift Control</t>
  </si>
  <si>
    <t>Lighter-than-Air Airship</t>
  </si>
  <si>
    <t>Lighter-than-Air Balloon</t>
  </si>
  <si>
    <t>Airplane Single Engine Land</t>
  </si>
  <si>
    <t>Airplane Multi Engine Land</t>
  </si>
  <si>
    <t>Airplane Multi Engine Sea</t>
  </si>
  <si>
    <t>Airplane Single Engine Sea</t>
  </si>
  <si>
    <t xml:space="preserve"> Airplane Single Engine Land</t>
  </si>
  <si>
    <t xml:space="preserve"> Glider</t>
  </si>
  <si>
    <t>Rotorcraft Helicopter</t>
  </si>
  <si>
    <t>Rotorcraft Gyroplane</t>
  </si>
  <si>
    <t>x</t>
  </si>
  <si>
    <t>"x" denotes this spreadsheet does not have the capibility (yet) to calculate this field</t>
  </si>
  <si>
    <t>First Mil T-6 Solo</t>
  </si>
  <si>
    <t>Electric</t>
  </si>
  <si>
    <t>Non-powered</t>
  </si>
  <si>
    <t>Fixed_Tricycle</t>
  </si>
  <si>
    <t>Fixed_Tailwheel</t>
  </si>
  <si>
    <t>Retractable_Tailwheel</t>
  </si>
  <si>
    <t>Retractable_Tricycle</t>
  </si>
  <si>
    <t>Skids</t>
  </si>
  <si>
    <t>Skis</t>
  </si>
  <si>
    <t>Amphibian</t>
  </si>
  <si>
    <t>Floats</t>
  </si>
  <si>
    <t>Age</t>
  </si>
  <si>
    <t>Under 40</t>
  </si>
  <si>
    <t>Act Inst</t>
  </si>
  <si>
    <t>Dual Given</t>
  </si>
  <si>
    <t>Types</t>
  </si>
  <si>
    <t>&gt;= 3 flights</t>
  </si>
  <si>
    <t>&gt;= 20 hours</t>
  </si>
  <si>
    <t>ClassCheck</t>
  </si>
  <si>
    <t>TA2 First Captive Safety Chase // Thrust reverser arm in flight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</si>
</sst>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mm/dd/yyyy"/>
    <numFmt numFmtId="166" formatCode="mm/dd/yy;@"/>
    <numFmt numFmtId="167" formatCode="[$-409]mmm\-yy;@"/>
  </numFmts>
  <fonts count="3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0"/>
      <name val="Aptos Narrow"/>
      <family val="2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7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Aptos Narrow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 style="double">
        <color indexed="64"/>
      </bottom>
      <diagonal/>
    </border>
    <border>
      <left style="medium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hair">
        <color auto="1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0">
    <xf numFmtId="0" fontId="0" fillId="0" borderId="0" xfId="0"/>
    <xf numFmtId="0" fontId="0" fillId="0" borderId="0" xfId="0" applyAlignment="1">
      <alignment horizontal="center" vertical="center"/>
    </xf>
    <xf numFmtId="0" fontId="0" fillId="34" borderId="0" xfId="0" applyFill="1"/>
    <xf numFmtId="0" fontId="16" fillId="34" borderId="0" xfId="0" applyFont="1" applyFill="1" applyAlignment="1">
      <alignment horizontal="center" vertical="center"/>
    </xf>
    <xf numFmtId="0" fontId="16" fillId="33" borderId="10" xfId="0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left" vertical="center" wrapText="1"/>
    </xf>
    <xf numFmtId="1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left" vertical="center" wrapText="1"/>
    </xf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 vertical="center"/>
    </xf>
    <xf numFmtId="0" fontId="0" fillId="34" borderId="0" xfId="0" applyFill="1" applyAlignment="1">
      <alignment horizontal="left" vertical="center"/>
    </xf>
    <xf numFmtId="0" fontId="16" fillId="34" borderId="0" xfId="0" applyFont="1" applyFill="1" applyAlignment="1">
      <alignment horizontal="left" vertical="center"/>
    </xf>
    <xf numFmtId="0" fontId="19" fillId="0" borderId="0" xfId="0" applyFont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0" fillId="34" borderId="14" xfId="0" applyFill="1" applyBorder="1"/>
    <xf numFmtId="0" fontId="0" fillId="34" borderId="15" xfId="0" applyFill="1" applyBorder="1"/>
    <xf numFmtId="0" fontId="0" fillId="34" borderId="16" xfId="0" applyFill="1" applyBorder="1"/>
    <xf numFmtId="0" fontId="0" fillId="34" borderId="17" xfId="0" applyFill="1" applyBorder="1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/>
    </xf>
    <xf numFmtId="166" fontId="0" fillId="34" borderId="0" xfId="0" applyNumberFormat="1" applyFill="1"/>
    <xf numFmtId="164" fontId="0" fillId="34" borderId="0" xfId="0" applyNumberFormat="1" applyFill="1"/>
    <xf numFmtId="0" fontId="20" fillId="0" borderId="0" xfId="0" applyFont="1" applyAlignment="1">
      <alignment horizontal="left"/>
    </xf>
    <xf numFmtId="164" fontId="20" fillId="0" borderId="0" xfId="0" applyNumberFormat="1" applyFont="1" applyAlignment="1">
      <alignment horizontal="left"/>
    </xf>
    <xf numFmtId="1" fontId="20" fillId="0" borderId="0" xfId="0" applyNumberFormat="1" applyFont="1" applyAlignment="1">
      <alignment horizontal="left"/>
    </xf>
    <xf numFmtId="14" fontId="0" fillId="0" borderId="0" xfId="0" applyNumberFormat="1"/>
    <xf numFmtId="164" fontId="0" fillId="34" borderId="20" xfId="0" applyNumberFormat="1" applyFill="1" applyBorder="1"/>
    <xf numFmtId="164" fontId="0" fillId="34" borderId="21" xfId="0" applyNumberFormat="1" applyFill="1" applyBorder="1"/>
    <xf numFmtId="1" fontId="0" fillId="34" borderId="21" xfId="0" applyNumberFormat="1" applyFill="1" applyBorder="1"/>
    <xf numFmtId="164" fontId="0" fillId="34" borderId="22" xfId="0" applyNumberFormat="1" applyFill="1" applyBorder="1"/>
    <xf numFmtId="14" fontId="0" fillId="34" borderId="0" xfId="0" applyNumberFormat="1" applyFill="1"/>
    <xf numFmtId="167" fontId="0" fillId="34" borderId="0" xfId="0" applyNumberFormat="1" applyFill="1"/>
    <xf numFmtId="0" fontId="0" fillId="34" borderId="23" xfId="0" applyFill="1" applyBorder="1"/>
    <xf numFmtId="0" fontId="0" fillId="34" borderId="25" xfId="0" applyFill="1" applyBorder="1"/>
    <xf numFmtId="0" fontId="0" fillId="34" borderId="27" xfId="0" applyFill="1" applyBorder="1"/>
    <xf numFmtId="0" fontId="0" fillId="0" borderId="0" xfId="0" pivotButton="1"/>
    <xf numFmtId="164" fontId="0" fillId="0" borderId="0" xfId="0" applyNumberFormat="1"/>
    <xf numFmtId="0" fontId="22" fillId="37" borderId="0" xfId="0" applyFont="1" applyFill="1" applyAlignment="1">
      <alignment horizontal="center" vertical="center" textRotation="135"/>
    </xf>
    <xf numFmtId="0" fontId="16" fillId="34" borderId="0" xfId="0" applyFont="1" applyFill="1" applyAlignment="1">
      <alignment horizontal="left" vertical="center" wrapText="1"/>
    </xf>
    <xf numFmtId="0" fontId="0" fillId="34" borderId="31" xfId="0" applyFill="1" applyBorder="1"/>
    <xf numFmtId="0" fontId="0" fillId="34" borderId="32" xfId="0" applyFill="1" applyBorder="1"/>
    <xf numFmtId="0" fontId="0" fillId="34" borderId="33" xfId="0" applyFill="1" applyBorder="1"/>
    <xf numFmtId="0" fontId="21" fillId="34" borderId="0" xfId="0" applyFont="1" applyFill="1" applyAlignment="1">
      <alignment horizontal="center"/>
    </xf>
    <xf numFmtId="0" fontId="0" fillId="34" borderId="19" xfId="0" applyFill="1" applyBorder="1"/>
    <xf numFmtId="0" fontId="24" fillId="0" borderId="0" xfId="0" applyFont="1"/>
    <xf numFmtId="0" fontId="24" fillId="0" borderId="34" xfId="0" applyFont="1" applyBorder="1" applyAlignment="1">
      <alignment horizontal="center" vertical="center"/>
    </xf>
    <xf numFmtId="0" fontId="28" fillId="0" borderId="4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 wrapText="1"/>
    </xf>
    <xf numFmtId="0" fontId="25" fillId="0" borderId="42" xfId="0" applyFont="1" applyBorder="1" applyAlignment="1">
      <alignment horizontal="center" vertical="center" wrapText="1"/>
    </xf>
    <xf numFmtId="0" fontId="25" fillId="0" borderId="43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0" fontId="24" fillId="34" borderId="0" xfId="0" applyFont="1" applyFill="1"/>
    <xf numFmtId="0" fontId="24" fillId="34" borderId="0" xfId="0" applyFont="1" applyFill="1" applyAlignment="1">
      <alignment horizontal="center" vertical="center"/>
    </xf>
    <xf numFmtId="0" fontId="24" fillId="40" borderId="34" xfId="0" applyFont="1" applyFill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0" fillId="34" borderId="48" xfId="0" applyFill="1" applyBorder="1"/>
    <xf numFmtId="14" fontId="0" fillId="41" borderId="18" xfId="0" applyNumberFormat="1" applyFill="1" applyBorder="1"/>
    <xf numFmtId="14" fontId="0" fillId="41" borderId="15" xfId="0" applyNumberFormat="1" applyFill="1" applyBorder="1"/>
    <xf numFmtId="14" fontId="0" fillId="38" borderId="18" xfId="0" applyNumberFormat="1" applyFill="1" applyBorder="1" applyProtection="1">
      <protection locked="0"/>
    </xf>
    <xf numFmtId="14" fontId="0" fillId="38" borderId="15" xfId="0" applyNumberFormat="1" applyFill="1" applyBorder="1" applyProtection="1">
      <protection locked="0"/>
    </xf>
    <xf numFmtId="0" fontId="0" fillId="34" borderId="11" xfId="0" applyFill="1" applyBorder="1"/>
    <xf numFmtId="0" fontId="0" fillId="34" borderId="12" xfId="0" applyFill="1" applyBorder="1"/>
    <xf numFmtId="0" fontId="0" fillId="38" borderId="13" xfId="0" applyFill="1" applyBorder="1" applyProtection="1">
      <protection locked="0"/>
    </xf>
    <xf numFmtId="0" fontId="30" fillId="34" borderId="0" xfId="0" applyFont="1" applyFill="1" applyAlignment="1">
      <alignment vertical="center"/>
    </xf>
    <xf numFmtId="164" fontId="25" fillId="0" borderId="34" xfId="0" applyNumberFormat="1" applyFont="1" applyBorder="1" applyAlignment="1">
      <alignment horizontal="center" vertical="center"/>
    </xf>
    <xf numFmtId="1" fontId="25" fillId="0" borderId="34" xfId="0" applyNumberFormat="1" applyFont="1" applyBorder="1" applyAlignment="1">
      <alignment horizontal="center" vertical="center"/>
    </xf>
    <xf numFmtId="1" fontId="25" fillId="0" borderId="46" xfId="0" applyNumberFormat="1" applyFont="1" applyBorder="1" applyAlignment="1">
      <alignment horizontal="center" vertical="center"/>
    </xf>
    <xf numFmtId="0" fontId="0" fillId="38" borderId="18" xfId="0" applyFill="1" applyBorder="1" applyAlignment="1" applyProtection="1">
      <alignment horizontal="right"/>
      <protection locked="0"/>
    </xf>
    <xf numFmtId="0" fontId="0" fillId="34" borderId="22" xfId="0" applyFill="1" applyBorder="1"/>
    <xf numFmtId="0" fontId="0" fillId="34" borderId="32" xfId="0" applyFill="1" applyBorder="1" applyAlignment="1">
      <alignment vertical="center"/>
    </xf>
    <xf numFmtId="0" fontId="0" fillId="34" borderId="21" xfId="0" applyFill="1" applyBorder="1" applyAlignment="1">
      <alignment vertical="center"/>
    </xf>
    <xf numFmtId="49" fontId="22" fillId="33" borderId="0" xfId="0" applyNumberFormat="1" applyFont="1" applyFill="1" applyAlignment="1">
      <alignment horizontal="center" vertical="center" textRotation="135"/>
    </xf>
    <xf numFmtId="164" fontId="24" fillId="0" borderId="34" xfId="0" applyNumberFormat="1" applyFont="1" applyBorder="1" applyAlignment="1">
      <alignment horizontal="center" vertical="center"/>
    </xf>
    <xf numFmtId="0" fontId="16" fillId="4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34" borderId="0" xfId="0" applyFont="1" applyFill="1" applyAlignment="1">
      <alignment vertical="center"/>
    </xf>
    <xf numFmtId="1" fontId="33" fillId="34" borderId="0" xfId="0" applyNumberFormat="1" applyFont="1" applyFill="1" applyAlignment="1">
      <alignment vertical="center"/>
    </xf>
    <xf numFmtId="1" fontId="0" fillId="34" borderId="0" xfId="0" applyNumberFormat="1" applyFill="1"/>
    <xf numFmtId="165" fontId="22" fillId="39" borderId="0" xfId="0" applyNumberFormat="1" applyFont="1" applyFill="1" applyAlignment="1">
      <alignment horizontal="center" vertical="center" textRotation="135"/>
    </xf>
    <xf numFmtId="49" fontId="22" fillId="33" borderId="0" xfId="0" applyNumberFormat="1" applyFont="1" applyFill="1" applyAlignment="1">
      <alignment horizontal="center" vertical="center" textRotation="135"/>
    </xf>
    <xf numFmtId="164" fontId="22" fillId="38" borderId="0" xfId="0" applyNumberFormat="1" applyFont="1" applyFill="1" applyAlignment="1">
      <alignment horizontal="center" vertical="center" textRotation="135"/>
    </xf>
    <xf numFmtId="1" fontId="22" fillId="39" borderId="0" xfId="0" applyNumberFormat="1" applyFont="1" applyFill="1" applyAlignment="1">
      <alignment horizontal="center" vertical="center" textRotation="135"/>
    </xf>
    <xf numFmtId="164" fontId="22" fillId="37" borderId="0" xfId="0" applyNumberFormat="1" applyFont="1" applyFill="1" applyAlignment="1">
      <alignment horizontal="center" vertical="center" textRotation="135"/>
    </xf>
    <xf numFmtId="164" fontId="22" fillId="33" borderId="0" xfId="0" applyNumberFormat="1" applyFont="1" applyFill="1" applyAlignment="1">
      <alignment horizontal="center" vertical="center" textRotation="135"/>
    </xf>
    <xf numFmtId="0" fontId="13" fillId="34" borderId="0" xfId="0" applyFont="1" applyFill="1" applyAlignment="1">
      <alignment horizontal="center"/>
    </xf>
    <xf numFmtId="0" fontId="21" fillId="36" borderId="49" xfId="0" applyFont="1" applyFill="1" applyBorder="1" applyAlignment="1">
      <alignment horizontal="center" vertical="center"/>
    </xf>
    <xf numFmtId="0" fontId="21" fillId="36" borderId="50" xfId="0" applyFont="1" applyFill="1" applyBorder="1" applyAlignment="1">
      <alignment horizontal="center" vertical="center"/>
    </xf>
    <xf numFmtId="0" fontId="21" fillId="36" borderId="29" xfId="0" applyFont="1" applyFill="1" applyBorder="1" applyAlignment="1">
      <alignment horizontal="center"/>
    </xf>
    <xf numFmtId="0" fontId="21" fillId="36" borderId="30" xfId="0" applyFont="1" applyFill="1" applyBorder="1" applyAlignment="1">
      <alignment horizontal="center"/>
    </xf>
    <xf numFmtId="0" fontId="21" fillId="34" borderId="0" xfId="0" applyFont="1" applyFill="1" applyAlignment="1">
      <alignment horizontal="center"/>
    </xf>
    <xf numFmtId="0" fontId="21" fillId="36" borderId="49" xfId="0" applyFont="1" applyFill="1" applyBorder="1" applyAlignment="1">
      <alignment horizontal="center"/>
    </xf>
    <xf numFmtId="0" fontId="21" fillId="36" borderId="50" xfId="0" applyFont="1" applyFill="1" applyBorder="1" applyAlignment="1">
      <alignment horizontal="center"/>
    </xf>
    <xf numFmtId="0" fontId="13" fillId="35" borderId="11" xfId="0" applyFont="1" applyFill="1" applyBorder="1" applyAlignment="1">
      <alignment horizontal="center"/>
    </xf>
    <xf numFmtId="0" fontId="13" fillId="35" borderId="13" xfId="0" applyFont="1" applyFill="1" applyBorder="1" applyAlignment="1">
      <alignment horizontal="center"/>
    </xf>
    <xf numFmtId="0" fontId="13" fillId="35" borderId="12" xfId="0" applyFont="1" applyFill="1" applyBorder="1" applyAlignment="1">
      <alignment horizontal="center"/>
    </xf>
    <xf numFmtId="0" fontId="0" fillId="34" borderId="0" xfId="0" applyFill="1" applyAlignment="1">
      <alignment horizontal="center"/>
    </xf>
    <xf numFmtId="0" fontId="0" fillId="34" borderId="16" xfId="0" applyFill="1" applyBorder="1" applyAlignment="1">
      <alignment horizontal="left"/>
    </xf>
    <xf numFmtId="0" fontId="0" fillId="34" borderId="17" xfId="0" applyFill="1" applyBorder="1" applyAlignment="1">
      <alignment horizontal="left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9" fillId="34" borderId="0" xfId="0" applyFont="1" applyFill="1" applyAlignment="1">
      <alignment horizontal="left" vertical="center"/>
    </xf>
    <xf numFmtId="0" fontId="26" fillId="0" borderId="34" xfId="0" applyFont="1" applyBorder="1" applyAlignment="1">
      <alignment horizontal="center" vertical="center" wrapText="1"/>
    </xf>
    <xf numFmtId="164" fontId="24" fillId="0" borderId="34" xfId="0" applyNumberFormat="1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40" borderId="34" xfId="0" applyFont="1" applyFill="1" applyBorder="1" applyAlignment="1">
      <alignment horizontal="center" vertical="center"/>
    </xf>
    <xf numFmtId="0" fontId="24" fillId="40" borderId="39" xfId="0" applyFont="1" applyFill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 wrapText="1"/>
    </xf>
    <xf numFmtId="0" fontId="26" fillId="0" borderId="36" xfId="0" applyFont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 wrapText="1"/>
    </xf>
    <xf numFmtId="0" fontId="25" fillId="0" borderId="43" xfId="0" applyFont="1" applyBorder="1" applyAlignment="1">
      <alignment horizontal="center" vertical="center" wrapText="1"/>
    </xf>
    <xf numFmtId="0" fontId="25" fillId="0" borderId="34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0" fontId="27" fillId="0" borderId="13" xfId="0" applyFont="1" applyBorder="1" applyAlignment="1">
      <alignment horizontal="center" vertical="center" wrapText="1"/>
    </xf>
    <xf numFmtId="0" fontId="26" fillId="0" borderId="37" xfId="0" applyFont="1" applyBorder="1" applyAlignment="1">
      <alignment horizontal="center" vertical="center" wrapText="1"/>
    </xf>
    <xf numFmtId="0" fontId="26" fillId="0" borderId="38" xfId="0" applyFont="1" applyBorder="1" applyAlignment="1">
      <alignment horizontal="center" vertical="center" wrapText="1"/>
    </xf>
    <xf numFmtId="0" fontId="25" fillId="0" borderId="45" xfId="0" applyFont="1" applyBorder="1" applyAlignment="1">
      <alignment horizontal="center" vertical="center" wrapText="1"/>
    </xf>
    <xf numFmtId="0" fontId="25" fillId="0" borderId="46" xfId="0" applyFont="1" applyBorder="1" applyAlignment="1">
      <alignment horizontal="center" vertical="center"/>
    </xf>
    <xf numFmtId="0" fontId="25" fillId="0" borderId="47" xfId="0" applyFont="1" applyBorder="1" applyAlignment="1">
      <alignment horizontal="center" vertical="center"/>
    </xf>
    <xf numFmtId="164" fontId="0" fillId="34" borderId="24" xfId="0" applyNumberFormat="1" applyFill="1" applyBorder="1"/>
    <xf numFmtId="164" fontId="0" fillId="34" borderId="26" xfId="0" applyNumberFormat="1" applyFill="1" applyBorder="1"/>
    <xf numFmtId="164" fontId="0" fillId="34" borderId="28" xfId="0" applyNumberFormat="1" applyFill="1" applyBorder="1"/>
    <xf numFmtId="0" fontId="0" fillId="0" borderId="0" xfId="0" applyProtection="1"/>
    <xf numFmtId="0" fontId="21" fillId="37" borderId="0" xfId="0" applyFont="1" applyFill="1" applyAlignment="1" applyProtection="1">
      <alignment horizontal="center"/>
    </xf>
    <xf numFmtId="0" fontId="0" fillId="0" borderId="0" xfId="0" applyAlignment="1" applyProtection="1">
      <alignment horizontal="left"/>
    </xf>
    <xf numFmtId="0" fontId="0" fillId="0" borderId="0" xfId="0" applyNumberFormat="1" applyProtection="1"/>
    <xf numFmtId="164" fontId="0" fillId="0" borderId="0" xfId="0" applyNumberFormat="1" applyProtection="1"/>
    <xf numFmtId="0" fontId="0" fillId="0" borderId="0" xfId="0" applyAlignment="1" applyProtection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164" formatCode="0.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164" formatCode="0.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164" formatCode="0.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34998626667073579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textRotation="0" indent="0" justifyLastLine="0" shrinkToFit="0" readingOrder="0"/>
    </dxf>
    <dxf>
      <numFmt numFmtId="0" formatCode="General"/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numFmt numFmtId="0" formatCode="General"/>
      <alignment horizontal="left" textRotation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textRotation="0" indent="0" justifyLastLine="0" shrinkToFit="0" readingOrder="0"/>
    </dxf>
    <dxf>
      <numFmt numFmtId="30" formatCode="@"/>
      <alignment horizontal="left" textRotation="0" indent="0" justifyLastLine="0" shrinkToFit="0" readingOrder="0"/>
    </dxf>
    <dxf>
      <numFmt numFmtId="30" formatCode="@"/>
      <alignment horizontal="left" textRotation="0" indent="0" justifyLastLine="0" shrinkToFit="0" readingOrder="0"/>
    </dxf>
    <dxf>
      <numFmt numFmtId="30" formatCode="@"/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alignment horizontal="left" textRotation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numFmt numFmtId="164" formatCode="0.0"/>
      <alignment horizontal="left" vertical="bottom" textRotation="0" wrapText="0" indent="0" justifyLastLine="0" shrinkToFit="0" readingOrder="0"/>
    </dxf>
    <dxf>
      <numFmt numFmtId="164" formatCode="0.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64" formatCode="0.0"/>
      <alignment horizontal="left" vertical="bottom" textRotation="0" wrapText="0" indent="0" justifyLastLine="0" shrinkToFit="0" readingOrder="0"/>
    </dxf>
    <dxf>
      <numFmt numFmtId="164" formatCode="0.0"/>
      <alignment horizontal="left" vertical="center" textRotation="0" wrapText="1" indent="0" justifyLastLine="0" shrinkToFit="0" readingOrder="0"/>
    </dxf>
    <dxf>
      <numFmt numFmtId="164" formatCode="0.0"/>
      <alignment horizontal="left" vertical="bottom" textRotation="0" wrapText="0" indent="0" justifyLastLine="0" shrinkToFit="0" readingOrder="0"/>
    </dxf>
    <dxf>
      <numFmt numFmtId="164" formatCode="0.0"/>
      <alignment horizontal="left" vertical="bottom" textRotation="0" wrapText="0" indent="0" justifyLastLine="0" shrinkToFit="0" readingOrder="0"/>
    </dxf>
    <dxf>
      <numFmt numFmtId="164" formatCode="0.0"/>
      <alignment horizontal="left" vertical="center" textRotation="0" wrapText="1" indent="0" justifyLastLine="0" shrinkToFit="0" readingOrder="0"/>
    </dxf>
    <dxf>
      <numFmt numFmtId="164" formatCode="0.0"/>
      <alignment horizontal="left" textRotation="0" indent="0" justifyLastLine="0" shrinkToFit="0" readingOrder="0"/>
    </dxf>
    <dxf>
      <numFmt numFmtId="164" formatCode="0.0"/>
      <alignment horizontal="left" vertical="bottom" textRotation="0" wrapText="0" indent="0" justifyLastLine="0" shrinkToFit="0" readingOrder="0"/>
    </dxf>
    <dxf>
      <numFmt numFmtId="164" formatCode="0.0"/>
      <alignment horizontal="left" textRotation="0" indent="0" justifyLastLine="0" shrinkToFit="0" readingOrder="0"/>
    </dxf>
    <dxf>
      <numFmt numFmtId="164" formatCode="0.0"/>
      <alignment horizontal="left" vertical="center" textRotation="0" wrapText="0" indent="0" justifyLastLine="0" shrinkToFit="0" readingOrder="0"/>
    </dxf>
    <dxf>
      <numFmt numFmtId="164" formatCode="0.0"/>
      <alignment horizontal="left" vertical="bottom" textRotation="0" wrapText="0" indent="0" justifyLastLine="0" shrinkToFit="0" readingOrder="0"/>
    </dxf>
    <dxf>
      <numFmt numFmtId="164" formatCode="0.0"/>
      <alignment horizontal="left" textRotation="0" indent="0" justifyLastLine="0" shrinkToFit="0" readingOrder="0"/>
    </dxf>
    <dxf>
      <numFmt numFmtId="164" formatCode="0.0"/>
      <alignment horizontal="left" textRotation="0" indent="0" justifyLastLine="0" shrinkToFit="0" readingOrder="0"/>
    </dxf>
    <dxf>
      <numFmt numFmtId="164" formatCode="0.0"/>
      <alignment horizontal="left" textRotation="0" indent="0" justifyLastLine="0" shrinkToFit="0" readingOrder="0"/>
    </dxf>
    <dxf>
      <numFmt numFmtId="164" formatCode="0.0"/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numFmt numFmtId="165" formatCode="mm/dd/yyyy"/>
      <alignment horizontal="left" vertical="center" textRotation="0" wrapText="0" indent="0" justifyLastLine="0" shrinkToFit="0" readingOrder="0"/>
    </dxf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[Logbook_Template.xlsm]Totals!TypePieTable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u="sng">
                <a:solidFill>
                  <a:sysClr val="windowText" lastClr="000000"/>
                </a:solidFill>
                <a:latin typeface="+mn-lt"/>
              </a:rPr>
              <a:t>Top 10 Types</a:t>
            </a:r>
          </a:p>
        </c:rich>
      </c:tx>
      <c:layout>
        <c:manualLayout>
          <c:xMode val="edge"/>
          <c:yMode val="edge"/>
          <c:x val="0.33749663061112356"/>
          <c:y val="1.5655914315180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>
                <a:alpha val="90000"/>
              </a:sysClr>
            </a:solidFill>
            <a:ln w="12700" cap="flat" cmpd="sng" algn="ctr">
              <a:solidFill>
                <a:srgbClr val="E97132"/>
              </a:solidFill>
              <a:round/>
            </a:ln>
            <a:effectLst>
              <a:outerShdw blurRad="50800" dist="38100" dir="2700000" algn="tl" rotWithShape="0">
                <a:srgbClr val="E97132">
                  <a:lumMod val="75000"/>
                  <a:alpha val="40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layout>
            <c:manualLayout>
              <c:x val="6.8716316829794344E-2"/>
              <c:y val="-5.8676514920814804E-3"/>
            </c:manualLayout>
          </c:layout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pPr>
            <a:solidFill>
              <a:sysClr val="window" lastClr="FFFFFF">
                <a:alpha val="90000"/>
              </a:sysClr>
            </a:solidFill>
            <a:ln w="12700" cap="flat" cmpd="sng" algn="ctr">
              <a:solidFill>
                <a:srgbClr val="156082"/>
              </a:solidFill>
              <a:round/>
            </a:ln>
            <a:effectLst>
              <a:outerShdw blurRad="50800" dist="38100" dir="2700000" algn="tl" rotWithShape="0">
                <a:srgbClr val="156082">
                  <a:lumMod val="75000"/>
                  <a:alpha val="40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layout>
            <c:manualLayout>
              <c:x val="4.3950144933680255E-2"/>
              <c:y val="2.9048537860480683E-2"/>
            </c:manualLayout>
          </c:layout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layout>
            <c:manualLayout>
              <c:x val="-1.1310656202472631E-2"/>
              <c:y val="-7.7856207695514143E-2"/>
            </c:manualLayout>
          </c:layout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solidFill>
              <a:sysClr val="window" lastClr="FFFFFF">
                <a:alpha val="90000"/>
              </a:sysClr>
            </a:solidFill>
            <a:ln w="12700" cap="flat" cmpd="sng" algn="ctr">
              <a:solidFill>
                <a:srgbClr val="156082"/>
              </a:solidFill>
              <a:round/>
            </a:ln>
            <a:effectLst>
              <a:outerShdw blurRad="50800" dist="38100" dir="2700000" algn="tl" rotWithShape="0">
                <a:srgbClr val="156082">
                  <a:lumMod val="75000"/>
                  <a:alpha val="40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layout>
            <c:manualLayout>
              <c:x val="4.0454911582506213E-2"/>
              <c:y val="-9.7891019994226031E-2"/>
            </c:manualLayout>
          </c:layout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layout>
            <c:manualLayout>
              <c:x val="0.10194242926865454"/>
              <c:y val="-5.250689136995508E-2"/>
            </c:manualLayout>
          </c:layout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alpha val="90000"/>
            </a:schemeClr>
          </a:solidFill>
          <a:ln w="19050">
            <a:solidFill>
              <a:schemeClr val="accent2">
                <a:lumMod val="75000"/>
              </a:schemeClr>
            </a:solidFill>
          </a:ln>
          <a:effectLst>
            <a:innerShdw blurRad="114300">
              <a:schemeClr val="accent2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75000"/>
              </a:schemeClr>
            </a:contourClr>
          </a:sp3d>
        </c:spPr>
        <c:dLbl>
          <c:idx val="0"/>
          <c:spPr>
            <a:solidFill>
              <a:schemeClr val="lt1">
                <a:alpha val="90000"/>
              </a:schemeClr>
            </a:solidFill>
            <a:ln w="12700" cap="flat" cmpd="sng" algn="ctr">
              <a:solidFill>
                <a:schemeClr val="accent2"/>
              </a:solidFill>
              <a:round/>
            </a:ln>
            <a:effectLst>
              <a:outerShdw blurRad="50800" dist="38100" dir="2700000" algn="tl" rotWithShape="0">
                <a:schemeClr val="accent2">
                  <a:lumMod val="75000"/>
                  <a:alpha val="40000"/>
                </a:scheme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alpha val="9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>
            <a:innerShdw blurRad="114300">
              <a:schemeClr val="accent4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4">
                <a:lumMod val="75000"/>
              </a:schemeClr>
            </a:contourClr>
          </a:sp3d>
        </c:spPr>
        <c:dLbl>
          <c:idx val="0"/>
          <c:spPr>
            <a:solidFill>
              <a:sysClr val="window" lastClr="FFFFFF">
                <a:alpha val="90000"/>
              </a:sysClr>
            </a:solidFill>
            <a:ln w="12700" cap="flat" cmpd="sng" algn="ctr">
              <a:solidFill>
                <a:srgbClr val="E97132"/>
              </a:solidFill>
              <a:round/>
            </a:ln>
            <a:effectLst>
              <a:outerShdw blurRad="50800" dist="38100" dir="2700000" algn="tl" rotWithShape="0">
                <a:srgbClr val="E97132">
                  <a:lumMod val="75000"/>
                  <a:alpha val="40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alpha val="90000"/>
            </a:schemeClr>
          </a:solidFill>
          <a:ln w="19050">
            <a:solidFill>
              <a:schemeClr val="accent6">
                <a:lumMod val="75000"/>
              </a:schemeClr>
            </a:solidFill>
          </a:ln>
          <a:effectLst>
            <a:innerShdw blurRad="114300">
              <a:schemeClr val="accent6"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6">
                <a:lumMod val="75000"/>
              </a:schemeClr>
            </a:contourClr>
          </a:sp3d>
        </c:spPr>
        <c:dLbl>
          <c:idx val="0"/>
          <c:spPr>
            <a:solidFill>
              <a:sysClr val="window" lastClr="FFFFFF">
                <a:alpha val="90000"/>
              </a:sysClr>
            </a:solidFill>
            <a:ln w="12700" cap="flat" cmpd="sng" algn="ctr">
              <a:solidFill>
                <a:srgbClr val="E97132"/>
              </a:solidFill>
              <a:round/>
            </a:ln>
            <a:effectLst>
              <a:outerShdw blurRad="50800" dist="38100" dir="2700000" algn="tl" rotWithShape="0">
                <a:srgbClr val="E97132">
                  <a:lumMod val="75000"/>
                  <a:alpha val="40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60000"/>
              <a:alpha val="90000"/>
            </a:schemeClr>
          </a:solidFill>
          <a:ln w="19050">
            <a:solidFill>
              <a:schemeClr val="accent2">
                <a:lumMod val="60000"/>
                <a:lumMod val="75000"/>
              </a:schemeClr>
            </a:solidFill>
          </a:ln>
          <a:effectLst>
            <a:innerShdw blurRad="114300">
              <a:schemeClr val="accent2">
                <a:lumMod val="60000"/>
                <a:lumMod val="75000"/>
              </a:schemeClr>
            </a:innerShdw>
          </a:effectLst>
          <a:scene3d>
            <a:camera prst="orthographicFront"/>
            <a:lightRig rig="threePt" dir="t"/>
          </a:scene3d>
          <a:sp3d contourW="19050" prstMaterial="flat">
            <a:contourClr>
              <a:schemeClr val="accent2">
                <a:lumMod val="60000"/>
                <a:lumMod val="75000"/>
              </a:schemeClr>
            </a:contourClr>
          </a:sp3d>
        </c:spPr>
        <c:dLbl>
          <c:idx val="0"/>
          <c:spPr>
            <a:solidFill>
              <a:sysClr val="window" lastClr="FFFFFF">
                <a:alpha val="90000"/>
              </a:sysClr>
            </a:solidFill>
            <a:ln w="12700" cap="flat" cmpd="sng" algn="ctr">
              <a:solidFill>
                <a:srgbClr val="E97132"/>
              </a:solidFill>
              <a:round/>
            </a:ln>
            <a:effectLst>
              <a:outerShdw blurRad="50800" dist="38100" dir="2700000" algn="tl" rotWithShape="0">
                <a:srgbClr val="E97132">
                  <a:lumMod val="75000"/>
                  <a:alpha val="40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2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8788651189410036E-2"/>
          <c:y val="0.12935456854625341"/>
          <c:w val="0.9586648846507656"/>
          <c:h val="0.80220741868546419"/>
        </c:manualLayout>
      </c:layout>
      <c:pie3DChart>
        <c:varyColors val="1"/>
        <c:ser>
          <c:idx val="0"/>
          <c:order val="0"/>
          <c:tx>
            <c:strRef>
              <c:f>Totals!$M$10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2C1E-455C-8BC6-4E202B350DBA}"/>
              </c:ext>
            </c:extLst>
          </c:dPt>
          <c:dPt>
            <c:idx val="1"/>
            <c:bubble3D val="0"/>
            <c:spPr>
              <a:solidFill>
                <a:schemeClr val="accent4">
                  <a:alpha val="90000"/>
                </a:schemeClr>
              </a:solidFill>
              <a:ln w="19050">
                <a:solidFill>
                  <a:schemeClr val="accent4"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C1E-455C-8BC6-4E202B350DBA}"/>
              </c:ext>
            </c:extLst>
          </c:dPt>
          <c:dPt>
            <c:idx val="2"/>
            <c:bubble3D val="0"/>
            <c:spPr>
              <a:solidFill>
                <a:schemeClr val="accent6">
                  <a:alpha val="90000"/>
                </a:schemeClr>
              </a:solidFill>
              <a:ln w="19050">
                <a:solidFill>
                  <a:schemeClr val="accent6">
                    <a:lumMod val="75000"/>
                  </a:schemeClr>
                </a:solidFill>
              </a:ln>
              <a:effectLst>
                <a:innerShdw blurRad="114300">
                  <a:schemeClr val="accent6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6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2C1E-455C-8BC6-4E202B350DBA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  <a:alpha val="90000"/>
                </a:schemeClr>
              </a:solidFill>
              <a:ln w="19050">
                <a:solidFill>
                  <a:schemeClr val="accent2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C1E-455C-8BC6-4E202B350DBA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  <a:alpha val="90000"/>
                </a:schemeClr>
              </a:solidFill>
              <a:ln w="19050">
                <a:solidFill>
                  <a:schemeClr val="accent4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2C1E-455C-8BC6-4E202B350DBA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alpha val="90000"/>
                </a:schemeClr>
              </a:solidFill>
              <a:ln w="19050">
                <a:solidFill>
                  <a:schemeClr val="accent6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6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6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C1E-455C-8BC6-4E202B350DBA}"/>
              </c:ext>
            </c:extLst>
          </c:dPt>
          <c:dPt>
            <c:idx val="6"/>
            <c:bubble3D val="0"/>
            <c:spPr>
              <a:solidFill>
                <a:schemeClr val="accent2">
                  <a:lumMod val="80000"/>
                  <a:lumOff val="20000"/>
                  <a:alpha val="90000"/>
                </a:schemeClr>
              </a:solidFill>
              <a:ln w="19050">
                <a:solidFill>
                  <a:schemeClr val="accent2">
                    <a:lumMod val="80000"/>
                    <a:lumOff val="20000"/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80000"/>
                    <a:lumOff val="2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80000"/>
                    <a:lumOff val="2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2C1E-455C-8BC6-4E202B350DBA}"/>
              </c:ext>
            </c:extLst>
          </c:dPt>
          <c:dPt>
            <c:idx val="7"/>
            <c:bubble3D val="0"/>
            <c:spPr>
              <a:solidFill>
                <a:schemeClr val="accent4">
                  <a:lumMod val="80000"/>
                  <a:lumOff val="20000"/>
                  <a:alpha val="90000"/>
                </a:schemeClr>
              </a:solidFill>
              <a:ln w="19050">
                <a:solidFill>
                  <a:schemeClr val="accent4">
                    <a:lumMod val="80000"/>
                    <a:lumOff val="20000"/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80000"/>
                    <a:lumOff val="2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80000"/>
                    <a:lumOff val="2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2C1E-455C-8BC6-4E202B350DBA}"/>
              </c:ext>
            </c:extLst>
          </c:dPt>
          <c:dPt>
            <c:idx val="8"/>
            <c:bubble3D val="0"/>
            <c:spPr>
              <a:solidFill>
                <a:schemeClr val="accent6">
                  <a:lumMod val="80000"/>
                  <a:lumOff val="20000"/>
                  <a:alpha val="90000"/>
                </a:schemeClr>
              </a:solidFill>
              <a:ln w="19050">
                <a:solidFill>
                  <a:schemeClr val="accent6">
                    <a:lumMod val="80000"/>
                    <a:lumOff val="20000"/>
                    <a:lumMod val="75000"/>
                  </a:schemeClr>
                </a:solidFill>
              </a:ln>
              <a:effectLst>
                <a:innerShdw blurRad="114300">
                  <a:schemeClr val="accent6">
                    <a:lumMod val="80000"/>
                    <a:lumOff val="2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6">
                    <a:lumMod val="80000"/>
                    <a:lumOff val="2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2C1E-455C-8BC6-4E202B350DBA}"/>
              </c:ext>
            </c:extLst>
          </c:dPt>
          <c:dPt>
            <c:idx val="9"/>
            <c:bubble3D val="0"/>
            <c:spPr>
              <a:solidFill>
                <a:schemeClr val="accent2">
                  <a:lumMod val="80000"/>
                  <a:alpha val="90000"/>
                </a:schemeClr>
              </a:solidFill>
              <a:ln w="19050">
                <a:solidFill>
                  <a:schemeClr val="accent2">
                    <a:lumMod val="80000"/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8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8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2C1E-455C-8BC6-4E202B350DBA}"/>
              </c:ext>
            </c:extLst>
          </c:dPt>
          <c:dLbls>
            <c:dLbl>
              <c:idx val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2C1E-455C-8BC6-4E202B350DBA}"/>
                </c:ext>
              </c:extLst>
            </c:dLbl>
            <c:dLbl>
              <c:idx val="4"/>
              <c:layout>
                <c:manualLayout>
                  <c:x val="0.10194242926865454"/>
                  <c:y val="-5.250689136995508E-2"/>
                </c:manualLayout>
              </c:layout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1E-455C-8BC6-4E202B350DBA}"/>
                </c:ext>
              </c:extLst>
            </c:dLbl>
            <c:dLbl>
              <c:idx val="5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6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6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6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2C1E-455C-8BC6-4E202B350DBA}"/>
                </c:ext>
              </c:extLst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E97132"/>
                </a:solidFill>
                <a:round/>
              </a:ln>
              <a:effectLst>
                <a:outerShdw blurRad="50800" dist="38100" dir="2700000" algn="tl" rotWithShape="0">
                  <a:srgbClr val="E97132">
                    <a:lumMod val="75000"/>
                    <a:alpha val="40000"/>
                  </a:srgb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Totals!$L$11:$L$17</c:f>
              <c:strCache>
                <c:ptCount val="6"/>
                <c:pt idx="0">
                  <c:v>C172</c:v>
                </c:pt>
                <c:pt idx="1">
                  <c:v>DHC2</c:v>
                </c:pt>
                <c:pt idx="2">
                  <c:v>PTS2</c:v>
                </c:pt>
                <c:pt idx="3">
                  <c:v>SGS 2-33</c:v>
                </c:pt>
                <c:pt idx="4">
                  <c:v>T38C</c:v>
                </c:pt>
                <c:pt idx="5">
                  <c:v>T6II</c:v>
                </c:pt>
              </c:strCache>
            </c:strRef>
          </c:cat>
          <c:val>
            <c:numRef>
              <c:f>Totals!$M$11:$M$17</c:f>
              <c:numCache>
                <c:formatCode>0.0</c:formatCode>
                <c:ptCount val="6"/>
                <c:pt idx="0">
                  <c:v>56.499999999999979</c:v>
                </c:pt>
                <c:pt idx="1">
                  <c:v>3.8</c:v>
                </c:pt>
                <c:pt idx="2">
                  <c:v>6.3000000000000007</c:v>
                </c:pt>
                <c:pt idx="3">
                  <c:v>4.9000000000000004</c:v>
                </c:pt>
                <c:pt idx="4">
                  <c:v>54.899999999999984</c:v>
                </c:pt>
                <c:pt idx="5">
                  <c:v>51.400000000000013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E-455C-8BC6-4E202B350DBA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Flight Time (Last 24 Months)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Currencies!$B$33:$B$56</c:f>
              <c:strCache>
                <c:ptCount val="24"/>
                <c:pt idx="0">
                  <c:v>Nov-24</c:v>
                </c:pt>
                <c:pt idx="1">
                  <c:v>Dec-24</c:v>
                </c:pt>
                <c:pt idx="2">
                  <c:v>Jan-25</c:v>
                </c:pt>
                <c:pt idx="3">
                  <c:v>Feb-25</c:v>
                </c:pt>
                <c:pt idx="4">
                  <c:v>Mar-25</c:v>
                </c:pt>
                <c:pt idx="5">
                  <c:v>Apr-25</c:v>
                </c:pt>
                <c:pt idx="6">
                  <c:v>May-25</c:v>
                </c:pt>
                <c:pt idx="7">
                  <c:v>Jun-25</c:v>
                </c:pt>
                <c:pt idx="8">
                  <c:v>Jul-25</c:v>
                </c:pt>
                <c:pt idx="9">
                  <c:v>Aug-25</c:v>
                </c:pt>
                <c:pt idx="10">
                  <c:v>Sep-25</c:v>
                </c:pt>
                <c:pt idx="11">
                  <c:v>Oct-25</c:v>
                </c:pt>
                <c:pt idx="12">
                  <c:v>Nov-25</c:v>
                </c:pt>
                <c:pt idx="13">
                  <c:v>Dec-25</c:v>
                </c:pt>
                <c:pt idx="14">
                  <c:v>Jan-26</c:v>
                </c:pt>
                <c:pt idx="15">
                  <c:v>Feb-26</c:v>
                </c:pt>
                <c:pt idx="16">
                  <c:v>Mar-26</c:v>
                </c:pt>
                <c:pt idx="17">
                  <c:v>Apr-26</c:v>
                </c:pt>
                <c:pt idx="18">
                  <c:v>May-26</c:v>
                </c:pt>
                <c:pt idx="19">
                  <c:v>Jun-26</c:v>
                </c:pt>
                <c:pt idx="20">
                  <c:v>Jul-26</c:v>
                </c:pt>
                <c:pt idx="21">
                  <c:v>Aug-26</c:v>
                </c:pt>
                <c:pt idx="22">
                  <c:v>Sep-26</c:v>
                </c:pt>
                <c:pt idx="23">
                  <c:v>Oct-26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Currencies!$B$33:$B$56</c:f>
              <c:numCache>
                <c:formatCode>[$-409]mmm\-yy;@</c:formatCode>
                <c:ptCount val="24"/>
                <c:pt idx="0">
                  <c:v>45597</c:v>
                </c:pt>
                <c:pt idx="1">
                  <c:v>45627</c:v>
                </c:pt>
                <c:pt idx="2">
                  <c:v>45658</c:v>
                </c:pt>
                <c:pt idx="3">
                  <c:v>45689</c:v>
                </c:pt>
                <c:pt idx="4">
                  <c:v>45717</c:v>
                </c:pt>
                <c:pt idx="5">
                  <c:v>45748</c:v>
                </c:pt>
                <c:pt idx="6">
                  <c:v>45778</c:v>
                </c:pt>
                <c:pt idx="7">
                  <c:v>45809</c:v>
                </c:pt>
                <c:pt idx="8">
                  <c:v>45839</c:v>
                </c:pt>
                <c:pt idx="9">
                  <c:v>45870</c:v>
                </c:pt>
                <c:pt idx="10">
                  <c:v>45901</c:v>
                </c:pt>
                <c:pt idx="11">
                  <c:v>45931</c:v>
                </c:pt>
                <c:pt idx="12">
                  <c:v>45962</c:v>
                </c:pt>
                <c:pt idx="13">
                  <c:v>45992</c:v>
                </c:pt>
                <c:pt idx="14">
                  <c:v>46023</c:v>
                </c:pt>
                <c:pt idx="15">
                  <c:v>46054</c:v>
                </c:pt>
                <c:pt idx="16">
                  <c:v>46082</c:v>
                </c:pt>
                <c:pt idx="17">
                  <c:v>46113</c:v>
                </c:pt>
                <c:pt idx="18">
                  <c:v>46143</c:v>
                </c:pt>
                <c:pt idx="19">
                  <c:v>46174</c:v>
                </c:pt>
                <c:pt idx="20">
                  <c:v>46204</c:v>
                </c:pt>
                <c:pt idx="21">
                  <c:v>46235</c:v>
                </c:pt>
                <c:pt idx="22">
                  <c:v>46266</c:v>
                </c:pt>
                <c:pt idx="23">
                  <c:v>46296</c:v>
                </c:pt>
              </c:numCache>
            </c:numRef>
          </c:cat>
          <c:val>
            <c:numRef>
              <c:f>Currencies!$C$33:$C$56</c:f>
              <c:numCache>
                <c:formatCode>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4.5999999999999996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15.2</c:v>
                </c:pt>
                <c:pt idx="14">
                  <c:v>15.6</c:v>
                </c:pt>
                <c:pt idx="15">
                  <c:v>19</c:v>
                </c:pt>
                <c:pt idx="16">
                  <c:v>0</c:v>
                </c:pt>
                <c:pt idx="17">
                  <c:v>3.1999999999999997</c:v>
                </c:pt>
                <c:pt idx="18">
                  <c:v>0</c:v>
                </c:pt>
                <c:pt idx="19">
                  <c:v>4</c:v>
                </c:pt>
                <c:pt idx="20">
                  <c:v>17</c:v>
                </c:pt>
                <c:pt idx="21">
                  <c:v>18.599999999999998</c:v>
                </c:pt>
                <c:pt idx="22">
                  <c:v>12.299999999999999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F-4A60-A9D2-5590A614E1B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977960096"/>
        <c:axId val="582621167"/>
      </c:lineChart>
      <c:dateAx>
        <c:axId val="1977960096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21167"/>
        <c:crosses val="autoZero"/>
        <c:auto val="1"/>
        <c:lblOffset val="100"/>
        <c:baseTimeUnit val="months"/>
      </c:dateAx>
      <c:valAx>
        <c:axId val="582621167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crossAx val="197796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98613</xdr:colOff>
      <xdr:row>1</xdr:row>
      <xdr:rowOff>26889</xdr:rowOff>
    </xdr:from>
    <xdr:to>
      <xdr:col>17</xdr:col>
      <xdr:colOff>555812</xdr:colOff>
      <xdr:row>22</xdr:row>
      <xdr:rowOff>98611</xdr:rowOff>
    </xdr:to>
    <xdr:graphicFrame macro="">
      <xdr:nvGraphicFramePr>
        <xdr:cNvPr id="3" name="TypePieChart">
          <a:extLst>
            <a:ext uri="{FF2B5EF4-FFF2-40B4-BE49-F238E27FC236}">
              <a16:creationId xmlns:a16="http://schemas.microsoft.com/office/drawing/2014/main" id="{0169BFF1-698B-5E5F-A464-88C93DFB9B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320040</xdr:colOff>
      <xdr:row>12</xdr:row>
      <xdr:rowOff>163830</xdr:rowOff>
    </xdr:from>
    <xdr:to>
      <xdr:col>16</xdr:col>
      <xdr:colOff>7620</xdr:colOff>
      <xdr:row>23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7050EB-4D98-5B72-36C7-26DC256828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n O'Dell" refreshedDate="46322.89557291667" createdVersion="8" refreshedVersion="8" minRefreshableVersion="3" recordCount="6" xr:uid="{4BFC49C5-94D2-4BEC-A5D6-A043BDB49A1C}">
  <cacheSource type="worksheet">
    <worksheetSource name="AircraftTable"/>
  </cacheSource>
  <cacheFields count="38">
    <cacheField name="Aircraft ID" numFmtId="0">
      <sharedItems/>
    </cacheField>
    <cacheField name="TypeCode" numFmtId="0">
      <sharedItems count="43">
        <s v="SGS 2-33"/>
        <s v="PTS2"/>
        <s v="DHC2"/>
        <s v="C172"/>
        <s v="T6II"/>
        <s v="T38C"/>
        <s v="PA30" u="1"/>
        <s v="BE58" u="1"/>
        <s v="C550" u="1"/>
        <s v="DA42" u="1"/>
        <s v="C180" u="1"/>
        <s v="C177" u="1"/>
        <s v="SR20" u="1"/>
        <s v="AC912" u="1"/>
        <s v="C150" u="1"/>
        <s v="C560" u="1"/>
        <s v="C182" u="1"/>
        <s v="BE9L" u="1"/>
        <s v="BE35" u="1"/>
        <s v="E300" u="1"/>
        <s v="CHAL2" u="1"/>
        <s v="C152" u="1"/>
        <s v="BE90" u="1"/>
        <s v="P28A" u="1"/>
        <s v="PA24" u="1"/>
        <s v="J3" u="1"/>
        <s v="PA22" u="1"/>
        <s v="AA5" u="1"/>
        <s v="TAIL" u="1"/>
        <s v="S22T" u="1"/>
        <s v="T6" u="1"/>
        <s v="C182RG" u="1"/>
        <s v="RV4" u="1"/>
        <s v="8KCAB" u="1"/>
        <s v="GLST" u="1"/>
        <s v="CASS" u="1"/>
        <s v="RV8" u="1"/>
        <s v="VELO" u="1"/>
        <s v="AR6T" u="1"/>
        <s v="CH7B" u="1"/>
        <s v="C425" u="1"/>
        <s v="C170" u="1"/>
        <s v="RNSS-9" u="1"/>
      </sharedItems>
    </cacheField>
    <cacheField name="Year" numFmtId="0">
      <sharedItems containsString="0" containsBlank="1" containsNumber="1" containsInteger="1" minValue="1966" maxValue="1966"/>
    </cacheField>
    <cacheField name="Make" numFmtId="0">
      <sharedItems/>
    </cacheField>
    <cacheField name="Model" numFmtId="0">
      <sharedItems/>
    </cacheField>
    <cacheField name="GearType" numFmtId="0">
      <sharedItems/>
    </cacheField>
    <cacheField name="EngineType" numFmtId="0">
      <sharedItems/>
    </cacheField>
    <cacheField name="aircraftClass (FAA)" numFmtId="0">
      <sharedItems count="9">
        <s v="Glider"/>
        <s v="Airplane Single Engine Land"/>
        <s v="Airplane Single Engine Sea"/>
        <s v="Airplane Multi Engine Land"/>
        <s v="Weight Shift Control" u="1"/>
        <s v="Airplane_Multi_Engine_Land" u="1"/>
        <s v="Airplane_Single_Engine_Sea" u="1"/>
        <s v="Airplane_Single_Engine_Land" u="1"/>
        <s v="Weight_Shift_Control_Land" u="1"/>
      </sharedItems>
    </cacheField>
    <cacheField name="complex (FAA)" numFmtId="0">
      <sharedItems containsBlank="1"/>
    </cacheField>
    <cacheField name="taa (FAA)" numFmtId="0">
      <sharedItems containsNonDate="0" containsString="0" containsBlank="1"/>
    </cacheField>
    <cacheField name="highPerformance (FAA)" numFmtId="0">
      <sharedItems containsBlank="1"/>
    </cacheField>
    <cacheField name="pressurized (FAA)" numFmtId="0">
      <sharedItems containsBlank="1"/>
    </cacheField>
    <cacheField name="Flights" numFmtId="0">
      <sharedItems containsSemiMixedTypes="0" containsString="0" containsNumber="1" containsInteger="1" minValue="3" maxValue="51"/>
    </cacheField>
    <cacheField name="Total Time" numFmtId="164">
      <sharedItems containsSemiMixedTypes="0" containsString="0" containsNumber="1" minValue="3.8" maxValue="56.499999999999979"/>
    </cacheField>
    <cacheField name="PIC" numFmtId="164">
      <sharedItems containsSemiMixedTypes="0" containsString="0" containsNumber="1" minValue="0" maxValue="51.400000000000013"/>
    </cacheField>
    <cacheField name="PRI" numFmtId="164">
      <sharedItems containsSemiMixedTypes="0" containsString="0" containsNumber="1" minValue="0" maxValue="54.899999999999984"/>
    </cacheField>
    <cacheField name="SIC" numFmtId="0">
      <sharedItems containsSemiMixedTypes="0" containsString="0" containsNumber="1" minValue="0" maxValue="6.2"/>
    </cacheField>
    <cacheField name="Solo" numFmtId="0">
      <sharedItems containsSemiMixedTypes="0" containsString="0" containsNumber="1" containsInteger="1" minValue="0" maxValue="0"/>
    </cacheField>
    <cacheField name="Night" numFmtId="0">
      <sharedItems containsSemiMixedTypes="0" containsString="0" containsNumber="1" minValue="0" maxValue="2.2999999999999998"/>
    </cacheField>
    <cacheField name="DualGiven" numFmtId="0">
      <sharedItems containsSemiMixedTypes="0" containsString="0" containsNumber="1" minValue="0" maxValue="5.4"/>
    </cacheField>
    <cacheField name="INST" numFmtId="0">
      <sharedItems containsSemiMixedTypes="0" containsString="0" containsNumber="1" containsInteger="1" minValue="0" maxValue="0"/>
    </cacheField>
    <cacheField name="Actual Inst" numFmtId="0">
      <sharedItems containsSemiMixedTypes="0" containsString="0" containsNumber="1" minValue="0" maxValue="1.6"/>
    </cacheField>
    <cacheField name="Sim Inst" numFmtId="0">
      <sharedItems containsSemiMixedTypes="0" containsString="0" containsNumber="1" minValue="0" maxValue="12.9"/>
    </cacheField>
    <cacheField name="XC" numFmtId="0">
      <sharedItems containsSemiMixedTypes="0" containsString="0" containsNumber="1" minValue="0" maxValue="30.599999999999998"/>
    </cacheField>
    <cacheField name="Dual Received" numFmtId="0">
      <sharedItems containsSemiMixedTypes="0" containsString="0" containsNumber="1" minValue="0" maxValue="50.099999999999994"/>
    </cacheField>
    <cacheField name="Formation" numFmtId="0">
      <sharedItems containsSemiMixedTypes="0" containsString="0" containsNumber="1" minValue="0" maxValue="18.899999999999995"/>
    </cacheField>
    <cacheField name="Day LDG" numFmtId="0">
      <sharedItems containsSemiMixedTypes="0" containsString="0" containsNumber="1" containsInteger="1" minValue="4" maxValue="150"/>
    </cacheField>
    <cacheField name="Night LDG" numFmtId="0">
      <sharedItems containsSemiMixedTypes="0" containsString="0" containsNumber="1" containsInteger="1" minValue="0" maxValue="9"/>
    </cacheField>
    <cacheField name="Total LDG" numFmtId="0">
      <sharedItems containsSemiMixedTypes="0" containsString="0" containsNumber="1" containsInteger="1" minValue="4" maxValue="156"/>
    </cacheField>
    <cacheField name="Holds" numFmtId="0">
      <sharedItems containsSemiMixedTypes="0" containsString="0" containsNumber="1" containsInteger="1" minValue="0" maxValue="9"/>
    </cacheField>
    <cacheField name="APPR" numFmtId="0">
      <sharedItems containsSemiMixedTypes="0" containsString="0" containsNumber="1" containsInteger="1" minValue="0" maxValue="42"/>
    </cacheField>
    <cacheField name="ILS" numFmtId="0">
      <sharedItems containsSemiMixedTypes="0" containsString="0" containsNumber="1" containsInteger="1" minValue="0" maxValue="21"/>
    </cacheField>
    <cacheField name="LOC" numFmtId="0">
      <sharedItems containsSemiMixedTypes="0" containsString="0" containsNumber="1" containsInteger="1" minValue="0" maxValue="6"/>
    </cacheField>
    <cacheField name="VOR/_x000a_TCN" numFmtId="0">
      <sharedItems containsSemiMixedTypes="0" containsString="0" containsNumber="1" containsInteger="1" minValue="0" maxValue="6"/>
    </cacheField>
    <cacheField name="RNAV" numFmtId="0">
      <sharedItems containsSemiMixedTypes="0" containsString="0" containsNumber="1" containsInteger="1" minValue="0" maxValue="6"/>
    </cacheField>
    <cacheField name="ASR" numFmtId="0">
      <sharedItems containsSemiMixedTypes="0" containsString="0" containsNumber="1" containsInteger="1" minValue="0" maxValue="2"/>
    </cacheField>
    <cacheField name="PAR" numFmtId="0">
      <sharedItems containsSemiMixedTypes="0" containsString="0" containsNumber="1" containsInteger="1" minValue="0" maxValue="1"/>
    </cacheField>
    <cacheField name="CIRCLE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N5722S"/>
    <x v="0"/>
    <m/>
    <s v="Schweiser"/>
    <s v="SGS 2-33"/>
    <s v="Skids"/>
    <s v="Non-powered"/>
    <x v="0"/>
    <m/>
    <m/>
    <m/>
    <m/>
    <n v="4"/>
    <n v="4.9000000000000004"/>
    <n v="4.9000000000000004"/>
    <n v="0"/>
    <n v="0"/>
    <n v="0"/>
    <n v="2.2999999999999998"/>
    <n v="0.8"/>
    <n v="0"/>
    <n v="0"/>
    <n v="0"/>
    <n v="0"/>
    <n v="1.8"/>
    <n v="0"/>
    <n v="4"/>
    <n v="0"/>
    <n v="4"/>
    <n v="0"/>
    <n v="0"/>
    <n v="0"/>
    <n v="0"/>
    <n v="0"/>
    <n v="0"/>
    <n v="0"/>
    <n v="0"/>
    <n v="0"/>
  </r>
  <r>
    <s v="N49BR"/>
    <x v="1"/>
    <m/>
    <s v="Aviat"/>
    <s v="Pitts S-2A"/>
    <s v="Fixed_Tailwheel"/>
    <s v="Piston"/>
    <x v="1"/>
    <m/>
    <m/>
    <m/>
    <m/>
    <n v="7"/>
    <n v="6.3000000000000007"/>
    <n v="6.3000000000000007"/>
    <n v="0"/>
    <n v="0"/>
    <n v="0"/>
    <n v="0"/>
    <n v="0"/>
    <n v="0"/>
    <n v="0"/>
    <n v="0"/>
    <n v="3.4"/>
    <n v="0"/>
    <n v="3.2"/>
    <n v="8"/>
    <n v="0"/>
    <n v="8"/>
    <n v="0"/>
    <n v="0"/>
    <n v="0"/>
    <n v="0"/>
    <n v="0"/>
    <n v="0"/>
    <n v="0"/>
    <n v="0"/>
    <n v="0"/>
  </r>
  <r>
    <s v="N1949B"/>
    <x v="2"/>
    <m/>
    <s v="DeHavilland"/>
    <s v="Beaver"/>
    <s v="Amphibian"/>
    <s v="Radial"/>
    <x v="2"/>
    <m/>
    <m/>
    <m/>
    <m/>
    <n v="3"/>
    <n v="3.8"/>
    <n v="0"/>
    <n v="0"/>
    <n v="3.8"/>
    <n v="0"/>
    <n v="1.5"/>
    <n v="0"/>
    <n v="0"/>
    <n v="0"/>
    <n v="0"/>
    <n v="0"/>
    <n v="0"/>
    <n v="0"/>
    <n v="5"/>
    <n v="1"/>
    <n v="6"/>
    <n v="0"/>
    <n v="0"/>
    <n v="0"/>
    <n v="0"/>
    <n v="0"/>
    <n v="0"/>
    <n v="0"/>
    <n v="0"/>
    <n v="0"/>
  </r>
  <r>
    <s v="N4389L"/>
    <x v="3"/>
    <n v="1966"/>
    <s v="Cessna"/>
    <s v="172G"/>
    <s v="Fixed_Tricycle"/>
    <s v="Piston"/>
    <x v="1"/>
    <m/>
    <m/>
    <m/>
    <m/>
    <n v="45"/>
    <n v="56.499999999999979"/>
    <n v="50.299999999999983"/>
    <n v="0"/>
    <n v="6.2"/>
    <n v="0"/>
    <n v="0"/>
    <n v="5.4"/>
    <n v="0"/>
    <n v="0"/>
    <n v="0"/>
    <n v="30.599999999999998"/>
    <n v="0"/>
    <n v="14.500000000000002"/>
    <n v="68"/>
    <n v="0"/>
    <n v="68"/>
    <n v="0"/>
    <n v="0"/>
    <n v="0"/>
    <n v="0"/>
    <n v="0"/>
    <n v="0"/>
    <n v="0"/>
    <n v="0"/>
    <n v="0"/>
  </r>
  <r>
    <s v="T6A"/>
    <x v="4"/>
    <m/>
    <s v="Beechcraft"/>
    <s v="T-6 Texan II"/>
    <s v="Retractable_Tricycle"/>
    <s v="Turboprop"/>
    <x v="1"/>
    <b v="1"/>
    <m/>
    <b v="1"/>
    <b v="1"/>
    <n v="35"/>
    <n v="51.400000000000013"/>
    <n v="51.400000000000013"/>
    <n v="51.400000000000013"/>
    <n v="0"/>
    <n v="0"/>
    <n v="1.1000000000000001"/>
    <n v="0"/>
    <n v="0"/>
    <n v="1.6"/>
    <n v="12.9"/>
    <n v="11.6"/>
    <n v="48.500000000000007"/>
    <n v="3.1999999999999997"/>
    <n v="150"/>
    <n v="6"/>
    <n v="156"/>
    <n v="7"/>
    <n v="20"/>
    <n v="7"/>
    <n v="3"/>
    <n v="5"/>
    <n v="4"/>
    <n v="0"/>
    <n v="1"/>
    <n v="1"/>
  </r>
  <r>
    <s v="T38C"/>
    <x v="5"/>
    <m/>
    <s v="Northrop"/>
    <s v="T-38C Talon"/>
    <s v="Retractable_Tricycle"/>
    <s v="Turbojet"/>
    <x v="3"/>
    <m/>
    <m/>
    <m/>
    <b v="1"/>
    <n v="51"/>
    <n v="54.899999999999984"/>
    <n v="4.8"/>
    <n v="54.899999999999984"/>
    <n v="0"/>
    <n v="0"/>
    <n v="2.2999999999999998"/>
    <n v="0"/>
    <n v="0"/>
    <n v="1.1000000000000001"/>
    <n v="12.700000000000001"/>
    <n v="13.900000000000002"/>
    <n v="50.099999999999994"/>
    <n v="18.899999999999995"/>
    <n v="110"/>
    <n v="9"/>
    <n v="119"/>
    <n v="9"/>
    <n v="42"/>
    <n v="21"/>
    <n v="6"/>
    <n v="6"/>
    <n v="6"/>
    <n v="2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00249D-772D-4CD9-920A-D8ABEBC2C7A0}" name="TypePieTable" cacheId="9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L10:M17" firstHeaderRow="1" firstDataRow="1" firstDataCol="1"/>
  <pivotFields count="38">
    <pivotField showAll="0"/>
    <pivotField axis="axisRow" showAll="0" measureFilter="1">
      <items count="44">
        <item m="1" x="33"/>
        <item m="1" x="27"/>
        <item m="1" x="13"/>
        <item m="1" x="38"/>
        <item m="1" x="18"/>
        <item m="1" x="7"/>
        <item m="1" x="22"/>
        <item m="1" x="17"/>
        <item m="1" x="14"/>
        <item m="1" x="21"/>
        <item m="1" x="41"/>
        <item x="3"/>
        <item m="1" x="11"/>
        <item m="1" x="10"/>
        <item m="1" x="16"/>
        <item m="1" x="31"/>
        <item m="1" x="40"/>
        <item m="1" x="8"/>
        <item m="1" x="15"/>
        <item m="1" x="35"/>
        <item m="1" x="39"/>
        <item m="1" x="20"/>
        <item m="1" x="9"/>
        <item x="2"/>
        <item m="1" x="19"/>
        <item m="1" x="34"/>
        <item m="1" x="25"/>
        <item m="1" x="23"/>
        <item m="1" x="26"/>
        <item m="1" x="24"/>
        <item m="1" x="6"/>
        <item x="1"/>
        <item m="1" x="42"/>
        <item m="1" x="32"/>
        <item m="1" x="36"/>
        <item m="1" x="29"/>
        <item x="0"/>
        <item m="1" x="12"/>
        <item x="5"/>
        <item m="1" x="30"/>
        <item x="4"/>
        <item m="1" x="28"/>
        <item m="1"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 v="11"/>
    </i>
    <i>
      <x v="23"/>
    </i>
    <i>
      <x v="31"/>
    </i>
    <i>
      <x v="36"/>
    </i>
    <i>
      <x v="38"/>
    </i>
    <i>
      <x v="40"/>
    </i>
    <i t="grand">
      <x/>
    </i>
  </rowItems>
  <colItems count="1">
    <i/>
  </colItems>
  <dataFields count="1">
    <dataField name="Total Time" fld="13" baseField="0" baseItem="0" numFmtId="164"/>
  </dataField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B2A7BD-4916-420A-8937-CE3A8ABB5895}" name="TypeTable" cacheId="9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showHeaders="0" outline="1" outlineData="1" multipleFieldFilters="0" chartFormat="2">
  <location ref="H3:J14" firstHeaderRow="0" firstDataRow="1" firstDataCol="1"/>
  <pivotFields count="38">
    <pivotField showAll="0"/>
    <pivotField name="Type" axis="axisRow" showAll="0" sortType="descending">
      <items count="44">
        <item m="1" x="33"/>
        <item m="1" x="27"/>
        <item m="1" x="13"/>
        <item m="1" x="38"/>
        <item m="1" x="18"/>
        <item m="1" x="7"/>
        <item m="1" x="22"/>
        <item m="1" x="17"/>
        <item m="1" x="14"/>
        <item m="1" x="21"/>
        <item m="1" x="41"/>
        <item x="3"/>
        <item m="1" x="11"/>
        <item m="1" x="10"/>
        <item m="1" x="16"/>
        <item m="1" x="31"/>
        <item m="1" x="40"/>
        <item m="1" x="8"/>
        <item m="1" x="15"/>
        <item m="1" x="35"/>
        <item m="1" x="39"/>
        <item m="1" x="20"/>
        <item m="1" x="9"/>
        <item x="2"/>
        <item m="1" x="19"/>
        <item m="1" x="34"/>
        <item m="1" x="25"/>
        <item m="1" x="23"/>
        <item m="1" x="26"/>
        <item m="1" x="24"/>
        <item m="1" x="6"/>
        <item x="1"/>
        <item m="1" x="42"/>
        <item m="1" x="32"/>
        <item m="1" x="36"/>
        <item m="1" x="29"/>
        <item x="0"/>
        <item m="1" x="12"/>
        <item x="5"/>
        <item m="1" x="30"/>
        <item x="4"/>
        <item m="1" x="28"/>
        <item m="1" x="37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name="Aircraft Class" axis="axisRow" showAll="0">
      <items count="10">
        <item n=" Airplane Multi Engine Land" m="1" x="5"/>
        <item x="3"/>
        <item n=" Airplane Single Engine Land" x="1"/>
        <item n=" Airplane Single Engine Sea" sd="0" m="1" x="6"/>
        <item n=" Glider" x="0"/>
        <item n=" Weight Shift Control" sd="0" m="1" x="4"/>
        <item n="Airplane Single Engine Land" sd="0" m="1" x="7"/>
        <item m="1" x="8"/>
        <item x="2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7"/>
    <field x="1"/>
  </rowFields>
  <rowItems count="11">
    <i>
      <x v="1"/>
    </i>
    <i r="1">
      <x v="38"/>
    </i>
    <i>
      <x v="2"/>
    </i>
    <i r="1">
      <x v="11"/>
    </i>
    <i r="1">
      <x v="40"/>
    </i>
    <i r="1">
      <x v="31"/>
    </i>
    <i>
      <x v="4"/>
    </i>
    <i r="1">
      <x v="36"/>
    </i>
    <i>
      <x v="8"/>
    </i>
    <i r="1"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Flights" fld="12" baseField="0" baseItem="0"/>
    <dataField name="Total Time" fld="13" baseField="0" baseItem="0" numFmtId="164"/>
  </dataFields>
  <formats count="7">
    <format dxfId="26">
      <pivotArea type="all" dataOnly="0" outline="0" fieldPosition="0"/>
    </format>
    <format dxfId="25">
      <pivotArea outline="0" collapsedLevelsAreSubtotals="1" fieldPosition="0"/>
    </format>
    <format dxfId="24">
      <pivotArea dataOnly="0" labelOnly="1" fieldPosition="0">
        <references count="1">
          <reference field="7" count="0"/>
        </references>
      </pivotArea>
    </format>
    <format dxfId="23">
      <pivotArea dataOnly="0" labelOnly="1" grandRow="1" outline="0" fieldPosition="0"/>
    </format>
    <format dxfId="22">
      <pivotArea dataOnly="0" labelOnly="1" fieldPosition="0">
        <references count="2">
          <reference field="1" count="1">
            <x v="38"/>
          </reference>
          <reference field="7" count="1" selected="0">
            <x v="1"/>
          </reference>
        </references>
      </pivotArea>
    </format>
    <format dxfId="21">
      <pivotArea dataOnly="0" labelOnly="1" fieldPosition="0">
        <references count="2">
          <reference field="1" count="3">
            <x v="11"/>
            <x v="31"/>
            <x v="40"/>
          </reference>
          <reference field="7" count="1" selected="0">
            <x v="2"/>
          </reference>
        </references>
      </pivotArea>
    </format>
    <format dxfId="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659A70-B611-46B3-8A12-7A56AB027418}" name="MasterTable" displayName="MasterTable" ref="D3:AT148" headerRowDxfId="114" dataDxfId="113" totalsRowDxfId="112">
  <autoFilter ref="D3:AT148" xr:uid="{25659A70-B611-46B3-8A12-7A56AB027418}"/>
  <sortState xmlns:xlrd2="http://schemas.microsoft.com/office/spreadsheetml/2017/richdata2" ref="D4:AT148">
    <sortCondition descending="1" ref="D3:D148"/>
  </sortState>
  <tableColumns count="43">
    <tableColumn id="1" xr3:uid="{A754113A-233B-44BF-A02D-9FA452186E86}" name="Date" totalsRowLabel="Total" dataDxfId="111"/>
    <tableColumn id="2" xr3:uid="{CEB3CEAC-A9A7-49BF-AB6C-9CAC5AF51497}" name="Aircraft ID" dataDxfId="110"/>
    <tableColumn id="3" xr3:uid="{C23ED6F4-DB76-4DCE-8418-42A6EA78F21E}" name="From" dataDxfId="109"/>
    <tableColumn id="4" xr3:uid="{87981AA2-3755-415C-BCE3-CD576340F3D1}" name="To" dataDxfId="108"/>
    <tableColumn id="5" xr3:uid="{EE3D0E95-9183-47F5-A751-A4A5AE95E75A}" name="Route" dataDxfId="107"/>
    <tableColumn id="12" xr3:uid="{E2B48CF6-CD51-4B65-BBF2-A4A88808EAB3}" name="Total_x000a_Time" dataDxfId="106"/>
    <tableColumn id="13" xr3:uid="{BF89612E-1A04-4B1F-AE41-55F0508F1298}" name="PIC" dataDxfId="105"/>
    <tableColumn id="67" xr3:uid="{F109EA02-4EA7-4EB8-9452-B75187541B3E}" name="PRI _x000a_(Mil)" dataDxfId="104"/>
    <tableColumn id="14" xr3:uid="{F5B2E294-71AF-439A-BA05-F1D16AF13D24}" name="SIC" dataDxfId="103"/>
    <tableColumn id="9" xr3:uid="{39463B72-3E01-4DB1-B7C3-8F657C93CADA}" name="SEC_x000a_(MIL)" dataDxfId="102"/>
    <tableColumn id="15" xr3:uid="{4C82E63C-7A90-43D3-8666-E9222F861628}" name="Solo" dataDxfId="101"/>
    <tableColumn id="70" xr3:uid="{81DED9FE-CA0D-47F0-B97D-581ED389B270}" name="Dual_x000a_Given" dataDxfId="100"/>
    <tableColumn id="18" xr3:uid="{C49C0DDF-183A-428B-B12C-7907DD0E7915}" name="Dual_x000a_Received" dataDxfId="99"/>
    <tableColumn id="71" xr3:uid="{5C4A0FA5-3F86-4F79-A5B2-7585A95A14CD}" name="INST_x000a_(Mil)" dataDxfId="98"/>
    <tableColumn id="10" xr3:uid="{679DFACB-29C7-4D8A-A458-A88473A84ABB}" name="EVAL_x000a_(MIL)" dataDxfId="97"/>
    <tableColumn id="11" xr3:uid="{E75D961E-2A01-4EB9-9AF7-2CFE2CE3AE5E}" name="Night" dataDxfId="96"/>
    <tableColumn id="6" xr3:uid="{2FAF449C-C7CD-48EC-9C1B-07099781E5CB}" name="Cross_x000a_Country" dataDxfId="95"/>
    <tableColumn id="7" xr3:uid="{E2FB0606-79A2-412A-BCC0-39B2D9BF6533}" name="OTHER_x000a_(MIL)" dataDxfId="94"/>
    <tableColumn id="8" xr3:uid="{EE33D0AA-A2CF-4AEA-AFCF-FDE841A504F3}" name="Formation" dataDxfId="93"/>
    <tableColumn id="91" xr3:uid="{2D6395FE-B272-4150-95DF-BD13F3FD630A}" name="Takeoffs_x000a_Day" dataDxfId="92"/>
    <tableColumn id="96" xr3:uid="{2F3C3108-DAA6-4F45-ADAE-EFEDA66CCCD9}" name="Landings_x000a_Day" dataDxfId="91"/>
    <tableColumn id="95" xr3:uid="{65D6CE31-617B-4D4E-91D0-5EAFD4ED88FD}" name="Takeoffs_x000a_Night" dataDxfId="90"/>
    <tableColumn id="93" xr3:uid="{A976211F-08EF-4034-8ED0-FC76D0087DD3}" name="Landings_x000a_Night" dataDxfId="89"/>
    <tableColumn id="92" xr3:uid="{65DF4A92-A8EC-46BD-A3C9-85111ADA474E}" name="Landings_x000a_Total" dataDxfId="88">
      <calculatedColumnFormula>MasterTable[[#This Row],[Landings
Night]]+MasterTable[[#This Row],[Landings
Day]]</calculatedColumnFormula>
    </tableColumn>
    <tableColumn id="16" xr3:uid="{FF846DDE-D366-402E-BC01-B18F410FD26E}" name="Actual_x000a_Instrument" dataDxfId="87"/>
    <tableColumn id="17" xr3:uid="{251710DF-5FA9-43EC-AF5F-A9295458DA6A}" name="Simulated_x000a_Instrument" dataDxfId="86"/>
    <tableColumn id="31" xr3:uid="{CE115D46-E57A-4605-A124-0EE983ADBDE3}" name="Holds" dataDxfId="85"/>
    <tableColumn id="89" xr3:uid="{F2F80685-31DB-4284-8640-5186C8A1C301}" name="APPR" dataDxfId="84">
      <calculatedColumnFormula>SUM(MasterTable[[#This Row],[ILS]:[PAR]])</calculatedColumnFormula>
    </tableColumn>
    <tableColumn id="83" xr3:uid="{8530B890-5E7A-4AF7-A21F-C8E3D78FAD6D}" name="ILS" dataDxfId="83"/>
    <tableColumn id="84" xr3:uid="{343AB158-E4D7-46A3-BC6B-50F99C63B797}" name="LOC" dataDxfId="82"/>
    <tableColumn id="85" xr3:uid="{4C7983E4-0612-40E8-BBE3-BEA95F554EDA}" name="VOR/_x000a_TCN" dataDxfId="81"/>
    <tableColumn id="86" xr3:uid="{8807B30C-F677-4310-8C51-33ED49D2A12C}" name="RNAV" dataDxfId="80"/>
    <tableColumn id="87" xr3:uid="{16EDC11F-6B2A-429A-B994-205C759B2D88}" name="ASR" dataDxfId="79"/>
    <tableColumn id="88" xr3:uid="{89D4DE9C-D06E-49C9-9654-E8F82DD3E93B}" name="PAR" dataDxfId="78"/>
    <tableColumn id="90" xr3:uid="{98C88BF8-A1BC-48C8-AB49-5D30CD2D8787}" name="CIRCLE" dataDxfId="77"/>
    <tableColumn id="51" xr3:uid="{898819CA-5455-4F65-8136-D37632EACB46}" name="Comments" dataDxfId="76"/>
    <tableColumn id="52" xr3:uid="{1A223231-FE56-4D5A-9E97-0A99AB0A9760}" name="Flight Review_x000a_(FAA)" dataDxfId="75"/>
    <tableColumn id="53" xr3:uid="{E6ECCAB8-C0A3-4373-8434-09226274AA24}" name="IPC _x000a_(FAA)" dataDxfId="74"/>
    <tableColumn id="54" xr3:uid="{8385E33F-4027-4AF9-84BF-DB765CA20524}" name="Checkride_x000a_(FAA)" dataDxfId="73"/>
    <tableColumn id="77" xr3:uid="{E2A9234D-5111-48EB-9D8A-C625CCE707D7}" name="Checkride_x000a_(MIL)" dataDxfId="72"/>
    <tableColumn id="19" xr3:uid="{FA427B5A-7389-4D38-AABC-D32CB08E8B4E}" name="ClassCheck" dataDxfId="71">
      <calculatedColumnFormula>_xlfn.XLOOKUP(MasterTable[[#This Row],[Aircraft ID]],Aircraft!A:A,Aircraft!H:H)</calculatedColumnFormula>
    </tableColumn>
    <tableColumn id="98" xr3:uid="{1D54AB85-74C0-4F84-8C82-FB31814A6737}" name="VAL APR" dataDxfId="70" totalsRowDxfId="69">
      <calculatedColumnFormula>OR((SUM(MasterTable[[#This Row],[ILS]:[PAR]]) = MasterTable[[#This Row],[APPR]]))</calculatedColumnFormula>
    </tableColumn>
    <tableColumn id="100" xr3:uid="{F472A7C9-3069-46B2-8AAC-7275F954EF92}" name="VAL TT" dataDxfId="68" totalsRowDxfId="67">
      <calculatedColumnFormula>NOT(ISBLANK(MasterTable[[#This Row],[Total
Time]]))</calculatedColumnFormula>
    </tableColumn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E90BAC-AB2B-4CD5-BDAB-84314FB8FEF1}" name="AircraftTable" displayName="AircraftTable" ref="A1:AL7" totalsRowShown="0" headerRowDxfId="66" dataDxfId="65">
  <autoFilter ref="A1:AL7" xr:uid="{D7E90BAC-AB2B-4CD5-BDAB-84314FB8FEF1}"/>
  <tableColumns count="38">
    <tableColumn id="1" xr3:uid="{346DA1B8-D8A2-4F2C-9A98-72A013E3A7C7}" name="Aircraft ID" dataDxfId="64"/>
    <tableColumn id="2" xr3:uid="{7A1F3185-0BFA-4BB4-BC88-23826E71F0C2}" name="TypeCode" dataDxfId="63"/>
    <tableColumn id="3" xr3:uid="{FF6CE364-9F57-453A-A354-46199513E150}" name="Year" dataDxfId="62"/>
    <tableColumn id="4" xr3:uid="{E5FF2880-09B5-4762-9200-99D84048D28E}" name="Make" dataDxfId="61"/>
    <tableColumn id="5" xr3:uid="{BBC5A55F-5EC6-423B-8BC3-CA068F42E6C2}" name="Model" dataDxfId="60"/>
    <tableColumn id="6" xr3:uid="{95D00B98-5F3B-42E8-86F3-79199A8A8AF3}" name="GearType" dataDxfId="59"/>
    <tableColumn id="7" xr3:uid="{79C7353A-ABD5-4CEA-9DEA-34C2222D7C48}" name="EngineType" dataDxfId="58"/>
    <tableColumn id="9" xr3:uid="{239C2C23-76F9-4AC8-833C-6D67BEA3FEC3}" name="aircraftClass (FAA)" dataDxfId="57"/>
    <tableColumn id="10" xr3:uid="{F69D40EC-9DA8-4A40-8094-F93DE98A6293}" name="complex (FAA)" dataDxfId="56"/>
    <tableColumn id="11" xr3:uid="{14162C5E-E556-4949-83A3-0C7C654199C0}" name="taa (FAA)" dataDxfId="55"/>
    <tableColumn id="12" xr3:uid="{C2FDAB86-28DB-46B5-B99C-FFF9FFD5648E}" name="highPerformance (FAA)" dataDxfId="54"/>
    <tableColumn id="13" xr3:uid="{C54771F6-194C-4B31-990A-BC680D8DB9E8}" name="pressurized (FAA)" dataDxfId="53"/>
    <tableColumn id="35" xr3:uid="{68F62FA4-0515-4653-B6A4-940385CA123B}" name="Flights" dataDxfId="52">
      <calculatedColumnFormula>COUNTIF(MasterTable[Aircraft ID],Aircraft!A:A)</calculatedColumnFormula>
    </tableColumn>
    <tableColumn id="14" xr3:uid="{92A8E8FA-1DAA-444F-8450-C6737CB1EF90}" name="Total Time" dataDxfId="51">
      <calculatedColumnFormula>SUMIF(MasterTable[Aircraft ID],Aircraft!A:A,MasterTable[Total
Time])</calculatedColumnFormula>
    </tableColumn>
    <tableColumn id="36" xr3:uid="{E9F14825-194C-471F-9301-0E7C98BDC2F8}" name="PIC" dataDxfId="50">
      <calculatedColumnFormula>SUMIF(MasterTable[Aircraft ID],Aircraft!A:A,MasterTable[PIC])</calculatedColumnFormula>
    </tableColumn>
    <tableColumn id="37" xr3:uid="{ABF8C230-86CA-4DBB-8F8F-DC3C2757D099}" name="PRI" dataDxfId="49">
      <calculatedColumnFormula>SUMIF(MasterTable[Aircraft ID],Aircraft!A:A,MasterTable[PRI 
(Mil)])</calculatedColumnFormula>
    </tableColumn>
    <tableColumn id="19" xr3:uid="{310BFBAC-78C5-445D-AABA-94CEC37C4603}" name="SIC" dataDxfId="48">
      <calculatedColumnFormula>SUMIF(MasterTable[Aircraft ID],Aircraft!A:A,MasterTable[SIC])</calculatedColumnFormula>
    </tableColumn>
    <tableColumn id="8" xr3:uid="{713829C4-FCAC-4DD9-837B-C0881DCC06A3}" name="Solo" dataDxfId="47">
      <calculatedColumnFormula>SUMIF(MasterTable[Aircraft ID],Aircraft!A:A,MasterTable[Solo])</calculatedColumnFormula>
    </tableColumn>
    <tableColumn id="20" xr3:uid="{8D240563-6CDA-4144-BA55-216840F37E70}" name="Night" dataDxfId="46">
      <calculatedColumnFormula>SUMIF(MasterTable[Aircraft ID],Aircraft!A:A,MasterTable[Night])</calculatedColumnFormula>
    </tableColumn>
    <tableColumn id="21" xr3:uid="{4D005945-B791-48C8-A2D0-95C69215987B}" name="DualGiven" dataDxfId="45">
      <calculatedColumnFormula>SUMIF(MasterTable[Aircraft ID],Aircraft!A:A,MasterTable[Dual
Given])</calculatedColumnFormula>
    </tableColumn>
    <tableColumn id="22" xr3:uid="{5E4C27EC-5B88-4641-AB4D-0F9755194D89}" name="INST" dataDxfId="44">
      <calculatedColumnFormula>SUMIF(MasterTable[Aircraft ID],Aircraft!A:A,MasterTable[INST
(Mil)])</calculatedColumnFormula>
    </tableColumn>
    <tableColumn id="23" xr3:uid="{3BDAFFBC-1EAD-4E4B-984F-0181632B234B}" name="Actual Inst" dataDxfId="43">
      <calculatedColumnFormula>SUMIF(MasterTable[Aircraft ID],Aircraft!A:A,MasterTable[Actual
Instrument])</calculatedColumnFormula>
    </tableColumn>
    <tableColumn id="24" xr3:uid="{9EF17AE3-E3BA-4393-A9B6-80C033D0F5A8}" name="Sim Inst" dataDxfId="42">
      <calculatedColumnFormula>SUMIF(MasterTable[Aircraft ID],Aircraft!A:A,MasterTable[Simulated
Instrument])</calculatedColumnFormula>
    </tableColumn>
    <tableColumn id="25" xr3:uid="{46E7F0ED-FDC0-4888-848D-3184E52BFE05}" name="XC" dataDxfId="41">
      <calculatedColumnFormula>SUMIF(MasterTable[Aircraft ID],Aircraft!A:A,MasterTable[Cross
Country])</calculatedColumnFormula>
    </tableColumn>
    <tableColumn id="41" xr3:uid="{6677B779-255A-49B3-85AA-E4CB2BE0FA51}" name="Dual Received" dataDxfId="40">
      <calculatedColumnFormula>SUMIF(MasterTable[Aircraft ID],Aircraft!A:A,MasterTable[Dual
Received])</calculatedColumnFormula>
    </tableColumn>
    <tableColumn id="42" xr3:uid="{F6185CC4-7456-4766-A131-56DCBD55E598}" name="Formation" dataDxfId="39">
      <calculatedColumnFormula>SUMIF(MasterTable[Aircraft ID],Aircraft!A:A,MasterTable[Formation])</calculatedColumnFormula>
    </tableColumn>
    <tableColumn id="38" xr3:uid="{92A55CED-B955-405E-AAD7-AA40B8283B15}" name="Day LDG" dataDxfId="38">
      <calculatedColumnFormula>SUMIF(MasterTable[Aircraft ID],Aircraft!A:A,MasterTable[Landings
Day])</calculatedColumnFormula>
    </tableColumn>
    <tableColumn id="39" xr3:uid="{7E027008-FA08-438B-BB88-DB4F142D2AB7}" name="Night LDG" dataDxfId="37">
      <calculatedColumnFormula>SUMIF(MasterTable[Aircraft ID],Aircraft!A:A,MasterTable[Landings
Night])</calculatedColumnFormula>
    </tableColumn>
    <tableColumn id="40" xr3:uid="{7B12298E-2297-4B6E-B9D0-EE033F1020CF}" name="Total LDG" dataDxfId="36">
      <calculatedColumnFormula>SUMIF(MasterTable[Aircraft ID],Aircraft!A:A,MasterTable[Landings
Total])</calculatedColumnFormula>
    </tableColumn>
    <tableColumn id="26" xr3:uid="{A4BC17EA-6E3F-4DAC-B3C4-655335D0FE95}" name="Holds" dataDxfId="35">
      <calculatedColumnFormula>SUMIF(MasterTable[Aircraft ID],Aircraft!A:A,MasterTable[Holds])</calculatedColumnFormula>
    </tableColumn>
    <tableColumn id="27" xr3:uid="{D1D70857-B99B-47DA-A1F3-B9013BF1FD8A}" name="APPR" dataDxfId="34">
      <calculatedColumnFormula>SUMIF(MasterTable[Aircraft ID],Aircraft!$A:$A,Flights!AE:AE)</calculatedColumnFormula>
    </tableColumn>
    <tableColumn id="28" xr3:uid="{2FE65E9B-274B-4517-8DF6-B9311B1D723A}" name="ILS" dataDxfId="33">
      <calculatedColumnFormula>SUMIF(MasterTable[Aircraft ID],Aircraft!$A:$A,MasterTable[ILS])</calculatedColumnFormula>
    </tableColumn>
    <tableColumn id="29" xr3:uid="{B0B02AE6-BAE8-4EF7-A7DC-BF44E478B5EE}" name="LOC" dataDxfId="32">
      <calculatedColumnFormula>SUMIF(MasterTable[Aircraft ID],Aircraft!$A:$A,MasterTable[LOC])</calculatedColumnFormula>
    </tableColumn>
    <tableColumn id="30" xr3:uid="{8EF42692-FBB1-4108-929D-587EB31407EC}" name="VOR/_x000a_TCN" dataDxfId="31">
      <calculatedColumnFormula>SUMIF(MasterTable[Aircraft ID],Aircraft!$A:$A,MasterTable[VOR/
TCN])</calculatedColumnFormula>
    </tableColumn>
    <tableColumn id="31" xr3:uid="{7A7F1149-2162-4A95-B1DF-8B9BC158B89A}" name="RNAV" dataDxfId="30">
      <calculatedColumnFormula>SUMIF(MasterTable[Aircraft ID],Aircraft!$A:$A,MasterTable[RNAV])</calculatedColumnFormula>
    </tableColumn>
    <tableColumn id="32" xr3:uid="{1C80F46D-6E43-4E31-A860-0A6A4AB33BF0}" name="ASR" dataDxfId="29">
      <calculatedColumnFormula>SUMIF(MasterTable[Aircraft ID],Aircraft!$A:$A,MasterTable[ASR])</calculatedColumnFormula>
    </tableColumn>
    <tableColumn id="33" xr3:uid="{92DE538C-8DCA-4ECA-ABBF-74F6EDCD8816}" name="PAR" dataDxfId="28">
      <calculatedColumnFormula>SUMIF(MasterTable[Aircraft ID],Aircraft!$A:$A,MasterTable[PAR])</calculatedColumnFormula>
    </tableColumn>
    <tableColumn id="34" xr3:uid="{6437FEA2-6169-4B96-89ED-C4A5B7600D1D}" name="CIRCLE" dataDxfId="27">
      <calculatedColumnFormula>SUMIF(MasterTable[Aircraft ID],Aircraft!$A:$A,MasterTable[CIRCLE])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24DFD3-5394-467F-87B0-8C3E54DDB3E4}" name="Setup" displayName="Setup" ref="B2:D13" totalsRowShown="0">
  <autoFilter ref="B2:D13" xr:uid="{7224DFD3-5394-467F-87B0-8C3E54DDB3E4}"/>
  <tableColumns count="3">
    <tableColumn id="1" xr3:uid="{FFB21CA3-8C17-48FB-AE8E-5BD71476E558}" name="Gear Type"/>
    <tableColumn id="2" xr3:uid="{C107D9E1-D2A8-4196-B4DB-13393C9F8AF5}" name="Engine Type"/>
    <tableColumn id="3" xr3:uid="{CEBEE701-D633-4D8D-BC92-D9366A78CCE4}" name="AircraftClas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C7828-3421-4CAC-B146-841C50B1E627}">
  <sheetPr codeName="Sheet1">
    <tabColor theme="6" tint="0.39997558519241921"/>
  </sheetPr>
  <dimension ref="A1:AT148"/>
  <sheetViews>
    <sheetView tabSelected="1" zoomScale="85" zoomScaleNormal="85" workbookViewId="0">
      <selection activeCell="G22" sqref="G22"/>
    </sheetView>
  </sheetViews>
  <sheetFormatPr defaultRowHeight="14.4" x14ac:dyDescent="0.3"/>
  <cols>
    <col min="1" max="1" width="0.88671875" style="2" customWidth="1"/>
    <col min="2" max="2" width="8.5546875" style="2" customWidth="1"/>
    <col min="3" max="3" width="0.88671875" style="2" customWidth="1"/>
    <col min="4" max="4" width="11.21875" style="22" bestFit="1" customWidth="1"/>
    <col min="5" max="5" width="9.21875" style="8" customWidth="1"/>
    <col min="6" max="8" width="8.88671875" style="8"/>
    <col min="9" max="12" width="6.77734375" style="10" customWidth="1"/>
    <col min="13" max="14" width="6.77734375" style="10" hidden="1" customWidth="1"/>
    <col min="15" max="15" width="6.77734375" style="10" customWidth="1"/>
    <col min="16" max="16" width="8.77734375" style="10" customWidth="1"/>
    <col min="17" max="19" width="6.77734375" style="10" customWidth="1"/>
    <col min="20" max="20" width="8.77734375" style="10" customWidth="1"/>
    <col min="21" max="21" width="6.77734375" style="10" customWidth="1"/>
    <col min="22" max="22" width="8.88671875" style="8"/>
    <col min="23" max="26" width="8.77734375" style="11" customWidth="1"/>
    <col min="27" max="27" width="8.77734375" style="10" hidden="1" customWidth="1"/>
    <col min="28" max="29" width="10.77734375" style="10" customWidth="1"/>
    <col min="30" max="30" width="7.109375" style="11" customWidth="1"/>
    <col min="31" max="31" width="0" style="17" hidden="1" customWidth="1"/>
    <col min="32" max="37" width="6.77734375" style="11" customWidth="1"/>
    <col min="38" max="38" width="6.77734375" style="8" customWidth="1"/>
    <col min="39" max="39" width="23.88671875" style="8" customWidth="1"/>
    <col min="40" max="43" width="12.77734375" style="27" customWidth="1"/>
    <col min="44" max="44" width="20" style="27" hidden="1" customWidth="1"/>
    <col min="45" max="45" width="2.109375" customWidth="1"/>
    <col min="46" max="46" width="2.33203125" customWidth="1"/>
  </cols>
  <sheetData>
    <row r="1" spans="1:46" ht="58.8" customHeight="1" x14ac:dyDescent="0.3">
      <c r="D1" s="95" t="s">
        <v>167</v>
      </c>
      <c r="E1" s="95"/>
      <c r="F1" s="95"/>
      <c r="G1" s="95"/>
      <c r="H1" s="95"/>
      <c r="I1" s="97" t="s">
        <v>166</v>
      </c>
      <c r="J1" s="97"/>
      <c r="K1" s="97"/>
      <c r="L1" s="97"/>
      <c r="M1" s="97"/>
      <c r="N1" s="97"/>
      <c r="O1" s="99" t="s">
        <v>165</v>
      </c>
      <c r="P1" s="99"/>
      <c r="Q1" s="99"/>
      <c r="R1" s="99"/>
      <c r="S1" s="100" t="s">
        <v>164</v>
      </c>
      <c r="T1" s="100"/>
      <c r="U1" s="100"/>
      <c r="V1" s="100"/>
      <c r="W1" s="98" t="s">
        <v>163</v>
      </c>
      <c r="X1" s="98"/>
      <c r="Y1" s="98"/>
      <c r="Z1" s="98"/>
      <c r="AA1" s="98"/>
      <c r="AB1" s="97" t="s">
        <v>162</v>
      </c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48" t="s">
        <v>75</v>
      </c>
      <c r="AN1" s="96" t="s">
        <v>168</v>
      </c>
      <c r="AO1" s="96"/>
      <c r="AP1" s="96"/>
      <c r="AQ1" s="96"/>
      <c r="AR1" s="88"/>
    </row>
    <row r="2" spans="1:46" ht="2.4" customHeight="1" thickBot="1" x14ac:dyDescent="0.35"/>
    <row r="3" spans="1:46" s="1" customFormat="1" ht="35.4" customHeight="1" thickTop="1" thickBot="1" x14ac:dyDescent="0.35">
      <c r="B3" s="4" t="s">
        <v>70</v>
      </c>
      <c r="C3" s="3"/>
      <c r="D3" s="1" t="s">
        <v>35</v>
      </c>
      <c r="E3" s="1" t="s">
        <v>87</v>
      </c>
      <c r="F3" s="1" t="s">
        <v>36</v>
      </c>
      <c r="G3" s="1" t="s">
        <v>37</v>
      </c>
      <c r="H3" s="1" t="s">
        <v>38</v>
      </c>
      <c r="I3" s="7" t="s">
        <v>86</v>
      </c>
      <c r="J3" s="6" t="s">
        <v>39</v>
      </c>
      <c r="K3" s="7" t="s">
        <v>88</v>
      </c>
      <c r="L3" s="6" t="s">
        <v>40</v>
      </c>
      <c r="M3" s="7" t="s">
        <v>159</v>
      </c>
      <c r="N3" s="7" t="s">
        <v>42</v>
      </c>
      <c r="O3" s="7" t="s">
        <v>85</v>
      </c>
      <c r="P3" s="7" t="s">
        <v>96</v>
      </c>
      <c r="Q3" s="7" t="s">
        <v>89</v>
      </c>
      <c r="R3" s="7" t="s">
        <v>160</v>
      </c>
      <c r="S3" s="6" t="s">
        <v>41</v>
      </c>
      <c r="T3" s="7" t="s">
        <v>95</v>
      </c>
      <c r="U3" s="7" t="s">
        <v>161</v>
      </c>
      <c r="V3" s="6" t="s">
        <v>76</v>
      </c>
      <c r="W3" s="9" t="s">
        <v>90</v>
      </c>
      <c r="X3" s="9" t="s">
        <v>92</v>
      </c>
      <c r="Y3" s="9" t="s">
        <v>91</v>
      </c>
      <c r="Z3" s="9" t="s">
        <v>93</v>
      </c>
      <c r="AA3" s="9" t="s">
        <v>94</v>
      </c>
      <c r="AB3" s="7" t="s">
        <v>73</v>
      </c>
      <c r="AC3" s="7" t="s">
        <v>74</v>
      </c>
      <c r="AD3" s="5" t="s">
        <v>43</v>
      </c>
      <c r="AE3" s="18" t="s">
        <v>101</v>
      </c>
      <c r="AF3" s="5" t="s">
        <v>78</v>
      </c>
      <c r="AG3" s="5" t="s">
        <v>79</v>
      </c>
      <c r="AH3" s="9" t="s">
        <v>80</v>
      </c>
      <c r="AI3" s="5" t="s">
        <v>81</v>
      </c>
      <c r="AJ3" s="5" t="s">
        <v>82</v>
      </c>
      <c r="AK3" s="5" t="s">
        <v>83</v>
      </c>
      <c r="AL3" s="5" t="s">
        <v>84</v>
      </c>
      <c r="AM3" s="1" t="s">
        <v>75</v>
      </c>
      <c r="AN3" s="28" t="s">
        <v>97</v>
      </c>
      <c r="AO3" s="28" t="s">
        <v>98</v>
      </c>
      <c r="AP3" s="28" t="s">
        <v>99</v>
      </c>
      <c r="AQ3" s="28" t="s">
        <v>100</v>
      </c>
      <c r="AR3" s="28" t="s">
        <v>241</v>
      </c>
      <c r="AS3" s="1" t="s">
        <v>102</v>
      </c>
      <c r="AT3" s="1" t="s">
        <v>103</v>
      </c>
    </row>
    <row r="4" spans="1:46" s="12" customFormat="1" ht="14.4" customHeight="1" thickTop="1" x14ac:dyDescent="0.3">
      <c r="B4" s="90"/>
      <c r="C4" s="20"/>
      <c r="D4" s="22">
        <v>46316</v>
      </c>
      <c r="E4" s="12" t="s">
        <v>71</v>
      </c>
      <c r="F4" s="12" t="s">
        <v>44</v>
      </c>
      <c r="G4" s="12" t="s">
        <v>44</v>
      </c>
      <c r="I4" s="14">
        <v>1.1000000000000001</v>
      </c>
      <c r="J4" s="13">
        <v>0</v>
      </c>
      <c r="K4" s="14">
        <v>1.1000000000000001</v>
      </c>
      <c r="L4" s="13">
        <v>0</v>
      </c>
      <c r="M4" s="14">
        <v>0</v>
      </c>
      <c r="N4" s="14">
        <v>0</v>
      </c>
      <c r="O4" s="14">
        <v>0</v>
      </c>
      <c r="P4" s="14">
        <v>1.1000000000000001</v>
      </c>
      <c r="Q4" s="14">
        <v>0</v>
      </c>
      <c r="R4" s="14">
        <v>0</v>
      </c>
      <c r="S4" s="13">
        <v>0</v>
      </c>
      <c r="T4" s="14">
        <v>0</v>
      </c>
      <c r="U4" s="14">
        <v>0</v>
      </c>
      <c r="V4" s="13">
        <v>1.1000000000000001</v>
      </c>
      <c r="W4" s="16">
        <v>3</v>
      </c>
      <c r="X4" s="16">
        <v>3</v>
      </c>
      <c r="Y4" s="16">
        <v>0</v>
      </c>
      <c r="Z4" s="16">
        <v>0</v>
      </c>
      <c r="AA4" s="16">
        <f>MasterTable[[#This Row],[Landings
Night]]+MasterTable[[#This Row],[Landings
Day]]</f>
        <v>3</v>
      </c>
      <c r="AB4" s="14">
        <v>0</v>
      </c>
      <c r="AC4" s="14">
        <v>0</v>
      </c>
      <c r="AD4" s="15">
        <v>0</v>
      </c>
      <c r="AE4" s="21">
        <f>SUM(MasterTable[[#This Row],[ILS]:[PAR]])</f>
        <v>0</v>
      </c>
      <c r="AF4" s="15"/>
      <c r="AG4" s="15"/>
      <c r="AH4" s="16"/>
      <c r="AI4" s="15"/>
      <c r="AJ4" s="15"/>
      <c r="AK4" s="15"/>
      <c r="AL4" s="15"/>
      <c r="AN4" s="29"/>
      <c r="AO4" s="29"/>
      <c r="AP4" s="29"/>
      <c r="AQ4" s="29"/>
      <c r="AR4" s="91" t="str">
        <f>_xlfn.XLOOKUP(MasterTable[[#This Row],[Aircraft ID]],Aircraft!A:A,Aircraft!H:H)</f>
        <v>Airplane Multi Engine Land</v>
      </c>
      <c r="AS4" s="12" t="b">
        <f>OR((SUM(MasterTable[[#This Row],[ILS]:[PAR]]) = MasterTable[[#This Row],[APPR]]))</f>
        <v>1</v>
      </c>
      <c r="AT4" s="12" t="b">
        <f>NOT(ISBLANK(MasterTable[[#This Row],[Total
Time]]))</f>
        <v>1</v>
      </c>
    </row>
    <row r="5" spans="1:46" s="12" customFormat="1" ht="14.4" customHeight="1" x14ac:dyDescent="0.3">
      <c r="B5" s="90"/>
      <c r="C5" s="20"/>
      <c r="D5" s="22">
        <v>46316</v>
      </c>
      <c r="E5" s="12" t="s">
        <v>71</v>
      </c>
      <c r="F5" s="12" t="s">
        <v>44</v>
      </c>
      <c r="G5" s="12" t="s">
        <v>44</v>
      </c>
      <c r="I5" s="14">
        <v>1</v>
      </c>
      <c r="J5" s="13">
        <v>0</v>
      </c>
      <c r="K5" s="14">
        <v>1</v>
      </c>
      <c r="L5" s="13">
        <v>0</v>
      </c>
      <c r="M5" s="14">
        <v>0</v>
      </c>
      <c r="N5" s="14">
        <v>0</v>
      </c>
      <c r="O5" s="14">
        <v>0</v>
      </c>
      <c r="P5" s="14">
        <v>1</v>
      </c>
      <c r="Q5" s="14">
        <v>0</v>
      </c>
      <c r="R5" s="14">
        <v>0</v>
      </c>
      <c r="S5" s="13">
        <v>0</v>
      </c>
      <c r="T5" s="14">
        <v>0</v>
      </c>
      <c r="U5" s="14">
        <v>0</v>
      </c>
      <c r="V5" s="13">
        <v>1</v>
      </c>
      <c r="W5" s="16">
        <v>1</v>
      </c>
      <c r="X5" s="16">
        <v>1</v>
      </c>
      <c r="Y5" s="16">
        <v>0</v>
      </c>
      <c r="Z5" s="16">
        <v>0</v>
      </c>
      <c r="AA5" s="16">
        <f>MasterTable[[#This Row],[Landings
Night]]+MasterTable[[#This Row],[Landings
Day]]</f>
        <v>1</v>
      </c>
      <c r="AB5" s="14">
        <v>0</v>
      </c>
      <c r="AC5" s="14">
        <v>0</v>
      </c>
      <c r="AD5" s="15">
        <v>0</v>
      </c>
      <c r="AE5" s="21">
        <f>SUM(MasterTable[[#This Row],[ILS]:[PAR]])</f>
        <v>0</v>
      </c>
      <c r="AF5" s="15"/>
      <c r="AG5" s="15"/>
      <c r="AH5" s="16"/>
      <c r="AI5" s="15"/>
      <c r="AJ5" s="15"/>
      <c r="AK5" s="15"/>
      <c r="AL5" s="15"/>
      <c r="AN5" s="29"/>
      <c r="AO5" s="29"/>
      <c r="AP5" s="29"/>
      <c r="AQ5" s="29"/>
      <c r="AR5" s="91" t="str">
        <f>_xlfn.XLOOKUP(MasterTable[[#This Row],[Aircraft ID]],Aircraft!A:A,Aircraft!H:H)</f>
        <v>Airplane Multi Engine Land</v>
      </c>
      <c r="AS5" s="12" t="b">
        <f>OR((SUM(MasterTable[[#This Row],[ILS]:[PAR]]) = MasterTable[[#This Row],[APPR]]))</f>
        <v>1</v>
      </c>
      <c r="AT5" s="12" t="b">
        <f>NOT(ISBLANK(MasterTable[[#This Row],[Total
Time]]))</f>
        <v>1</v>
      </c>
    </row>
    <row r="6" spans="1:46" s="12" customFormat="1" ht="14.4" customHeight="1" x14ac:dyDescent="0.3">
      <c r="B6" s="90"/>
      <c r="C6" s="20"/>
      <c r="D6" s="22">
        <v>46315</v>
      </c>
      <c r="E6" s="12" t="s">
        <v>71</v>
      </c>
      <c r="F6" s="12" t="s">
        <v>44</v>
      </c>
      <c r="G6" s="12" t="s">
        <v>44</v>
      </c>
      <c r="I6" s="14">
        <v>0.9</v>
      </c>
      <c r="J6" s="13">
        <v>0</v>
      </c>
      <c r="K6" s="14">
        <v>0.9</v>
      </c>
      <c r="L6" s="13">
        <v>0</v>
      </c>
      <c r="M6" s="14">
        <v>0</v>
      </c>
      <c r="N6" s="14">
        <v>0</v>
      </c>
      <c r="O6" s="14">
        <v>0</v>
      </c>
      <c r="P6" s="14">
        <v>0.9</v>
      </c>
      <c r="Q6" s="14">
        <v>0</v>
      </c>
      <c r="R6" s="14">
        <v>0</v>
      </c>
      <c r="S6" s="13">
        <v>0</v>
      </c>
      <c r="T6" s="14">
        <v>0</v>
      </c>
      <c r="U6" s="14">
        <v>0</v>
      </c>
      <c r="V6" s="13">
        <v>0.9</v>
      </c>
      <c r="W6" s="16">
        <v>1</v>
      </c>
      <c r="X6" s="16">
        <v>1</v>
      </c>
      <c r="Y6" s="16">
        <v>0</v>
      </c>
      <c r="Z6" s="16">
        <v>0</v>
      </c>
      <c r="AA6" s="16">
        <f>MasterTable[[#This Row],[Landings
Night]]+MasterTable[[#This Row],[Landings
Day]]</f>
        <v>1</v>
      </c>
      <c r="AB6" s="14">
        <v>0</v>
      </c>
      <c r="AC6" s="14">
        <v>0</v>
      </c>
      <c r="AD6" s="15">
        <v>0</v>
      </c>
      <c r="AE6" s="21">
        <f>SUM(MasterTable[[#This Row],[ILS]:[PAR]])</f>
        <v>0</v>
      </c>
      <c r="AF6" s="15"/>
      <c r="AG6" s="15"/>
      <c r="AH6" s="16"/>
      <c r="AI6" s="15"/>
      <c r="AJ6" s="15"/>
      <c r="AK6" s="15"/>
      <c r="AL6" s="15"/>
      <c r="AN6" s="29"/>
      <c r="AO6" s="29"/>
      <c r="AP6" s="29"/>
      <c r="AQ6" s="29"/>
      <c r="AR6" s="91" t="str">
        <f>_xlfn.XLOOKUP(MasterTable[[#This Row],[Aircraft ID]],Aircraft!A:A,Aircraft!H:H)</f>
        <v>Airplane Multi Engine Land</v>
      </c>
      <c r="AS6" s="12" t="b">
        <f>OR((SUM(MasterTable[[#This Row],[ILS]:[PAR]]) = MasterTable[[#This Row],[APPR]]))</f>
        <v>1</v>
      </c>
      <c r="AT6" s="12" t="b">
        <f>NOT(ISBLANK(MasterTable[[#This Row],[Total
Time]]))</f>
        <v>1</v>
      </c>
    </row>
    <row r="7" spans="1:46" s="12" customFormat="1" ht="14.4" customHeight="1" x14ac:dyDescent="0.3">
      <c r="A7" s="19"/>
      <c r="B7" s="49"/>
      <c r="C7" s="20"/>
      <c r="D7" s="22">
        <v>46286</v>
      </c>
      <c r="E7" s="12" t="s">
        <v>71</v>
      </c>
      <c r="F7" s="12" t="s">
        <v>44</v>
      </c>
      <c r="G7" s="12" t="s">
        <v>44</v>
      </c>
      <c r="I7" s="14">
        <v>1.2</v>
      </c>
      <c r="J7" s="13">
        <v>0</v>
      </c>
      <c r="K7" s="14">
        <v>1.2</v>
      </c>
      <c r="L7" s="13">
        <v>0</v>
      </c>
      <c r="M7" s="13">
        <v>0</v>
      </c>
      <c r="N7" s="13"/>
      <c r="O7" s="14">
        <v>0</v>
      </c>
      <c r="P7" s="14">
        <v>1.2</v>
      </c>
      <c r="Q7" s="14">
        <v>0</v>
      </c>
      <c r="R7" s="14">
        <v>0</v>
      </c>
      <c r="S7" s="13">
        <v>0</v>
      </c>
      <c r="T7" s="14">
        <v>0</v>
      </c>
      <c r="U7" s="14">
        <v>0</v>
      </c>
      <c r="V7" s="13">
        <v>1.2</v>
      </c>
      <c r="W7" s="16">
        <v>2</v>
      </c>
      <c r="X7" s="16">
        <v>2</v>
      </c>
      <c r="Y7" s="16">
        <v>0</v>
      </c>
      <c r="Z7" s="16">
        <v>0</v>
      </c>
      <c r="AA7" s="16">
        <f>MasterTable[[#This Row],[Landings
Night]]+MasterTable[[#This Row],[Landings
Day]]</f>
        <v>2</v>
      </c>
      <c r="AB7" s="14">
        <v>0</v>
      </c>
      <c r="AC7" s="14">
        <v>0</v>
      </c>
      <c r="AD7" s="15">
        <v>0</v>
      </c>
      <c r="AE7" s="21">
        <f>SUM(MasterTable[[#This Row],[ILS]:[PAR]])</f>
        <v>1</v>
      </c>
      <c r="AF7" s="15">
        <v>1</v>
      </c>
      <c r="AG7" s="15"/>
      <c r="AH7" s="16"/>
      <c r="AI7" s="15"/>
      <c r="AJ7" s="15"/>
      <c r="AK7" s="15"/>
      <c r="AL7" s="15"/>
      <c r="AN7" s="29"/>
      <c r="AO7" s="29"/>
      <c r="AP7" s="29"/>
      <c r="AQ7" s="29"/>
      <c r="AR7" s="91" t="str">
        <f>_xlfn.XLOOKUP(MasterTable[[#This Row],[Aircraft ID]],Aircraft!A:A,Aircraft!H:H)</f>
        <v>Airplane Multi Engine Land</v>
      </c>
      <c r="AS7" s="12" t="b">
        <f>OR((SUM(MasterTable[[#This Row],[ILS]:[PAR]]) = MasterTable[[#This Row],[APPR]]))</f>
        <v>1</v>
      </c>
      <c r="AT7" s="12" t="b">
        <f>NOT(ISBLANK(MasterTable[[#This Row],[Total
Time]]))</f>
        <v>1</v>
      </c>
    </row>
    <row r="8" spans="1:46" s="12" customFormat="1" ht="14.4" customHeight="1" x14ac:dyDescent="0.3">
      <c r="A8" s="19"/>
      <c r="B8" s="49"/>
      <c r="C8" s="20"/>
      <c r="D8" s="22">
        <v>46283</v>
      </c>
      <c r="E8" s="12" t="s">
        <v>71</v>
      </c>
      <c r="F8" s="12" t="s">
        <v>44</v>
      </c>
      <c r="G8" s="12" t="s">
        <v>44</v>
      </c>
      <c r="I8" s="14">
        <v>1.2</v>
      </c>
      <c r="J8" s="13">
        <v>0</v>
      </c>
      <c r="K8" s="14">
        <v>1.2</v>
      </c>
      <c r="L8" s="13">
        <v>0</v>
      </c>
      <c r="M8" s="13">
        <v>0</v>
      </c>
      <c r="N8" s="13"/>
      <c r="O8" s="14">
        <v>0</v>
      </c>
      <c r="P8" s="14">
        <v>1.2</v>
      </c>
      <c r="Q8" s="14">
        <v>0</v>
      </c>
      <c r="R8" s="14">
        <v>0</v>
      </c>
      <c r="S8" s="13">
        <v>0</v>
      </c>
      <c r="T8" s="14">
        <v>0</v>
      </c>
      <c r="U8" s="14">
        <v>0</v>
      </c>
      <c r="V8" s="13">
        <v>1.2</v>
      </c>
      <c r="W8" s="16">
        <v>2</v>
      </c>
      <c r="X8" s="16">
        <v>2</v>
      </c>
      <c r="Y8" s="16">
        <v>0</v>
      </c>
      <c r="Z8" s="16">
        <v>0</v>
      </c>
      <c r="AA8" s="16">
        <f>MasterTable[[#This Row],[Landings
Night]]+MasterTable[[#This Row],[Landings
Day]]</f>
        <v>2</v>
      </c>
      <c r="AB8" s="14">
        <v>0</v>
      </c>
      <c r="AC8" s="14">
        <v>0</v>
      </c>
      <c r="AD8" s="15">
        <v>0</v>
      </c>
      <c r="AE8" s="21">
        <f>SUM(MasterTable[[#This Row],[ILS]:[PAR]])</f>
        <v>0</v>
      </c>
      <c r="AF8" s="15"/>
      <c r="AG8" s="15"/>
      <c r="AH8" s="16"/>
      <c r="AI8" s="15"/>
      <c r="AJ8" s="15"/>
      <c r="AK8" s="15"/>
      <c r="AL8" s="15"/>
      <c r="AN8" s="29"/>
      <c r="AO8" s="29"/>
      <c r="AP8" s="29"/>
      <c r="AQ8" s="29" t="s">
        <v>106</v>
      </c>
      <c r="AR8" s="91" t="str">
        <f>_xlfn.XLOOKUP(MasterTable[[#This Row],[Aircraft ID]],Aircraft!A:A,Aircraft!H:H)</f>
        <v>Airplane Multi Engine Land</v>
      </c>
      <c r="AS8" s="12" t="b">
        <f>OR((SUM(MasterTable[[#This Row],[ILS]:[PAR]]) = MasterTable[[#This Row],[APPR]]))</f>
        <v>1</v>
      </c>
      <c r="AT8" s="12" t="b">
        <f>NOT(ISBLANK(MasterTable[[#This Row],[Total
Time]]))</f>
        <v>1</v>
      </c>
    </row>
    <row r="9" spans="1:46" s="12" customFormat="1" ht="14.4" customHeight="1" x14ac:dyDescent="0.3">
      <c r="A9" s="19"/>
      <c r="B9" s="49"/>
      <c r="C9" s="20"/>
      <c r="D9" s="22">
        <v>46282</v>
      </c>
      <c r="E9" s="12" t="s">
        <v>71</v>
      </c>
      <c r="F9" s="12" t="s">
        <v>44</v>
      </c>
      <c r="G9" s="12" t="s">
        <v>44</v>
      </c>
      <c r="I9" s="14">
        <v>1.1000000000000001</v>
      </c>
      <c r="J9" s="13">
        <v>0</v>
      </c>
      <c r="K9" s="14">
        <v>1.1000000000000001</v>
      </c>
      <c r="L9" s="13">
        <v>0</v>
      </c>
      <c r="M9" s="13">
        <v>0</v>
      </c>
      <c r="N9" s="13"/>
      <c r="O9" s="14">
        <v>0</v>
      </c>
      <c r="P9" s="14">
        <v>1.1000000000000001</v>
      </c>
      <c r="Q9" s="14">
        <v>0</v>
      </c>
      <c r="R9" s="14">
        <v>0</v>
      </c>
      <c r="S9" s="13">
        <v>0</v>
      </c>
      <c r="T9" s="14">
        <v>0</v>
      </c>
      <c r="U9" s="14">
        <v>0</v>
      </c>
      <c r="V9" s="13">
        <v>1.1000000000000001</v>
      </c>
      <c r="W9" s="16">
        <v>1</v>
      </c>
      <c r="X9" s="16">
        <v>1</v>
      </c>
      <c r="Y9" s="16">
        <v>0</v>
      </c>
      <c r="Z9" s="16">
        <v>0</v>
      </c>
      <c r="AA9" s="16">
        <f>MasterTable[[#This Row],[Landings
Night]]+MasterTable[[#This Row],[Landings
Day]]</f>
        <v>1</v>
      </c>
      <c r="AB9" s="14">
        <v>0</v>
      </c>
      <c r="AC9" s="14">
        <v>0</v>
      </c>
      <c r="AD9" s="15">
        <v>0</v>
      </c>
      <c r="AE9" s="21">
        <f>SUM(MasterTable[[#This Row],[ILS]:[PAR]])</f>
        <v>1</v>
      </c>
      <c r="AF9" s="15">
        <v>1</v>
      </c>
      <c r="AG9" s="15"/>
      <c r="AH9" s="16"/>
      <c r="AI9" s="15"/>
      <c r="AJ9" s="15"/>
      <c r="AK9" s="15"/>
      <c r="AL9" s="15"/>
      <c r="AN9" s="29"/>
      <c r="AO9" s="29"/>
      <c r="AP9" s="29"/>
      <c r="AQ9" s="29"/>
      <c r="AR9" s="91" t="str">
        <f>_xlfn.XLOOKUP(MasterTable[[#This Row],[Aircraft ID]],Aircraft!A:A,Aircraft!H:H)</f>
        <v>Airplane Multi Engine Land</v>
      </c>
      <c r="AS9" s="12" t="b">
        <f>OR((SUM(MasterTable[[#This Row],[ILS]:[PAR]]) = MasterTable[[#This Row],[APPR]]))</f>
        <v>1</v>
      </c>
      <c r="AT9" s="12" t="b">
        <f>NOT(ISBLANK(MasterTable[[#This Row],[Total
Time]]))</f>
        <v>1</v>
      </c>
    </row>
    <row r="10" spans="1:46" s="12" customFormat="1" ht="14.4" customHeight="1" x14ac:dyDescent="0.3">
      <c r="A10" s="19"/>
      <c r="B10" s="19"/>
      <c r="C10" s="19"/>
      <c r="D10" s="22">
        <v>46282</v>
      </c>
      <c r="E10" s="12" t="s">
        <v>71</v>
      </c>
      <c r="F10" s="12" t="s">
        <v>44</v>
      </c>
      <c r="G10" s="12" t="s">
        <v>44</v>
      </c>
      <c r="I10" s="14">
        <v>1.1000000000000001</v>
      </c>
      <c r="J10" s="13">
        <v>0</v>
      </c>
      <c r="K10" s="14">
        <v>1.1000000000000001</v>
      </c>
      <c r="L10" s="13">
        <v>0</v>
      </c>
      <c r="M10" s="13">
        <v>0</v>
      </c>
      <c r="N10" s="13"/>
      <c r="O10" s="14">
        <v>0</v>
      </c>
      <c r="P10" s="14">
        <v>1.1000000000000001</v>
      </c>
      <c r="Q10" s="14">
        <v>0</v>
      </c>
      <c r="R10" s="14">
        <v>0</v>
      </c>
      <c r="S10" s="13">
        <v>0</v>
      </c>
      <c r="T10" s="14">
        <v>0</v>
      </c>
      <c r="U10" s="14">
        <v>0</v>
      </c>
      <c r="V10" s="13">
        <v>1.1000000000000001</v>
      </c>
      <c r="W10" s="16">
        <v>1</v>
      </c>
      <c r="X10" s="16">
        <v>1</v>
      </c>
      <c r="Y10" s="16">
        <v>0</v>
      </c>
      <c r="Z10" s="16">
        <v>0</v>
      </c>
      <c r="AA10" s="16">
        <f>MasterTable[[#This Row],[Landings
Night]]+MasterTable[[#This Row],[Landings
Day]]</f>
        <v>1</v>
      </c>
      <c r="AB10" s="14">
        <v>0</v>
      </c>
      <c r="AC10" s="14">
        <v>0</v>
      </c>
      <c r="AD10" s="15">
        <v>0</v>
      </c>
      <c r="AE10" s="21">
        <f>SUM(MasterTable[[#This Row],[ILS]:[PAR]])</f>
        <v>1</v>
      </c>
      <c r="AF10" s="15">
        <v>1</v>
      </c>
      <c r="AG10" s="15"/>
      <c r="AH10" s="16"/>
      <c r="AI10" s="15"/>
      <c r="AJ10" s="15"/>
      <c r="AK10" s="15"/>
      <c r="AL10" s="15"/>
      <c r="AN10" s="29"/>
      <c r="AO10" s="29"/>
      <c r="AP10" s="29"/>
      <c r="AQ10" s="29"/>
      <c r="AR10" s="91" t="str">
        <f>_xlfn.XLOOKUP(MasterTable[[#This Row],[Aircraft ID]],Aircraft!A:A,Aircraft!H:H)</f>
        <v>Airplane Multi Engine Land</v>
      </c>
      <c r="AS10" s="12" t="b">
        <f>OR((SUM(MasterTable[[#This Row],[ILS]:[PAR]]) = MasterTable[[#This Row],[APPR]]))</f>
        <v>1</v>
      </c>
      <c r="AT10" s="12" t="b">
        <f>NOT(ISBLANK(MasterTable[[#This Row],[Total
Time]]))</f>
        <v>1</v>
      </c>
    </row>
    <row r="11" spans="1:46" s="12" customFormat="1" ht="14.4" customHeight="1" x14ac:dyDescent="0.3">
      <c r="A11" s="19"/>
      <c r="B11" s="19"/>
      <c r="C11" s="19"/>
      <c r="D11" s="22">
        <v>46281</v>
      </c>
      <c r="E11" s="12" t="s">
        <v>71</v>
      </c>
      <c r="F11" s="12" t="s">
        <v>44</v>
      </c>
      <c r="G11" s="12" t="s">
        <v>44</v>
      </c>
      <c r="I11" s="14">
        <v>1.1000000000000001</v>
      </c>
      <c r="J11" s="13">
        <v>0</v>
      </c>
      <c r="K11" s="14">
        <v>1.1000000000000001</v>
      </c>
      <c r="L11" s="13">
        <v>0</v>
      </c>
      <c r="M11" s="13">
        <v>0</v>
      </c>
      <c r="N11" s="13"/>
      <c r="O11" s="14">
        <v>0</v>
      </c>
      <c r="P11" s="14">
        <v>1.1000000000000001</v>
      </c>
      <c r="Q11" s="14">
        <v>0</v>
      </c>
      <c r="R11" s="14">
        <v>0</v>
      </c>
      <c r="S11" s="13">
        <v>0</v>
      </c>
      <c r="T11" s="14">
        <v>0</v>
      </c>
      <c r="U11" s="14">
        <v>0</v>
      </c>
      <c r="V11" s="13">
        <v>1.1000000000000001</v>
      </c>
      <c r="W11" s="16">
        <v>1</v>
      </c>
      <c r="X11" s="16">
        <v>1</v>
      </c>
      <c r="Y11" s="16">
        <v>0</v>
      </c>
      <c r="Z11" s="16">
        <v>0</v>
      </c>
      <c r="AA11" s="16">
        <f>MasterTable[[#This Row],[Landings
Night]]+MasterTable[[#This Row],[Landings
Day]]</f>
        <v>1</v>
      </c>
      <c r="AB11" s="14">
        <v>0</v>
      </c>
      <c r="AC11" s="14">
        <v>0</v>
      </c>
      <c r="AD11" s="15">
        <v>0</v>
      </c>
      <c r="AE11" s="21">
        <f>SUM(MasterTable[[#This Row],[ILS]:[PAR]])</f>
        <v>1</v>
      </c>
      <c r="AF11" s="15">
        <v>1</v>
      </c>
      <c r="AG11" s="15"/>
      <c r="AH11" s="16"/>
      <c r="AI11" s="15"/>
      <c r="AJ11" s="15"/>
      <c r="AK11" s="15"/>
      <c r="AL11" s="15"/>
      <c r="AN11" s="29"/>
      <c r="AO11" s="29"/>
      <c r="AP11" s="29"/>
      <c r="AQ11" s="29"/>
      <c r="AR11" s="91" t="str">
        <f>_xlfn.XLOOKUP(MasterTable[[#This Row],[Aircraft ID]],Aircraft!A:A,Aircraft!H:H)</f>
        <v>Airplane Multi Engine Land</v>
      </c>
      <c r="AS11" s="12" t="b">
        <f>OR((SUM(MasterTable[[#This Row],[ILS]:[PAR]]) = MasterTable[[#This Row],[APPR]]))</f>
        <v>1</v>
      </c>
      <c r="AT11" s="12" t="b">
        <f>NOT(ISBLANK(MasterTable[[#This Row],[Total
Time]]))</f>
        <v>1</v>
      </c>
    </row>
    <row r="12" spans="1:46" s="12" customFormat="1" ht="14.4" customHeight="1" x14ac:dyDescent="0.3">
      <c r="A12" s="19"/>
      <c r="B12" s="19"/>
      <c r="C12" s="19"/>
      <c r="D12" s="22">
        <v>46281</v>
      </c>
      <c r="E12" s="12" t="s">
        <v>71</v>
      </c>
      <c r="F12" s="12" t="s">
        <v>44</v>
      </c>
      <c r="G12" s="12" t="s">
        <v>44</v>
      </c>
      <c r="I12" s="14">
        <v>1.1000000000000001</v>
      </c>
      <c r="J12" s="13">
        <v>1.1000000000000001</v>
      </c>
      <c r="K12" s="14">
        <v>1.1000000000000001</v>
      </c>
      <c r="L12" s="13">
        <v>0</v>
      </c>
      <c r="M12" s="13">
        <v>0</v>
      </c>
      <c r="N12" s="13"/>
      <c r="O12" s="14">
        <v>0</v>
      </c>
      <c r="P12" s="14">
        <v>0</v>
      </c>
      <c r="Q12" s="14">
        <v>0</v>
      </c>
      <c r="R12" s="14">
        <v>0</v>
      </c>
      <c r="S12" s="13">
        <v>0</v>
      </c>
      <c r="T12" s="14">
        <v>0</v>
      </c>
      <c r="U12" s="14">
        <v>0</v>
      </c>
      <c r="V12" s="13">
        <v>1.1000000000000001</v>
      </c>
      <c r="W12" s="16">
        <v>1</v>
      </c>
      <c r="X12" s="16">
        <v>1</v>
      </c>
      <c r="Y12" s="16">
        <v>0</v>
      </c>
      <c r="Z12" s="16">
        <v>0</v>
      </c>
      <c r="AA12" s="16">
        <f>MasterTable[[#This Row],[Landings
Night]]+MasterTable[[#This Row],[Landings
Day]]</f>
        <v>1</v>
      </c>
      <c r="AB12" s="14">
        <v>0</v>
      </c>
      <c r="AC12" s="14">
        <v>0</v>
      </c>
      <c r="AD12" s="15">
        <v>0</v>
      </c>
      <c r="AE12" s="21">
        <f>SUM(MasterTable[[#This Row],[ILS]:[PAR]])</f>
        <v>0</v>
      </c>
      <c r="AF12" s="15"/>
      <c r="AG12" s="15"/>
      <c r="AH12" s="16"/>
      <c r="AI12" s="15"/>
      <c r="AJ12" s="15"/>
      <c r="AK12" s="15"/>
      <c r="AL12" s="15"/>
      <c r="AN12" s="29"/>
      <c r="AO12" s="29"/>
      <c r="AP12" s="29"/>
      <c r="AQ12" s="29"/>
      <c r="AR12" s="91" t="str">
        <f>_xlfn.XLOOKUP(MasterTable[[#This Row],[Aircraft ID]],Aircraft!A:A,Aircraft!H:H)</f>
        <v>Airplane Multi Engine Land</v>
      </c>
      <c r="AS12" s="12" t="b">
        <f>OR((SUM(MasterTable[[#This Row],[ILS]:[PAR]]) = MasterTable[[#This Row],[APPR]]))</f>
        <v>1</v>
      </c>
      <c r="AT12" s="12" t="b">
        <f>NOT(ISBLANK(MasterTable[[#This Row],[Total
Time]]))</f>
        <v>1</v>
      </c>
    </row>
    <row r="13" spans="1:46" s="12" customFormat="1" ht="14.4" customHeight="1" x14ac:dyDescent="0.3">
      <c r="A13" s="19"/>
      <c r="B13" s="19"/>
      <c r="C13" s="19"/>
      <c r="D13" s="22">
        <v>46280</v>
      </c>
      <c r="E13" s="12" t="s">
        <v>71</v>
      </c>
      <c r="F13" s="12" t="s">
        <v>44</v>
      </c>
      <c r="G13" s="12" t="s">
        <v>44</v>
      </c>
      <c r="I13" s="14">
        <v>1.2</v>
      </c>
      <c r="J13" s="13">
        <v>0</v>
      </c>
      <c r="K13" s="14">
        <v>1.2</v>
      </c>
      <c r="L13" s="13">
        <v>0</v>
      </c>
      <c r="M13" s="13">
        <v>0</v>
      </c>
      <c r="N13" s="13"/>
      <c r="O13" s="14">
        <v>0</v>
      </c>
      <c r="P13" s="14">
        <v>1.2</v>
      </c>
      <c r="Q13" s="14">
        <v>0</v>
      </c>
      <c r="R13" s="14">
        <v>0</v>
      </c>
      <c r="S13" s="13">
        <v>0</v>
      </c>
      <c r="T13" s="14">
        <v>0</v>
      </c>
      <c r="U13" s="14">
        <v>0</v>
      </c>
      <c r="V13" s="13">
        <v>1.2</v>
      </c>
      <c r="W13" s="16">
        <v>1</v>
      </c>
      <c r="X13" s="16">
        <v>1</v>
      </c>
      <c r="Y13" s="16">
        <v>0</v>
      </c>
      <c r="Z13" s="16">
        <v>0</v>
      </c>
      <c r="AA13" s="16">
        <f>MasterTable[[#This Row],[Landings
Night]]+MasterTable[[#This Row],[Landings
Day]]</f>
        <v>1</v>
      </c>
      <c r="AB13" s="14">
        <v>0</v>
      </c>
      <c r="AC13" s="14">
        <v>0</v>
      </c>
      <c r="AD13" s="15">
        <v>0</v>
      </c>
      <c r="AE13" s="21">
        <f>SUM(MasterTable[[#This Row],[ILS]:[PAR]])</f>
        <v>1</v>
      </c>
      <c r="AF13" s="15"/>
      <c r="AG13" s="15"/>
      <c r="AH13" s="16"/>
      <c r="AI13" s="15">
        <v>1</v>
      </c>
      <c r="AJ13" s="15"/>
      <c r="AK13" s="15"/>
      <c r="AL13" s="15"/>
      <c r="AN13" s="29"/>
      <c r="AO13" s="29"/>
      <c r="AP13" s="29" t="s">
        <v>106</v>
      </c>
      <c r="AQ13" s="29"/>
      <c r="AR13" s="91" t="str">
        <f>_xlfn.XLOOKUP(MasterTable[[#This Row],[Aircraft ID]],Aircraft!A:A,Aircraft!H:H)</f>
        <v>Airplane Multi Engine Land</v>
      </c>
      <c r="AS13" s="12" t="b">
        <f>OR((SUM(MasterTable[[#This Row],[ILS]:[PAR]]) = MasterTable[[#This Row],[APPR]]))</f>
        <v>1</v>
      </c>
      <c r="AT13" s="12" t="b">
        <f>NOT(ISBLANK(MasterTable[[#This Row],[Total
Time]]))</f>
        <v>1</v>
      </c>
    </row>
    <row r="14" spans="1:46" s="12" customFormat="1" ht="14.4" customHeight="1" x14ac:dyDescent="0.3">
      <c r="A14" s="19"/>
      <c r="B14" s="19"/>
      <c r="C14" s="19"/>
      <c r="D14" s="22">
        <v>46280</v>
      </c>
      <c r="E14" s="12" t="s">
        <v>71</v>
      </c>
      <c r="F14" s="12" t="s">
        <v>44</v>
      </c>
      <c r="G14" s="12" t="s">
        <v>44</v>
      </c>
      <c r="I14" s="14">
        <v>1.1000000000000001</v>
      </c>
      <c r="J14" s="13">
        <v>0</v>
      </c>
      <c r="K14" s="14">
        <v>1.1000000000000001</v>
      </c>
      <c r="L14" s="13">
        <v>0</v>
      </c>
      <c r="M14" s="13">
        <v>0</v>
      </c>
      <c r="N14" s="13"/>
      <c r="O14" s="14">
        <v>0</v>
      </c>
      <c r="P14" s="14">
        <v>1.1000000000000001</v>
      </c>
      <c r="Q14" s="14">
        <v>0</v>
      </c>
      <c r="R14" s="14">
        <v>0</v>
      </c>
      <c r="S14" s="13">
        <v>0</v>
      </c>
      <c r="T14" s="14">
        <v>0</v>
      </c>
      <c r="U14" s="14">
        <v>0</v>
      </c>
      <c r="V14" s="13">
        <v>1.1000000000000001</v>
      </c>
      <c r="W14" s="16">
        <v>1</v>
      </c>
      <c r="X14" s="16">
        <v>1</v>
      </c>
      <c r="Y14" s="16">
        <v>0</v>
      </c>
      <c r="Z14" s="16">
        <v>0</v>
      </c>
      <c r="AA14" s="16">
        <f>MasterTable[[#This Row],[Landings
Night]]+MasterTable[[#This Row],[Landings
Day]]</f>
        <v>1</v>
      </c>
      <c r="AB14" s="14">
        <v>0</v>
      </c>
      <c r="AC14" s="14">
        <v>0</v>
      </c>
      <c r="AD14" s="15">
        <v>0</v>
      </c>
      <c r="AE14" s="21">
        <f>SUM(MasterTable[[#This Row],[ILS]:[PAR]])</f>
        <v>1</v>
      </c>
      <c r="AF14" s="15">
        <v>1</v>
      </c>
      <c r="AG14" s="15"/>
      <c r="AH14" s="16"/>
      <c r="AI14" s="15"/>
      <c r="AJ14" s="15"/>
      <c r="AK14" s="15"/>
      <c r="AL14" s="15"/>
      <c r="AN14" s="29"/>
      <c r="AO14" s="29"/>
      <c r="AP14" s="29"/>
      <c r="AQ14" s="29"/>
      <c r="AR14" s="91" t="str">
        <f>_xlfn.XLOOKUP(MasterTable[[#This Row],[Aircraft ID]],Aircraft!A:A,Aircraft!H:H)</f>
        <v>Airplane Multi Engine Land</v>
      </c>
      <c r="AS14" s="12" t="b">
        <f>OR((SUM(MasterTable[[#This Row],[ILS]:[PAR]]) = MasterTable[[#This Row],[APPR]]))</f>
        <v>1</v>
      </c>
      <c r="AT14" s="12" t="b">
        <f>NOT(ISBLANK(MasterTable[[#This Row],[Total
Time]]))</f>
        <v>1</v>
      </c>
    </row>
    <row r="15" spans="1:46" s="12" customFormat="1" ht="14.4" customHeight="1" x14ac:dyDescent="0.3">
      <c r="A15" s="19"/>
      <c r="B15" s="19"/>
      <c r="C15" s="19"/>
      <c r="D15" s="22">
        <v>46275</v>
      </c>
      <c r="E15" s="12" t="s">
        <v>71</v>
      </c>
      <c r="F15" s="12" t="s">
        <v>44</v>
      </c>
      <c r="G15" s="12" t="s">
        <v>44</v>
      </c>
      <c r="I15" s="14">
        <v>1.2</v>
      </c>
      <c r="J15" s="13">
        <v>0</v>
      </c>
      <c r="K15" s="14">
        <v>1.2</v>
      </c>
      <c r="L15" s="13">
        <v>0</v>
      </c>
      <c r="M15" s="13">
        <v>0</v>
      </c>
      <c r="N15" s="13"/>
      <c r="O15" s="14">
        <v>0</v>
      </c>
      <c r="P15" s="14">
        <v>1.2</v>
      </c>
      <c r="Q15" s="14">
        <v>0</v>
      </c>
      <c r="R15" s="14">
        <v>0</v>
      </c>
      <c r="S15" s="13">
        <v>0</v>
      </c>
      <c r="T15" s="14">
        <v>0</v>
      </c>
      <c r="U15" s="14">
        <v>0</v>
      </c>
      <c r="V15" s="13">
        <v>1.2</v>
      </c>
      <c r="W15" s="16">
        <v>1</v>
      </c>
      <c r="X15" s="16">
        <v>1</v>
      </c>
      <c r="Y15" s="16">
        <v>0</v>
      </c>
      <c r="Z15" s="16">
        <v>0</v>
      </c>
      <c r="AA15" s="16">
        <f>MasterTable[[#This Row],[Landings
Night]]+MasterTable[[#This Row],[Landings
Day]]</f>
        <v>1</v>
      </c>
      <c r="AB15" s="14">
        <v>0</v>
      </c>
      <c r="AC15" s="14">
        <v>0</v>
      </c>
      <c r="AD15" s="15">
        <v>0</v>
      </c>
      <c r="AE15" s="21">
        <f>SUM(MasterTable[[#This Row],[ILS]:[PAR]])</f>
        <v>1</v>
      </c>
      <c r="AF15" s="15">
        <v>1</v>
      </c>
      <c r="AG15" s="15"/>
      <c r="AH15" s="16"/>
      <c r="AI15" s="15"/>
      <c r="AJ15" s="15"/>
      <c r="AK15" s="15"/>
      <c r="AL15" s="15"/>
      <c r="AN15" s="29"/>
      <c r="AO15" s="29"/>
      <c r="AP15" s="29"/>
      <c r="AQ15" s="29"/>
      <c r="AR15" s="91" t="str">
        <f>_xlfn.XLOOKUP(MasterTable[[#This Row],[Aircraft ID]],Aircraft!A:A,Aircraft!H:H)</f>
        <v>Airplane Multi Engine Land</v>
      </c>
      <c r="AS15" s="12" t="b">
        <f>OR((SUM(MasterTable[[#This Row],[ILS]:[PAR]]) = MasterTable[[#This Row],[APPR]]))</f>
        <v>1</v>
      </c>
      <c r="AT15" s="12" t="b">
        <f>NOT(ISBLANK(MasterTable[[#This Row],[Total
Time]]))</f>
        <v>1</v>
      </c>
    </row>
    <row r="16" spans="1:46" s="12" customFormat="1" ht="14.4" customHeight="1" x14ac:dyDescent="0.3">
      <c r="A16" s="19"/>
      <c r="B16" s="19"/>
      <c r="C16" s="19"/>
      <c r="D16" s="22">
        <v>46275</v>
      </c>
      <c r="E16" s="12" t="s">
        <v>71</v>
      </c>
      <c r="F16" s="12" t="s">
        <v>44</v>
      </c>
      <c r="G16" s="12" t="s">
        <v>44</v>
      </c>
      <c r="I16" s="14">
        <v>1</v>
      </c>
      <c r="J16" s="13">
        <v>0</v>
      </c>
      <c r="K16" s="14">
        <v>1</v>
      </c>
      <c r="L16" s="13">
        <v>0</v>
      </c>
      <c r="M16" s="13">
        <v>0</v>
      </c>
      <c r="N16" s="13"/>
      <c r="O16" s="14">
        <v>0</v>
      </c>
      <c r="P16" s="14">
        <v>1</v>
      </c>
      <c r="Q16" s="14">
        <v>0</v>
      </c>
      <c r="R16" s="14">
        <v>0</v>
      </c>
      <c r="S16" s="13">
        <v>0</v>
      </c>
      <c r="T16" s="14">
        <v>0</v>
      </c>
      <c r="U16" s="14">
        <v>0</v>
      </c>
      <c r="V16" s="13">
        <v>1</v>
      </c>
      <c r="W16" s="16">
        <v>2</v>
      </c>
      <c r="X16" s="16">
        <v>2</v>
      </c>
      <c r="Y16" s="16">
        <v>0</v>
      </c>
      <c r="Z16" s="16">
        <v>0</v>
      </c>
      <c r="AA16" s="16">
        <f>MasterTable[[#This Row],[Landings
Night]]+MasterTable[[#This Row],[Landings
Day]]</f>
        <v>2</v>
      </c>
      <c r="AB16" s="14">
        <v>0</v>
      </c>
      <c r="AC16" s="14">
        <v>0</v>
      </c>
      <c r="AD16" s="15">
        <v>0</v>
      </c>
      <c r="AE16" s="21">
        <f>SUM(MasterTable[[#This Row],[ILS]:[PAR]])</f>
        <v>1</v>
      </c>
      <c r="AF16" s="15"/>
      <c r="AG16" s="15"/>
      <c r="AH16" s="16"/>
      <c r="AI16" s="15">
        <v>1</v>
      </c>
      <c r="AJ16" s="15"/>
      <c r="AK16" s="15"/>
      <c r="AL16" s="15"/>
      <c r="AN16" s="29"/>
      <c r="AO16" s="29"/>
      <c r="AP16" s="29"/>
      <c r="AQ16" s="29"/>
      <c r="AR16" s="91" t="str">
        <f>_xlfn.XLOOKUP(MasterTable[[#This Row],[Aircraft ID]],Aircraft!A:A,Aircraft!H:H)</f>
        <v>Airplane Multi Engine Land</v>
      </c>
      <c r="AS16" s="12" t="b">
        <f>OR((SUM(MasterTable[[#This Row],[ILS]:[PAR]]) = MasterTable[[#This Row],[APPR]]))</f>
        <v>1</v>
      </c>
      <c r="AT16" s="12" t="b">
        <f>NOT(ISBLANK(MasterTable[[#This Row],[Total
Time]]))</f>
        <v>1</v>
      </c>
    </row>
    <row r="17" spans="1:46" s="12" customFormat="1" ht="14.4" customHeight="1" x14ac:dyDescent="0.3">
      <c r="A17" s="19"/>
      <c r="B17" s="19"/>
      <c r="C17" s="19"/>
      <c r="D17" s="22">
        <v>46274</v>
      </c>
      <c r="E17" s="12" t="s">
        <v>71</v>
      </c>
      <c r="F17" s="12" t="s">
        <v>44</v>
      </c>
      <c r="G17" s="12" t="s">
        <v>44</v>
      </c>
      <c r="I17" s="14">
        <v>1</v>
      </c>
      <c r="J17" s="13">
        <v>1</v>
      </c>
      <c r="K17" s="14">
        <v>1</v>
      </c>
      <c r="L17" s="13">
        <v>0</v>
      </c>
      <c r="M17" s="13">
        <v>0</v>
      </c>
      <c r="N17" s="13"/>
      <c r="O17" s="14">
        <v>0</v>
      </c>
      <c r="P17" s="14">
        <v>0</v>
      </c>
      <c r="Q17" s="14">
        <v>0</v>
      </c>
      <c r="R17" s="14">
        <v>0</v>
      </c>
      <c r="S17" s="13">
        <v>0</v>
      </c>
      <c r="T17" s="14">
        <v>0</v>
      </c>
      <c r="U17" s="14">
        <v>0</v>
      </c>
      <c r="V17" s="13">
        <v>1</v>
      </c>
      <c r="W17" s="16">
        <v>1</v>
      </c>
      <c r="X17" s="16">
        <v>1</v>
      </c>
      <c r="Y17" s="16">
        <v>0</v>
      </c>
      <c r="Z17" s="16">
        <v>0</v>
      </c>
      <c r="AA17" s="16">
        <f>MasterTable[[#This Row],[Landings
Night]]+MasterTable[[#This Row],[Landings
Day]]</f>
        <v>1</v>
      </c>
      <c r="AB17" s="14">
        <v>0</v>
      </c>
      <c r="AC17" s="14">
        <v>0</v>
      </c>
      <c r="AD17" s="15">
        <v>0</v>
      </c>
      <c r="AE17" s="21">
        <f>SUM(MasterTable[[#This Row],[ILS]:[PAR]])</f>
        <v>1</v>
      </c>
      <c r="AF17" s="15">
        <v>1</v>
      </c>
      <c r="AG17" s="15"/>
      <c r="AH17" s="16"/>
      <c r="AI17" s="15"/>
      <c r="AJ17" s="15"/>
      <c r="AK17" s="15"/>
      <c r="AL17" s="15"/>
      <c r="AN17" s="29"/>
      <c r="AO17" s="29"/>
      <c r="AP17" s="29"/>
      <c r="AQ17" s="29"/>
      <c r="AR17" s="91" t="str">
        <f>_xlfn.XLOOKUP(MasterTable[[#This Row],[Aircraft ID]],Aircraft!A:A,Aircraft!H:H)</f>
        <v>Airplane Multi Engine Land</v>
      </c>
      <c r="AS17" s="12" t="b">
        <f>OR((SUM(MasterTable[[#This Row],[ILS]:[PAR]]) = MasterTable[[#This Row],[APPR]]))</f>
        <v>1</v>
      </c>
      <c r="AT17" s="12" t="b">
        <f>NOT(ISBLANK(MasterTable[[#This Row],[Total
Time]]))</f>
        <v>1</v>
      </c>
    </row>
    <row r="18" spans="1:46" s="12" customFormat="1" ht="14.4" customHeight="1" x14ac:dyDescent="0.3">
      <c r="A18" s="19"/>
      <c r="B18" s="19"/>
      <c r="C18" s="19"/>
      <c r="D18" s="22">
        <v>46262</v>
      </c>
      <c r="E18" s="12" t="s">
        <v>71</v>
      </c>
      <c r="F18" s="12" t="s">
        <v>44</v>
      </c>
      <c r="G18" s="12" t="s">
        <v>44</v>
      </c>
      <c r="I18" s="14">
        <v>1.2</v>
      </c>
      <c r="J18" s="13">
        <v>0</v>
      </c>
      <c r="K18" s="14">
        <v>1.2</v>
      </c>
      <c r="L18" s="13">
        <v>0</v>
      </c>
      <c r="M18" s="13">
        <v>0</v>
      </c>
      <c r="N18" s="13"/>
      <c r="O18" s="14">
        <v>0</v>
      </c>
      <c r="P18" s="14">
        <v>1.2</v>
      </c>
      <c r="Q18" s="14">
        <v>0</v>
      </c>
      <c r="R18" s="14">
        <v>0</v>
      </c>
      <c r="S18" s="13">
        <v>0</v>
      </c>
      <c r="T18" s="14">
        <v>0</v>
      </c>
      <c r="U18" s="14">
        <v>0</v>
      </c>
      <c r="V18" s="13">
        <v>1.2</v>
      </c>
      <c r="W18" s="16">
        <v>1</v>
      </c>
      <c r="X18" s="16">
        <v>1</v>
      </c>
      <c r="Y18" s="16">
        <v>0</v>
      </c>
      <c r="Z18" s="16">
        <v>0</v>
      </c>
      <c r="AA18" s="16">
        <f>MasterTable[[#This Row],[Landings
Night]]+MasterTable[[#This Row],[Landings
Day]]</f>
        <v>1</v>
      </c>
      <c r="AB18" s="14">
        <v>0</v>
      </c>
      <c r="AC18" s="14">
        <v>0</v>
      </c>
      <c r="AD18" s="15">
        <v>0</v>
      </c>
      <c r="AE18" s="21">
        <f>SUM(MasterTable[[#This Row],[ILS]:[PAR]])</f>
        <v>1</v>
      </c>
      <c r="AF18" s="15">
        <v>1</v>
      </c>
      <c r="AG18" s="15"/>
      <c r="AH18" s="16"/>
      <c r="AI18" s="15"/>
      <c r="AJ18" s="15"/>
      <c r="AK18" s="15"/>
      <c r="AL18" s="15"/>
      <c r="AN18" s="29" t="s">
        <v>106</v>
      </c>
      <c r="AO18" s="29"/>
      <c r="AP18" s="29"/>
      <c r="AQ18" s="29"/>
      <c r="AR18" s="91" t="str">
        <f>_xlfn.XLOOKUP(MasterTable[[#This Row],[Aircraft ID]],Aircraft!A:A,Aircraft!H:H)</f>
        <v>Airplane Multi Engine Land</v>
      </c>
      <c r="AS18" s="12" t="b">
        <f>OR((SUM(MasterTable[[#This Row],[ILS]:[PAR]]) = MasterTable[[#This Row],[APPR]]))</f>
        <v>1</v>
      </c>
      <c r="AT18" s="12" t="b">
        <f>NOT(ISBLANK(MasterTable[[#This Row],[Total
Time]]))</f>
        <v>1</v>
      </c>
    </row>
    <row r="19" spans="1:46" s="12" customFormat="1" ht="14.4" customHeight="1" x14ac:dyDescent="0.3">
      <c r="A19" s="19"/>
      <c r="B19" s="19"/>
      <c r="C19" s="19"/>
      <c r="D19" s="22">
        <v>46260</v>
      </c>
      <c r="E19" s="12" t="s">
        <v>71</v>
      </c>
      <c r="F19" s="12" t="s">
        <v>44</v>
      </c>
      <c r="G19" s="12" t="s">
        <v>44</v>
      </c>
      <c r="I19" s="14">
        <v>1.2</v>
      </c>
      <c r="J19" s="13">
        <v>0</v>
      </c>
      <c r="K19" s="14">
        <v>1.2</v>
      </c>
      <c r="L19" s="13">
        <v>0</v>
      </c>
      <c r="M19" s="13">
        <v>0</v>
      </c>
      <c r="N19" s="13"/>
      <c r="O19" s="14">
        <v>0</v>
      </c>
      <c r="P19" s="14">
        <v>1.2</v>
      </c>
      <c r="Q19" s="14">
        <v>0</v>
      </c>
      <c r="R19" s="14">
        <v>0</v>
      </c>
      <c r="S19" s="13">
        <v>0</v>
      </c>
      <c r="T19" s="14">
        <v>0</v>
      </c>
      <c r="U19" s="14">
        <v>0</v>
      </c>
      <c r="V19" s="13">
        <v>1.2</v>
      </c>
      <c r="W19" s="16">
        <v>1</v>
      </c>
      <c r="X19" s="16">
        <v>1</v>
      </c>
      <c r="Y19" s="16">
        <v>0</v>
      </c>
      <c r="Z19" s="16">
        <v>0</v>
      </c>
      <c r="AA19" s="16">
        <f>MasterTable[[#This Row],[Landings
Night]]+MasterTable[[#This Row],[Landings
Day]]</f>
        <v>1</v>
      </c>
      <c r="AB19" s="14">
        <v>0</v>
      </c>
      <c r="AC19" s="14">
        <v>0</v>
      </c>
      <c r="AD19" s="15">
        <v>0</v>
      </c>
      <c r="AE19" s="21">
        <f>SUM(MasterTable[[#This Row],[ILS]:[PAR]])</f>
        <v>0</v>
      </c>
      <c r="AF19" s="15"/>
      <c r="AG19" s="15"/>
      <c r="AH19" s="16"/>
      <c r="AI19" s="15"/>
      <c r="AJ19" s="15"/>
      <c r="AK19" s="15"/>
      <c r="AL19" s="15"/>
      <c r="AN19" s="29"/>
      <c r="AO19" s="29"/>
      <c r="AP19" s="29"/>
      <c r="AQ19" s="29"/>
      <c r="AR19" s="91" t="str">
        <f>_xlfn.XLOOKUP(MasterTable[[#This Row],[Aircraft ID]],Aircraft!A:A,Aircraft!H:H)</f>
        <v>Airplane Multi Engine Land</v>
      </c>
      <c r="AS19" s="12" t="b">
        <f>OR((SUM(MasterTable[[#This Row],[ILS]:[PAR]]) = MasterTable[[#This Row],[APPR]]))</f>
        <v>1</v>
      </c>
      <c r="AT19" s="12" t="b">
        <f>NOT(ISBLANK(MasterTable[[#This Row],[Total
Time]]))</f>
        <v>1</v>
      </c>
    </row>
    <row r="20" spans="1:46" s="12" customFormat="1" ht="14.4" customHeight="1" x14ac:dyDescent="0.3">
      <c r="A20" s="19"/>
      <c r="B20" s="19"/>
      <c r="C20" s="19"/>
      <c r="D20" s="22">
        <v>46259</v>
      </c>
      <c r="E20" s="12" t="s">
        <v>71</v>
      </c>
      <c r="F20" s="12" t="s">
        <v>44</v>
      </c>
      <c r="G20" s="12" t="s">
        <v>44</v>
      </c>
      <c r="I20" s="14">
        <v>1.1000000000000001</v>
      </c>
      <c r="J20" s="13">
        <v>0</v>
      </c>
      <c r="K20" s="14">
        <v>1.1000000000000001</v>
      </c>
      <c r="L20" s="13">
        <v>0</v>
      </c>
      <c r="M20" s="13">
        <v>0</v>
      </c>
      <c r="N20" s="13"/>
      <c r="O20" s="14">
        <v>0</v>
      </c>
      <c r="P20" s="14">
        <v>1.1000000000000001</v>
      </c>
      <c r="Q20" s="14">
        <v>0</v>
      </c>
      <c r="R20" s="14">
        <v>0</v>
      </c>
      <c r="S20" s="13">
        <v>1.1000000000000001</v>
      </c>
      <c r="T20" s="14">
        <v>0</v>
      </c>
      <c r="U20" s="14">
        <v>0</v>
      </c>
      <c r="V20" s="13">
        <v>0</v>
      </c>
      <c r="W20" s="16">
        <v>0</v>
      </c>
      <c r="X20" s="16">
        <v>0</v>
      </c>
      <c r="Y20" s="16">
        <v>5</v>
      </c>
      <c r="Z20" s="16">
        <v>5</v>
      </c>
      <c r="AA20" s="16">
        <f>MasterTable[[#This Row],[Landings
Night]]+MasterTable[[#This Row],[Landings
Day]]</f>
        <v>5</v>
      </c>
      <c r="AB20" s="14">
        <v>0</v>
      </c>
      <c r="AC20" s="14">
        <v>0.3</v>
      </c>
      <c r="AD20" s="15">
        <v>0</v>
      </c>
      <c r="AE20" s="21">
        <f>SUM(MasterTable[[#This Row],[ILS]:[PAR]])</f>
        <v>1</v>
      </c>
      <c r="AF20" s="15">
        <v>1</v>
      </c>
      <c r="AG20" s="15"/>
      <c r="AH20" s="16"/>
      <c r="AI20" s="15"/>
      <c r="AJ20" s="15"/>
      <c r="AK20" s="15"/>
      <c r="AL20" s="15"/>
      <c r="AN20" s="29"/>
      <c r="AO20" s="29"/>
      <c r="AP20" s="29"/>
      <c r="AQ20" s="29"/>
      <c r="AR20" s="91" t="str">
        <f>_xlfn.XLOOKUP(MasterTable[[#This Row],[Aircraft ID]],Aircraft!A:A,Aircraft!H:H)</f>
        <v>Airplane Multi Engine Land</v>
      </c>
      <c r="AS20" s="12" t="b">
        <f>OR((SUM(MasterTable[[#This Row],[ILS]:[PAR]]) = MasterTable[[#This Row],[APPR]]))</f>
        <v>1</v>
      </c>
      <c r="AT20" s="12" t="b">
        <f>NOT(ISBLANK(MasterTable[[#This Row],[Total
Time]]))</f>
        <v>1</v>
      </c>
    </row>
    <row r="21" spans="1:46" s="12" customFormat="1" ht="14.4" customHeight="1" x14ac:dyDescent="0.3">
      <c r="A21" s="19"/>
      <c r="B21" s="19"/>
      <c r="C21" s="19"/>
      <c r="D21" s="22">
        <v>46259</v>
      </c>
      <c r="E21" s="12" t="s">
        <v>71</v>
      </c>
      <c r="F21" s="12" t="s">
        <v>44</v>
      </c>
      <c r="G21" s="12" t="s">
        <v>44</v>
      </c>
      <c r="I21" s="14">
        <v>1.1000000000000001</v>
      </c>
      <c r="J21" s="13">
        <v>0</v>
      </c>
      <c r="K21" s="14">
        <v>1.1000000000000001</v>
      </c>
      <c r="L21" s="13">
        <v>0</v>
      </c>
      <c r="M21" s="13">
        <v>0</v>
      </c>
      <c r="N21" s="13"/>
      <c r="O21" s="14">
        <v>0</v>
      </c>
      <c r="P21" s="14">
        <v>1.1000000000000001</v>
      </c>
      <c r="Q21" s="14">
        <v>0</v>
      </c>
      <c r="R21" s="14">
        <v>0</v>
      </c>
      <c r="S21" s="13">
        <v>0</v>
      </c>
      <c r="T21" s="14">
        <v>0</v>
      </c>
      <c r="U21" s="14">
        <v>0</v>
      </c>
      <c r="V21" s="13">
        <v>0</v>
      </c>
      <c r="W21" s="16">
        <v>3</v>
      </c>
      <c r="X21" s="16">
        <v>3</v>
      </c>
      <c r="Y21" s="16">
        <v>0</v>
      </c>
      <c r="Z21" s="16">
        <v>0</v>
      </c>
      <c r="AA21" s="16">
        <f>MasterTable[[#This Row],[Landings
Night]]+MasterTable[[#This Row],[Landings
Day]]</f>
        <v>3</v>
      </c>
      <c r="AB21" s="14">
        <v>0</v>
      </c>
      <c r="AC21" s="14">
        <v>0</v>
      </c>
      <c r="AD21" s="15">
        <v>0</v>
      </c>
      <c r="AE21" s="21">
        <f>SUM(MasterTable[[#This Row],[ILS]:[PAR]])</f>
        <v>0</v>
      </c>
      <c r="AF21" s="15"/>
      <c r="AG21" s="15"/>
      <c r="AH21" s="16"/>
      <c r="AI21" s="15"/>
      <c r="AJ21" s="15"/>
      <c r="AK21" s="15"/>
      <c r="AL21" s="15"/>
      <c r="AN21" s="29"/>
      <c r="AO21" s="29"/>
      <c r="AP21" s="29"/>
      <c r="AQ21" s="29"/>
      <c r="AR21" s="91" t="str">
        <f>_xlfn.XLOOKUP(MasterTable[[#This Row],[Aircraft ID]],Aircraft!A:A,Aircraft!H:H)</f>
        <v>Airplane Multi Engine Land</v>
      </c>
      <c r="AS21" s="12" t="b">
        <f>OR((SUM(MasterTable[[#This Row],[ILS]:[PAR]]) = MasterTable[[#This Row],[APPR]]))</f>
        <v>1</v>
      </c>
      <c r="AT21" s="12" t="b">
        <f>NOT(ISBLANK(MasterTable[[#This Row],[Total
Time]]))</f>
        <v>1</v>
      </c>
    </row>
    <row r="22" spans="1:46" s="12" customFormat="1" ht="14.4" customHeight="1" x14ac:dyDescent="0.3">
      <c r="A22" s="19"/>
      <c r="B22" s="19"/>
      <c r="C22" s="19"/>
      <c r="D22" s="22">
        <v>46258</v>
      </c>
      <c r="E22" s="12" t="s">
        <v>71</v>
      </c>
      <c r="F22" s="12" t="s">
        <v>44</v>
      </c>
      <c r="G22" s="12" t="s">
        <v>44</v>
      </c>
      <c r="I22" s="14">
        <v>1.2</v>
      </c>
      <c r="J22" s="13">
        <v>0</v>
      </c>
      <c r="K22" s="14">
        <v>1.2</v>
      </c>
      <c r="L22" s="13">
        <v>0</v>
      </c>
      <c r="M22" s="13">
        <v>0</v>
      </c>
      <c r="N22" s="13"/>
      <c r="O22" s="14">
        <v>0</v>
      </c>
      <c r="P22" s="13">
        <v>1.2</v>
      </c>
      <c r="Q22" s="14">
        <v>0</v>
      </c>
      <c r="R22" s="14">
        <v>0</v>
      </c>
      <c r="S22" s="13">
        <v>1.2</v>
      </c>
      <c r="T22" s="13">
        <v>0</v>
      </c>
      <c r="U22" s="14">
        <v>0</v>
      </c>
      <c r="V22" s="13">
        <v>0</v>
      </c>
      <c r="W22" s="15">
        <v>0</v>
      </c>
      <c r="X22" s="15">
        <v>0</v>
      </c>
      <c r="Y22" s="15">
        <v>4</v>
      </c>
      <c r="Z22" s="15">
        <v>4</v>
      </c>
      <c r="AA22" s="15">
        <f>MasterTable[[#This Row],[Landings
Night]]+MasterTable[[#This Row],[Landings
Day]]</f>
        <v>4</v>
      </c>
      <c r="AB22" s="14">
        <v>0</v>
      </c>
      <c r="AC22" s="14">
        <v>0</v>
      </c>
      <c r="AD22" s="15">
        <v>0</v>
      </c>
      <c r="AE22" s="21">
        <f>SUM(MasterTable[[#This Row],[ILS]:[PAR]])</f>
        <v>1</v>
      </c>
      <c r="AF22" s="15">
        <v>1</v>
      </c>
      <c r="AG22" s="15"/>
      <c r="AH22" s="16"/>
      <c r="AI22" s="15"/>
      <c r="AJ22" s="15"/>
      <c r="AK22" s="15"/>
      <c r="AL22" s="15"/>
      <c r="AN22" s="30"/>
      <c r="AO22" s="30"/>
      <c r="AP22" s="30"/>
      <c r="AQ22" s="30"/>
      <c r="AR22" s="91" t="str">
        <f>_xlfn.XLOOKUP(MasterTable[[#This Row],[Aircraft ID]],Aircraft!A:A,Aircraft!H:H)</f>
        <v>Airplane Multi Engine Land</v>
      </c>
      <c r="AS22" s="12" t="b">
        <f>OR((SUM(MasterTable[[#This Row],[ILS]:[PAR]]) = MasterTable[[#This Row],[APPR]]))</f>
        <v>1</v>
      </c>
      <c r="AT22" s="12" t="b">
        <f>NOT(ISBLANK(MasterTable[[#This Row],[Total
Time]]))</f>
        <v>1</v>
      </c>
    </row>
    <row r="23" spans="1:46" ht="14.4" customHeight="1" x14ac:dyDescent="0.3">
      <c r="D23" s="22">
        <v>46255</v>
      </c>
      <c r="E23" s="8" t="s">
        <v>71</v>
      </c>
      <c r="F23" s="8" t="s">
        <v>44</v>
      </c>
      <c r="G23" s="8" t="s">
        <v>44</v>
      </c>
      <c r="I23" s="10">
        <v>1.2</v>
      </c>
      <c r="J23" s="10">
        <v>0</v>
      </c>
      <c r="K23" s="10">
        <f>MasterTable[[#This Row],[Total
Time]]</f>
        <v>1.2</v>
      </c>
      <c r="L23" s="10">
        <v>0</v>
      </c>
      <c r="M23" s="13">
        <v>0</v>
      </c>
      <c r="N23" s="13"/>
      <c r="O23" s="10">
        <v>0</v>
      </c>
      <c r="P23" s="10">
        <v>1.2</v>
      </c>
      <c r="Q23" s="14">
        <v>0</v>
      </c>
      <c r="R23" s="14">
        <v>0</v>
      </c>
      <c r="S23" s="10">
        <v>0</v>
      </c>
      <c r="T23" s="10">
        <v>0</v>
      </c>
      <c r="U23" s="14">
        <v>0</v>
      </c>
      <c r="V23" s="10">
        <v>1.2</v>
      </c>
      <c r="W23" s="11">
        <v>1</v>
      </c>
      <c r="X23" s="11">
        <v>1</v>
      </c>
      <c r="Y23" s="11">
        <v>0</v>
      </c>
      <c r="Z23" s="11">
        <v>0</v>
      </c>
      <c r="AA23" s="11">
        <f>MasterTable[[#This Row],[Landings
Night]]+MasterTable[[#This Row],[Landings
Day]]</f>
        <v>1</v>
      </c>
      <c r="AB23" s="10">
        <v>0</v>
      </c>
      <c r="AC23" s="10">
        <v>0</v>
      </c>
      <c r="AD23" s="11">
        <v>0</v>
      </c>
      <c r="AE23" s="21">
        <f>SUM(MasterTable[[#This Row],[ILS]:[PAR]])</f>
        <v>0</v>
      </c>
      <c r="AL23" s="11"/>
      <c r="AR23" s="91" t="str">
        <f>_xlfn.XLOOKUP(MasterTable[[#This Row],[Aircraft ID]],Aircraft!A:A,Aircraft!H:H)</f>
        <v>Airplane Multi Engine Land</v>
      </c>
      <c r="AS23" s="8" t="b">
        <f>OR((SUM(MasterTable[[#This Row],[ILS]:[PAR]]) = MasterTable[[#This Row],[APPR]]))</f>
        <v>1</v>
      </c>
      <c r="AT23" s="8" t="b">
        <f>NOT(ISBLANK(MasterTable[[#This Row],[Total
Time]]))</f>
        <v>1</v>
      </c>
    </row>
    <row r="24" spans="1:46" ht="14.4" customHeight="1" x14ac:dyDescent="0.3">
      <c r="D24" s="22">
        <v>46254</v>
      </c>
      <c r="E24" s="8" t="s">
        <v>71</v>
      </c>
      <c r="F24" s="8" t="s">
        <v>44</v>
      </c>
      <c r="G24" s="8" t="s">
        <v>45</v>
      </c>
      <c r="I24" s="10">
        <v>1.2</v>
      </c>
      <c r="J24" s="10">
        <v>0</v>
      </c>
      <c r="K24" s="10">
        <f>MasterTable[[#This Row],[Total
Time]]</f>
        <v>1.2</v>
      </c>
      <c r="L24" s="10">
        <v>0</v>
      </c>
      <c r="M24" s="13">
        <v>0</v>
      </c>
      <c r="N24" s="13"/>
      <c r="O24" s="10">
        <v>0</v>
      </c>
      <c r="P24" s="10">
        <v>1.2</v>
      </c>
      <c r="Q24" s="14">
        <v>0</v>
      </c>
      <c r="R24" s="14">
        <v>0</v>
      </c>
      <c r="S24" s="10">
        <v>0</v>
      </c>
      <c r="T24" s="10">
        <v>1.2</v>
      </c>
      <c r="U24" s="14">
        <v>0</v>
      </c>
      <c r="V24" s="10">
        <v>0</v>
      </c>
      <c r="W24" s="11">
        <v>3</v>
      </c>
      <c r="X24" s="11">
        <v>3</v>
      </c>
      <c r="Y24" s="11">
        <v>0</v>
      </c>
      <c r="Z24" s="11">
        <v>0</v>
      </c>
      <c r="AA24" s="11">
        <f>MasterTable[[#This Row],[Landings
Night]]+MasterTable[[#This Row],[Landings
Day]]</f>
        <v>3</v>
      </c>
      <c r="AB24" s="10">
        <v>0</v>
      </c>
      <c r="AC24" s="10">
        <v>1.2</v>
      </c>
      <c r="AD24" s="11">
        <v>1</v>
      </c>
      <c r="AE24" s="21">
        <f>SUM(MasterTable[[#This Row],[ILS]:[PAR]])</f>
        <v>3</v>
      </c>
      <c r="AF24" s="11">
        <v>1</v>
      </c>
      <c r="AG24" s="11">
        <v>1</v>
      </c>
      <c r="AI24" s="11">
        <v>1</v>
      </c>
      <c r="AL24" s="11"/>
      <c r="AO24" s="27" t="s">
        <v>106</v>
      </c>
      <c r="AQ24" s="27" t="s">
        <v>106</v>
      </c>
      <c r="AR24" s="91" t="str">
        <f>_xlfn.XLOOKUP(MasterTable[[#This Row],[Aircraft ID]],Aircraft!A:A,Aircraft!H:H)</f>
        <v>Airplane Multi Engine Land</v>
      </c>
      <c r="AS24" s="8" t="b">
        <f>OR((SUM(MasterTable[[#This Row],[ILS]:[PAR]]) = MasterTable[[#This Row],[APPR]]))</f>
        <v>1</v>
      </c>
      <c r="AT24" s="8" t="b">
        <f>NOT(ISBLANK(MasterTable[[#This Row],[Total
Time]]))</f>
        <v>1</v>
      </c>
    </row>
    <row r="25" spans="1:46" ht="14.4" customHeight="1" x14ac:dyDescent="0.3">
      <c r="D25" s="22">
        <v>46253</v>
      </c>
      <c r="E25" s="8" t="s">
        <v>71</v>
      </c>
      <c r="F25" s="8" t="s">
        <v>46</v>
      </c>
      <c r="G25" s="8" t="s">
        <v>44</v>
      </c>
      <c r="H25" s="8" t="s">
        <v>47</v>
      </c>
      <c r="I25" s="10">
        <v>1.1000000000000001</v>
      </c>
      <c r="J25" s="10">
        <v>0</v>
      </c>
      <c r="K25" s="10">
        <f>MasterTable[[#This Row],[Total
Time]]</f>
        <v>1.1000000000000001</v>
      </c>
      <c r="L25" s="10">
        <v>0</v>
      </c>
      <c r="M25" s="13">
        <v>0</v>
      </c>
      <c r="N25" s="13"/>
      <c r="O25" s="10">
        <v>0</v>
      </c>
      <c r="P25" s="10">
        <v>1.1000000000000001</v>
      </c>
      <c r="Q25" s="14">
        <v>0</v>
      </c>
      <c r="R25" s="14">
        <v>0</v>
      </c>
      <c r="S25" s="10">
        <v>0</v>
      </c>
      <c r="T25" s="10">
        <v>1.1000000000000001</v>
      </c>
      <c r="U25" s="14">
        <v>0</v>
      </c>
      <c r="V25" s="10">
        <v>0</v>
      </c>
      <c r="W25" s="11">
        <v>3</v>
      </c>
      <c r="X25" s="11">
        <v>3</v>
      </c>
      <c r="Y25" s="11">
        <v>0</v>
      </c>
      <c r="Z25" s="11">
        <v>0</v>
      </c>
      <c r="AA25" s="11">
        <f>MasterTable[[#This Row],[Landings
Night]]+MasterTable[[#This Row],[Landings
Day]]</f>
        <v>3</v>
      </c>
      <c r="AB25" s="10">
        <v>0</v>
      </c>
      <c r="AC25" s="10">
        <v>0.9</v>
      </c>
      <c r="AD25" s="11">
        <v>0</v>
      </c>
      <c r="AE25" s="21">
        <f>SUM(MasterTable[[#This Row],[ILS]:[PAR]])</f>
        <v>2</v>
      </c>
      <c r="AH25" s="11">
        <v>1</v>
      </c>
      <c r="AK25" s="11">
        <v>1</v>
      </c>
      <c r="AL25" s="11"/>
      <c r="AR25" s="91" t="str">
        <f>_xlfn.XLOOKUP(MasterTable[[#This Row],[Aircraft ID]],Aircraft!A:A,Aircraft!H:H)</f>
        <v>Airplane Multi Engine Land</v>
      </c>
      <c r="AS25" s="8" t="b">
        <f>OR((SUM(MasterTable[[#This Row],[ILS]:[PAR]]) = MasterTable[[#This Row],[APPR]]))</f>
        <v>1</v>
      </c>
      <c r="AT25" s="8" t="b">
        <f>NOT(ISBLANK(MasterTable[[#This Row],[Total
Time]]))</f>
        <v>1</v>
      </c>
    </row>
    <row r="26" spans="1:46" ht="14.4" customHeight="1" x14ac:dyDescent="0.3">
      <c r="D26" s="22">
        <v>46253</v>
      </c>
      <c r="E26" s="8" t="s">
        <v>71</v>
      </c>
      <c r="F26" s="8" t="s">
        <v>44</v>
      </c>
      <c r="G26" s="8" t="s">
        <v>46</v>
      </c>
      <c r="I26" s="10">
        <v>1.2</v>
      </c>
      <c r="J26" s="10">
        <v>0</v>
      </c>
      <c r="K26" s="10">
        <f>MasterTable[[#This Row],[Total
Time]]</f>
        <v>1.2</v>
      </c>
      <c r="L26" s="10">
        <v>0</v>
      </c>
      <c r="M26" s="13">
        <v>0</v>
      </c>
      <c r="N26" s="13"/>
      <c r="O26" s="10">
        <v>0</v>
      </c>
      <c r="P26" s="10">
        <v>1.2</v>
      </c>
      <c r="Q26" s="14">
        <v>0</v>
      </c>
      <c r="R26" s="14">
        <v>0</v>
      </c>
      <c r="S26" s="10">
        <v>0</v>
      </c>
      <c r="T26" s="10">
        <v>1.2</v>
      </c>
      <c r="U26" s="14">
        <v>0</v>
      </c>
      <c r="V26" s="10">
        <v>0</v>
      </c>
      <c r="W26" s="11">
        <v>1</v>
      </c>
      <c r="X26" s="11">
        <v>1</v>
      </c>
      <c r="Y26" s="11">
        <v>0</v>
      </c>
      <c r="Z26" s="11">
        <v>0</v>
      </c>
      <c r="AA26" s="11">
        <f>MasterTable[[#This Row],[Landings
Night]]+MasterTable[[#This Row],[Landings
Day]]</f>
        <v>1</v>
      </c>
      <c r="AB26" s="10">
        <v>0</v>
      </c>
      <c r="AC26" s="10">
        <v>1.2</v>
      </c>
      <c r="AD26" s="11">
        <v>1</v>
      </c>
      <c r="AE26" s="21">
        <f>SUM(MasterTable[[#This Row],[ILS]:[PAR]])</f>
        <v>3</v>
      </c>
      <c r="AF26" s="11">
        <v>1</v>
      </c>
      <c r="AG26" s="11">
        <v>1</v>
      </c>
      <c r="AH26" s="11">
        <v>1</v>
      </c>
      <c r="AL26" s="11"/>
      <c r="AR26" s="91" t="str">
        <f>_xlfn.XLOOKUP(MasterTable[[#This Row],[Aircraft ID]],Aircraft!A:A,Aircraft!H:H)</f>
        <v>Airplane Multi Engine Land</v>
      </c>
      <c r="AS26" s="8" t="b">
        <f>OR((SUM(MasterTable[[#This Row],[ILS]:[PAR]]) = MasterTable[[#This Row],[APPR]]))</f>
        <v>1</v>
      </c>
      <c r="AT26" s="8" t="b">
        <f>NOT(ISBLANK(MasterTable[[#This Row],[Total
Time]]))</f>
        <v>1</v>
      </c>
    </row>
    <row r="27" spans="1:46" ht="14.4" customHeight="1" x14ac:dyDescent="0.3">
      <c r="D27" s="22">
        <v>46248</v>
      </c>
      <c r="E27" s="8" t="s">
        <v>71</v>
      </c>
      <c r="F27" s="8" t="s">
        <v>44</v>
      </c>
      <c r="G27" s="8" t="s">
        <v>48</v>
      </c>
      <c r="I27" s="10">
        <v>0.9</v>
      </c>
      <c r="J27" s="10">
        <v>0</v>
      </c>
      <c r="K27" s="10">
        <f>MasterTable[[#This Row],[Total
Time]]</f>
        <v>0.9</v>
      </c>
      <c r="L27" s="10">
        <v>0</v>
      </c>
      <c r="M27" s="13">
        <v>0</v>
      </c>
      <c r="N27" s="13"/>
      <c r="O27" s="10">
        <v>0</v>
      </c>
      <c r="P27" s="10">
        <v>0.9</v>
      </c>
      <c r="Q27" s="14">
        <v>0</v>
      </c>
      <c r="R27" s="14">
        <v>0</v>
      </c>
      <c r="S27" s="10">
        <v>0</v>
      </c>
      <c r="T27" s="10">
        <v>0.9</v>
      </c>
      <c r="U27" s="14">
        <v>0</v>
      </c>
      <c r="V27" s="10">
        <v>0</v>
      </c>
      <c r="W27" s="11">
        <v>1</v>
      </c>
      <c r="X27" s="11">
        <v>1</v>
      </c>
      <c r="Y27" s="11">
        <v>0</v>
      </c>
      <c r="Z27" s="11">
        <v>0</v>
      </c>
      <c r="AA27" s="11">
        <f>MasterTable[[#This Row],[Landings
Night]]+MasterTable[[#This Row],[Landings
Day]]</f>
        <v>1</v>
      </c>
      <c r="AB27" s="10">
        <v>0</v>
      </c>
      <c r="AC27" s="10">
        <v>0.9</v>
      </c>
      <c r="AD27" s="11">
        <v>0</v>
      </c>
      <c r="AE27" s="21">
        <f>SUM(MasterTable[[#This Row],[ILS]:[PAR]])</f>
        <v>1</v>
      </c>
      <c r="AF27" s="11">
        <v>1</v>
      </c>
      <c r="AL27" s="11"/>
      <c r="AR27" s="91" t="str">
        <f>_xlfn.XLOOKUP(MasterTable[[#This Row],[Aircraft ID]],Aircraft!A:A,Aircraft!H:H)</f>
        <v>Airplane Multi Engine Land</v>
      </c>
      <c r="AS27" s="8" t="b">
        <f>OR((SUM(MasterTable[[#This Row],[ILS]:[PAR]]) = MasterTable[[#This Row],[APPR]]))</f>
        <v>1</v>
      </c>
      <c r="AT27" s="8" t="b">
        <f>NOT(ISBLANK(MasterTable[[#This Row],[Total
Time]]))</f>
        <v>1</v>
      </c>
    </row>
    <row r="28" spans="1:46" ht="14.4" customHeight="1" x14ac:dyDescent="0.3">
      <c r="D28" s="22">
        <v>46247</v>
      </c>
      <c r="E28" s="8" t="s">
        <v>71</v>
      </c>
      <c r="F28" s="8" t="s">
        <v>49</v>
      </c>
      <c r="G28" s="8" t="s">
        <v>44</v>
      </c>
      <c r="I28" s="10">
        <v>1.2</v>
      </c>
      <c r="J28" s="10">
        <v>0</v>
      </c>
      <c r="K28" s="10">
        <f>MasterTable[[#This Row],[Total
Time]]</f>
        <v>1.2</v>
      </c>
      <c r="L28" s="10">
        <v>0</v>
      </c>
      <c r="M28" s="13">
        <v>0</v>
      </c>
      <c r="N28" s="13"/>
      <c r="O28" s="10">
        <v>0</v>
      </c>
      <c r="P28" s="10">
        <v>1.2</v>
      </c>
      <c r="Q28" s="14">
        <v>0</v>
      </c>
      <c r="R28" s="14">
        <v>0</v>
      </c>
      <c r="S28" s="10">
        <v>0</v>
      </c>
      <c r="T28" s="10">
        <v>1.2</v>
      </c>
      <c r="U28" s="14">
        <v>0</v>
      </c>
      <c r="V28" s="10">
        <v>0</v>
      </c>
      <c r="W28" s="11">
        <v>4</v>
      </c>
      <c r="X28" s="11">
        <v>4</v>
      </c>
      <c r="Y28" s="11">
        <v>0</v>
      </c>
      <c r="Z28" s="11">
        <v>0</v>
      </c>
      <c r="AA28" s="11">
        <f>MasterTable[[#This Row],[Landings
Night]]+MasterTable[[#This Row],[Landings
Day]]</f>
        <v>4</v>
      </c>
      <c r="AB28" s="10">
        <v>0</v>
      </c>
      <c r="AC28" s="10">
        <v>0.9</v>
      </c>
      <c r="AD28" s="11">
        <v>1</v>
      </c>
      <c r="AE28" s="21">
        <f>SUM(MasterTable[[#This Row],[ILS]:[PAR]])</f>
        <v>3</v>
      </c>
      <c r="AF28" s="11">
        <v>1</v>
      </c>
      <c r="AG28" s="11">
        <v>1</v>
      </c>
      <c r="AH28" s="11">
        <v>1</v>
      </c>
      <c r="AL28" s="11"/>
      <c r="AR28" s="91" t="str">
        <f>_xlfn.XLOOKUP(MasterTable[[#This Row],[Aircraft ID]],Aircraft!A:A,Aircraft!H:H)</f>
        <v>Airplane Multi Engine Land</v>
      </c>
      <c r="AS28" s="8" t="b">
        <f>OR((SUM(MasterTable[[#This Row],[ILS]:[PAR]]) = MasterTable[[#This Row],[APPR]]))</f>
        <v>1</v>
      </c>
      <c r="AT28" s="8" t="b">
        <f>NOT(ISBLANK(MasterTable[[#This Row],[Total
Time]]))</f>
        <v>1</v>
      </c>
    </row>
    <row r="29" spans="1:46" ht="14.4" customHeight="1" x14ac:dyDescent="0.3">
      <c r="D29" s="22">
        <v>46247</v>
      </c>
      <c r="E29" s="8" t="s">
        <v>71</v>
      </c>
      <c r="F29" s="8" t="s">
        <v>44</v>
      </c>
      <c r="G29" s="8" t="s">
        <v>49</v>
      </c>
      <c r="I29" s="10">
        <v>1.1000000000000001</v>
      </c>
      <c r="J29" s="10">
        <v>0</v>
      </c>
      <c r="K29" s="10">
        <f>MasterTable[[#This Row],[Total
Time]]</f>
        <v>1.1000000000000001</v>
      </c>
      <c r="L29" s="10">
        <v>0</v>
      </c>
      <c r="M29" s="13">
        <v>0</v>
      </c>
      <c r="N29" s="13"/>
      <c r="O29" s="10">
        <v>0</v>
      </c>
      <c r="P29" s="10">
        <v>1.1000000000000001</v>
      </c>
      <c r="Q29" s="14">
        <v>0</v>
      </c>
      <c r="R29" s="14">
        <v>0</v>
      </c>
      <c r="S29" s="10">
        <v>0</v>
      </c>
      <c r="T29" s="10">
        <v>1.1000000000000001</v>
      </c>
      <c r="U29" s="14">
        <v>0</v>
      </c>
      <c r="V29" s="10">
        <v>0</v>
      </c>
      <c r="W29" s="11">
        <v>1</v>
      </c>
      <c r="X29" s="11">
        <v>1</v>
      </c>
      <c r="Y29" s="11">
        <v>0</v>
      </c>
      <c r="Z29" s="11">
        <v>0</v>
      </c>
      <c r="AA29" s="11">
        <f>MasterTable[[#This Row],[Landings
Night]]+MasterTable[[#This Row],[Landings
Day]]</f>
        <v>1</v>
      </c>
      <c r="AB29" s="10">
        <v>0</v>
      </c>
      <c r="AC29" s="10">
        <v>1.1000000000000001</v>
      </c>
      <c r="AD29" s="11">
        <v>0</v>
      </c>
      <c r="AE29" s="21">
        <f>SUM(MasterTable[[#This Row],[ILS]:[PAR]])</f>
        <v>3</v>
      </c>
      <c r="AF29" s="11">
        <v>2</v>
      </c>
      <c r="AG29" s="11">
        <v>1</v>
      </c>
      <c r="AL29" s="11"/>
      <c r="AR29" s="91" t="str">
        <f>_xlfn.XLOOKUP(MasterTable[[#This Row],[Aircraft ID]],Aircraft!A:A,Aircraft!H:H)</f>
        <v>Airplane Multi Engine Land</v>
      </c>
      <c r="AS29" s="8" t="b">
        <f>OR((SUM(MasterTable[[#This Row],[ILS]:[PAR]]) = MasterTable[[#This Row],[APPR]]))</f>
        <v>1</v>
      </c>
      <c r="AT29" s="8" t="b">
        <f>NOT(ISBLANK(MasterTable[[#This Row],[Total
Time]]))</f>
        <v>1</v>
      </c>
    </row>
    <row r="30" spans="1:46" ht="14.4" customHeight="1" x14ac:dyDescent="0.3">
      <c r="D30" s="22">
        <v>46246</v>
      </c>
      <c r="E30" s="8" t="s">
        <v>71</v>
      </c>
      <c r="F30" s="8" t="s">
        <v>50</v>
      </c>
      <c r="G30" s="8" t="s">
        <v>44</v>
      </c>
      <c r="I30" s="10">
        <v>1.2</v>
      </c>
      <c r="J30" s="10">
        <v>0</v>
      </c>
      <c r="K30" s="10">
        <f>MasterTable[[#This Row],[Total
Time]]</f>
        <v>1.2</v>
      </c>
      <c r="L30" s="10">
        <v>0</v>
      </c>
      <c r="M30" s="13">
        <v>0</v>
      </c>
      <c r="N30" s="13"/>
      <c r="O30" s="10">
        <v>0</v>
      </c>
      <c r="P30" s="10">
        <v>1.2</v>
      </c>
      <c r="Q30" s="14">
        <v>0</v>
      </c>
      <c r="R30" s="14">
        <v>0</v>
      </c>
      <c r="S30" s="10">
        <v>0</v>
      </c>
      <c r="T30" s="10">
        <v>1.2</v>
      </c>
      <c r="U30" s="14">
        <v>0</v>
      </c>
      <c r="V30" s="10">
        <v>0</v>
      </c>
      <c r="W30" s="11">
        <v>4</v>
      </c>
      <c r="X30" s="11">
        <v>4</v>
      </c>
      <c r="Y30" s="11">
        <v>0</v>
      </c>
      <c r="Z30" s="11">
        <v>0</v>
      </c>
      <c r="AA30" s="11">
        <f>MasterTable[[#This Row],[Landings
Night]]+MasterTable[[#This Row],[Landings
Day]]</f>
        <v>4</v>
      </c>
      <c r="AB30" s="10">
        <v>0</v>
      </c>
      <c r="AC30" s="10">
        <v>1</v>
      </c>
      <c r="AD30" s="11">
        <v>0</v>
      </c>
      <c r="AE30" s="21">
        <f>SUM(MasterTable[[#This Row],[ILS]:[PAR]])</f>
        <v>1</v>
      </c>
      <c r="AI30" s="11">
        <v>1</v>
      </c>
      <c r="AL30" s="11"/>
      <c r="AR30" s="91" t="str">
        <f>_xlfn.XLOOKUP(MasterTable[[#This Row],[Aircraft ID]],Aircraft!A:A,Aircraft!H:H)</f>
        <v>Airplane Multi Engine Land</v>
      </c>
      <c r="AS30" s="8" t="b">
        <f>OR((SUM(MasterTable[[#This Row],[ILS]:[PAR]]) = MasterTable[[#This Row],[APPR]]))</f>
        <v>1</v>
      </c>
      <c r="AT30" s="8" t="b">
        <f>NOT(ISBLANK(MasterTable[[#This Row],[Total
Time]]))</f>
        <v>1</v>
      </c>
    </row>
    <row r="31" spans="1:46" ht="14.4" customHeight="1" x14ac:dyDescent="0.3">
      <c r="D31" s="22">
        <v>46246</v>
      </c>
      <c r="E31" s="8" t="s">
        <v>71</v>
      </c>
      <c r="F31" s="8" t="s">
        <v>44</v>
      </c>
      <c r="G31" s="8" t="s">
        <v>50</v>
      </c>
      <c r="I31" s="10">
        <v>1.4</v>
      </c>
      <c r="J31" s="10">
        <v>0</v>
      </c>
      <c r="K31" s="10">
        <f>MasterTable[[#This Row],[Total
Time]]</f>
        <v>1.4</v>
      </c>
      <c r="L31" s="10">
        <v>0</v>
      </c>
      <c r="M31" s="13">
        <v>0</v>
      </c>
      <c r="N31" s="13"/>
      <c r="O31" s="10">
        <v>0</v>
      </c>
      <c r="P31" s="10">
        <v>1.4</v>
      </c>
      <c r="Q31" s="14">
        <v>0</v>
      </c>
      <c r="R31" s="14">
        <v>0</v>
      </c>
      <c r="S31" s="10">
        <v>0</v>
      </c>
      <c r="T31" s="10">
        <v>1.4</v>
      </c>
      <c r="U31" s="14">
        <v>0</v>
      </c>
      <c r="V31" s="10">
        <v>0</v>
      </c>
      <c r="W31" s="11">
        <v>1</v>
      </c>
      <c r="X31" s="11">
        <v>1</v>
      </c>
      <c r="Y31" s="11">
        <v>0</v>
      </c>
      <c r="Z31" s="11">
        <v>0</v>
      </c>
      <c r="AA31" s="11">
        <f>MasterTable[[#This Row],[Landings
Night]]+MasterTable[[#This Row],[Landings
Day]]</f>
        <v>1</v>
      </c>
      <c r="AB31" s="10">
        <v>0</v>
      </c>
      <c r="AC31" s="10">
        <v>1.4</v>
      </c>
      <c r="AD31" s="11">
        <v>1</v>
      </c>
      <c r="AE31" s="21">
        <f>SUM(MasterTable[[#This Row],[ILS]:[PAR]])</f>
        <v>2</v>
      </c>
      <c r="AG31" s="11">
        <v>1</v>
      </c>
      <c r="AI31" s="11">
        <v>1</v>
      </c>
      <c r="AL31" s="11"/>
      <c r="AR31" s="91" t="str">
        <f>_xlfn.XLOOKUP(MasterTable[[#This Row],[Aircraft ID]],Aircraft!A:A,Aircraft!H:H)</f>
        <v>Airplane Multi Engine Land</v>
      </c>
      <c r="AS31" s="8" t="b">
        <f>OR((SUM(MasterTable[[#This Row],[ILS]:[PAR]]) = MasterTable[[#This Row],[APPR]]))</f>
        <v>1</v>
      </c>
      <c r="AT31" s="8" t="b">
        <f>NOT(ISBLANK(MasterTable[[#This Row],[Total
Time]]))</f>
        <v>1</v>
      </c>
    </row>
    <row r="32" spans="1:46" ht="14.4" customHeight="1" x14ac:dyDescent="0.3">
      <c r="D32" s="22">
        <v>46245</v>
      </c>
      <c r="E32" s="8" t="s">
        <v>71</v>
      </c>
      <c r="F32" s="8" t="s">
        <v>45</v>
      </c>
      <c r="G32" s="8" t="s">
        <v>44</v>
      </c>
      <c r="I32" s="10">
        <v>1.3</v>
      </c>
      <c r="J32" s="10">
        <v>0</v>
      </c>
      <c r="K32" s="10">
        <f>MasterTable[[#This Row],[Total
Time]]</f>
        <v>1.3</v>
      </c>
      <c r="L32" s="10">
        <v>0</v>
      </c>
      <c r="M32" s="13">
        <v>0</v>
      </c>
      <c r="N32" s="13"/>
      <c r="O32" s="10">
        <v>0</v>
      </c>
      <c r="P32" s="10">
        <v>1.3</v>
      </c>
      <c r="Q32" s="14">
        <v>0</v>
      </c>
      <c r="R32" s="14">
        <v>0</v>
      </c>
      <c r="S32" s="10">
        <v>0</v>
      </c>
      <c r="T32" s="10">
        <v>1.3</v>
      </c>
      <c r="U32" s="14">
        <v>0</v>
      </c>
      <c r="V32" s="10">
        <v>0</v>
      </c>
      <c r="W32" s="11">
        <v>3</v>
      </c>
      <c r="X32" s="11">
        <v>3</v>
      </c>
      <c r="Y32" s="11">
        <v>0</v>
      </c>
      <c r="Z32" s="11">
        <v>0</v>
      </c>
      <c r="AA32" s="11">
        <f>MasterTable[[#This Row],[Landings
Night]]+MasterTable[[#This Row],[Landings
Day]]</f>
        <v>3</v>
      </c>
      <c r="AB32" s="10">
        <v>0.2</v>
      </c>
      <c r="AC32" s="10">
        <v>0.8</v>
      </c>
      <c r="AD32" s="11">
        <v>1</v>
      </c>
      <c r="AE32" s="21">
        <f>SUM(MasterTable[[#This Row],[ILS]:[PAR]])</f>
        <v>2</v>
      </c>
      <c r="AH32" s="11">
        <v>1</v>
      </c>
      <c r="AJ32" s="11">
        <v>1</v>
      </c>
      <c r="AL32" s="11"/>
      <c r="AR32" s="91" t="str">
        <f>_xlfn.XLOOKUP(MasterTable[[#This Row],[Aircraft ID]],Aircraft!A:A,Aircraft!H:H)</f>
        <v>Airplane Multi Engine Land</v>
      </c>
      <c r="AS32" s="8" t="b">
        <f>OR((SUM(MasterTable[[#This Row],[ILS]:[PAR]]) = MasterTable[[#This Row],[APPR]]))</f>
        <v>1</v>
      </c>
      <c r="AT32" s="8" t="b">
        <f>NOT(ISBLANK(MasterTable[[#This Row],[Total
Time]]))</f>
        <v>1</v>
      </c>
    </row>
    <row r="33" spans="4:46" ht="14.4" customHeight="1" x14ac:dyDescent="0.3">
      <c r="D33" s="22">
        <v>46245</v>
      </c>
      <c r="E33" s="8" t="s">
        <v>71</v>
      </c>
      <c r="F33" s="8" t="s">
        <v>44</v>
      </c>
      <c r="G33" s="8" t="s">
        <v>45</v>
      </c>
      <c r="I33" s="10">
        <v>1</v>
      </c>
      <c r="J33" s="10">
        <v>0</v>
      </c>
      <c r="K33" s="10">
        <f>MasterTable[[#This Row],[Total
Time]]</f>
        <v>1</v>
      </c>
      <c r="L33" s="10">
        <v>0</v>
      </c>
      <c r="M33" s="13">
        <v>0</v>
      </c>
      <c r="N33" s="13"/>
      <c r="O33" s="10">
        <v>0</v>
      </c>
      <c r="P33" s="10">
        <v>1</v>
      </c>
      <c r="Q33" s="14">
        <v>0</v>
      </c>
      <c r="R33" s="14">
        <v>0</v>
      </c>
      <c r="S33" s="10">
        <v>0</v>
      </c>
      <c r="T33" s="10">
        <v>1</v>
      </c>
      <c r="U33" s="14">
        <v>0</v>
      </c>
      <c r="V33" s="10">
        <v>0</v>
      </c>
      <c r="W33" s="11">
        <v>1</v>
      </c>
      <c r="X33" s="11">
        <v>1</v>
      </c>
      <c r="Y33" s="11">
        <v>0</v>
      </c>
      <c r="Z33" s="11">
        <v>0</v>
      </c>
      <c r="AA33" s="11">
        <f>MasterTable[[#This Row],[Landings
Night]]+MasterTable[[#This Row],[Landings
Day]]</f>
        <v>1</v>
      </c>
      <c r="AB33" s="10">
        <v>0.2</v>
      </c>
      <c r="AC33" s="10">
        <v>0.8</v>
      </c>
      <c r="AD33" s="11">
        <v>1</v>
      </c>
      <c r="AE33" s="21">
        <f>SUM(MasterTable[[#This Row],[ILS]:[PAR]])</f>
        <v>3</v>
      </c>
      <c r="AF33" s="11">
        <v>1</v>
      </c>
      <c r="AG33" s="11">
        <v>1</v>
      </c>
      <c r="AH33" s="11">
        <v>1</v>
      </c>
      <c r="AL33" s="11"/>
      <c r="AR33" s="91" t="str">
        <f>_xlfn.XLOOKUP(MasterTable[[#This Row],[Aircraft ID]],Aircraft!A:A,Aircraft!H:H)</f>
        <v>Airplane Multi Engine Land</v>
      </c>
      <c r="AS33" s="8" t="b">
        <f>OR((SUM(MasterTable[[#This Row],[ILS]:[PAR]]) = MasterTable[[#This Row],[APPR]]))</f>
        <v>1</v>
      </c>
      <c r="AT33" s="8" t="b">
        <f>NOT(ISBLANK(MasterTable[[#This Row],[Total
Time]]))</f>
        <v>1</v>
      </c>
    </row>
    <row r="34" spans="4:46" ht="14.4" customHeight="1" x14ac:dyDescent="0.3">
      <c r="D34" s="22">
        <v>46234</v>
      </c>
      <c r="E34" s="8" t="s">
        <v>71</v>
      </c>
      <c r="F34" s="8" t="s">
        <v>44</v>
      </c>
      <c r="G34" s="8" t="s">
        <v>51</v>
      </c>
      <c r="I34" s="10">
        <v>1.3</v>
      </c>
      <c r="J34" s="10">
        <v>0</v>
      </c>
      <c r="K34" s="10">
        <f>MasterTable[[#This Row],[Total
Time]]</f>
        <v>1.3</v>
      </c>
      <c r="L34" s="10">
        <v>0</v>
      </c>
      <c r="M34" s="13">
        <v>0</v>
      </c>
      <c r="N34" s="13"/>
      <c r="O34" s="10">
        <v>0</v>
      </c>
      <c r="P34" s="10">
        <v>1.3</v>
      </c>
      <c r="Q34" s="14">
        <v>0</v>
      </c>
      <c r="R34" s="14">
        <v>0</v>
      </c>
      <c r="S34" s="10">
        <v>0</v>
      </c>
      <c r="T34" s="10">
        <v>1.3</v>
      </c>
      <c r="U34" s="14">
        <v>0</v>
      </c>
      <c r="V34" s="10">
        <v>0</v>
      </c>
      <c r="W34" s="11">
        <v>1</v>
      </c>
      <c r="X34" s="11">
        <v>1</v>
      </c>
      <c r="Y34" s="11">
        <v>0</v>
      </c>
      <c r="Z34" s="11">
        <v>0</v>
      </c>
      <c r="AA34" s="11">
        <f>MasterTable[[#This Row],[Landings
Night]]+MasterTable[[#This Row],[Landings
Day]]</f>
        <v>1</v>
      </c>
      <c r="AB34" s="10">
        <v>0</v>
      </c>
      <c r="AC34" s="10">
        <v>1.1000000000000001</v>
      </c>
      <c r="AD34" s="11">
        <v>1</v>
      </c>
      <c r="AE34" s="21">
        <f>SUM(MasterTable[[#This Row],[ILS]:[PAR]])</f>
        <v>2</v>
      </c>
      <c r="AF34" s="11">
        <v>2</v>
      </c>
      <c r="AL34" s="11"/>
      <c r="AR34" s="91" t="str">
        <f>_xlfn.XLOOKUP(MasterTable[[#This Row],[Aircraft ID]],Aircraft!A:A,Aircraft!H:H)</f>
        <v>Airplane Multi Engine Land</v>
      </c>
      <c r="AS34" s="8" t="b">
        <f>OR((SUM(MasterTable[[#This Row],[ILS]:[PAR]]) = MasterTable[[#This Row],[APPR]]))</f>
        <v>1</v>
      </c>
      <c r="AT34" s="8" t="b">
        <f>NOT(ISBLANK(MasterTable[[#This Row],[Total
Time]]))</f>
        <v>1</v>
      </c>
    </row>
    <row r="35" spans="4:46" ht="14.4" customHeight="1" x14ac:dyDescent="0.3">
      <c r="D35" s="22">
        <v>46233</v>
      </c>
      <c r="E35" s="8" t="s">
        <v>71</v>
      </c>
      <c r="F35" s="8" t="s">
        <v>44</v>
      </c>
      <c r="G35" s="8" t="s">
        <v>44</v>
      </c>
      <c r="I35" s="10">
        <v>0.9</v>
      </c>
      <c r="J35" s="10">
        <v>0</v>
      </c>
      <c r="K35" s="10">
        <f>MasterTable[[#This Row],[Total
Time]]</f>
        <v>0.9</v>
      </c>
      <c r="L35" s="10">
        <v>0</v>
      </c>
      <c r="M35" s="13">
        <v>0</v>
      </c>
      <c r="N35" s="13"/>
      <c r="O35" s="10">
        <v>0</v>
      </c>
      <c r="P35" s="10">
        <v>0.9</v>
      </c>
      <c r="Q35" s="14">
        <v>0</v>
      </c>
      <c r="R35" s="14">
        <v>0</v>
      </c>
      <c r="S35" s="10">
        <v>0</v>
      </c>
      <c r="T35" s="10">
        <v>0</v>
      </c>
      <c r="U35" s="14">
        <v>0</v>
      </c>
      <c r="V35" s="10">
        <v>0</v>
      </c>
      <c r="W35" s="11">
        <v>3</v>
      </c>
      <c r="X35" s="11">
        <v>3</v>
      </c>
      <c r="Y35" s="11">
        <v>0</v>
      </c>
      <c r="Z35" s="11">
        <v>0</v>
      </c>
      <c r="AA35" s="11">
        <f>MasterTable[[#This Row],[Landings
Night]]+MasterTable[[#This Row],[Landings
Day]]</f>
        <v>3</v>
      </c>
      <c r="AB35" s="10">
        <v>0</v>
      </c>
      <c r="AC35" s="10">
        <v>0</v>
      </c>
      <c r="AD35" s="11">
        <v>0</v>
      </c>
      <c r="AE35" s="21">
        <f>SUM(MasterTable[[#This Row],[ILS]:[PAR]])</f>
        <v>0</v>
      </c>
      <c r="AL35" s="11"/>
      <c r="AQ35" s="27" t="b">
        <v>1</v>
      </c>
      <c r="AR35" s="91" t="str">
        <f>_xlfn.XLOOKUP(MasterTable[[#This Row],[Aircraft ID]],Aircraft!A:A,Aircraft!H:H)</f>
        <v>Airplane Multi Engine Land</v>
      </c>
      <c r="AS35" s="8" t="b">
        <f>OR((SUM(MasterTable[[#This Row],[ILS]:[PAR]]) = MasterTable[[#This Row],[APPR]]))</f>
        <v>1</v>
      </c>
      <c r="AT35" s="8" t="b">
        <f>NOT(ISBLANK(MasterTable[[#This Row],[Total
Time]]))</f>
        <v>1</v>
      </c>
    </row>
    <row r="36" spans="4:46" ht="14.4" customHeight="1" x14ac:dyDescent="0.3">
      <c r="D36" s="22">
        <v>46232</v>
      </c>
      <c r="E36" s="8" t="s">
        <v>71</v>
      </c>
      <c r="F36" s="8" t="s">
        <v>44</v>
      </c>
      <c r="G36" s="8" t="s">
        <v>44</v>
      </c>
      <c r="I36" s="10">
        <v>1</v>
      </c>
      <c r="J36" s="10">
        <v>0</v>
      </c>
      <c r="K36" s="10">
        <f>MasterTable[[#This Row],[Total
Time]]</f>
        <v>1</v>
      </c>
      <c r="L36" s="10">
        <v>0</v>
      </c>
      <c r="M36" s="13">
        <v>0</v>
      </c>
      <c r="N36" s="13"/>
      <c r="O36" s="10">
        <v>0</v>
      </c>
      <c r="P36" s="10">
        <v>1</v>
      </c>
      <c r="Q36" s="14">
        <v>0</v>
      </c>
      <c r="R36" s="14">
        <v>0</v>
      </c>
      <c r="S36" s="10">
        <v>0</v>
      </c>
      <c r="T36" s="10">
        <v>0</v>
      </c>
      <c r="U36" s="14">
        <v>0</v>
      </c>
      <c r="V36" s="10">
        <v>0</v>
      </c>
      <c r="W36" s="11">
        <v>3</v>
      </c>
      <c r="X36" s="11">
        <v>3</v>
      </c>
      <c r="Y36" s="11">
        <v>0</v>
      </c>
      <c r="Z36" s="11">
        <v>0</v>
      </c>
      <c r="AA36" s="11">
        <f>MasterTable[[#This Row],[Landings
Night]]+MasterTable[[#This Row],[Landings
Day]]</f>
        <v>3</v>
      </c>
      <c r="AB36" s="10">
        <v>0</v>
      </c>
      <c r="AC36" s="10">
        <v>0</v>
      </c>
      <c r="AD36" s="11">
        <v>0</v>
      </c>
      <c r="AE36" s="21">
        <f>SUM(MasterTable[[#This Row],[ILS]:[PAR]])</f>
        <v>0</v>
      </c>
      <c r="AL36" s="11"/>
      <c r="AR36" s="91" t="str">
        <f>_xlfn.XLOOKUP(MasterTable[[#This Row],[Aircraft ID]],Aircraft!A:A,Aircraft!H:H)</f>
        <v>Airplane Multi Engine Land</v>
      </c>
      <c r="AS36" s="8" t="b">
        <f>OR((SUM(MasterTable[[#This Row],[ILS]:[PAR]]) = MasterTable[[#This Row],[APPR]]))</f>
        <v>1</v>
      </c>
      <c r="AT36" s="8" t="b">
        <f>NOT(ISBLANK(MasterTable[[#This Row],[Total
Time]]))</f>
        <v>1</v>
      </c>
    </row>
    <row r="37" spans="4:46" ht="14.4" customHeight="1" x14ac:dyDescent="0.3">
      <c r="D37" s="22">
        <v>46231</v>
      </c>
      <c r="E37" s="8" t="s">
        <v>71</v>
      </c>
      <c r="F37" s="8" t="s">
        <v>44</v>
      </c>
      <c r="G37" s="8" t="s">
        <v>44</v>
      </c>
      <c r="I37" s="10">
        <v>1</v>
      </c>
      <c r="J37" s="10">
        <v>0</v>
      </c>
      <c r="K37" s="10">
        <f>MasterTable[[#This Row],[Total
Time]]</f>
        <v>1</v>
      </c>
      <c r="L37" s="10">
        <v>0</v>
      </c>
      <c r="M37" s="13">
        <v>0</v>
      </c>
      <c r="N37" s="13"/>
      <c r="O37" s="10">
        <v>0</v>
      </c>
      <c r="P37" s="10">
        <v>1</v>
      </c>
      <c r="Q37" s="14">
        <v>0</v>
      </c>
      <c r="R37" s="14">
        <v>0</v>
      </c>
      <c r="S37" s="10">
        <v>0</v>
      </c>
      <c r="T37" s="10">
        <v>0</v>
      </c>
      <c r="U37" s="14">
        <v>0</v>
      </c>
      <c r="V37" s="10">
        <v>0</v>
      </c>
      <c r="W37" s="11">
        <v>3</v>
      </c>
      <c r="X37" s="11">
        <v>3</v>
      </c>
      <c r="Y37" s="11">
        <v>0</v>
      </c>
      <c r="Z37" s="11">
        <v>0</v>
      </c>
      <c r="AA37" s="11">
        <f>MasterTable[[#This Row],[Landings
Night]]+MasterTable[[#This Row],[Landings
Day]]</f>
        <v>3</v>
      </c>
      <c r="AB37" s="10">
        <v>0</v>
      </c>
      <c r="AC37" s="10">
        <v>0</v>
      </c>
      <c r="AD37" s="11">
        <v>0</v>
      </c>
      <c r="AE37" s="21">
        <f>SUM(MasterTable[[#This Row],[ILS]:[PAR]])</f>
        <v>0</v>
      </c>
      <c r="AL37" s="11"/>
      <c r="AR37" s="91" t="str">
        <f>_xlfn.XLOOKUP(MasterTable[[#This Row],[Aircraft ID]],Aircraft!A:A,Aircraft!H:H)</f>
        <v>Airplane Multi Engine Land</v>
      </c>
      <c r="AS37" s="8" t="b">
        <f>OR((SUM(MasterTable[[#This Row],[ILS]:[PAR]]) = MasterTable[[#This Row],[APPR]]))</f>
        <v>1</v>
      </c>
      <c r="AT37" s="8" t="b">
        <f>NOT(ISBLANK(MasterTable[[#This Row],[Total
Time]]))</f>
        <v>1</v>
      </c>
    </row>
    <row r="38" spans="4:46" ht="14.4" customHeight="1" x14ac:dyDescent="0.3">
      <c r="D38" s="22">
        <v>46231</v>
      </c>
      <c r="E38" s="8" t="s">
        <v>71</v>
      </c>
      <c r="F38" s="8" t="s">
        <v>44</v>
      </c>
      <c r="G38" s="8" t="s">
        <v>44</v>
      </c>
      <c r="I38" s="10">
        <v>1</v>
      </c>
      <c r="J38" s="10">
        <v>0</v>
      </c>
      <c r="K38" s="10">
        <f>MasterTable[[#This Row],[Total
Time]]</f>
        <v>1</v>
      </c>
      <c r="L38" s="10">
        <v>0</v>
      </c>
      <c r="M38" s="13">
        <v>0</v>
      </c>
      <c r="N38" s="13"/>
      <c r="O38" s="10">
        <v>0</v>
      </c>
      <c r="P38" s="10">
        <v>1</v>
      </c>
      <c r="Q38" s="14">
        <v>0</v>
      </c>
      <c r="R38" s="14">
        <v>0</v>
      </c>
      <c r="S38" s="10">
        <v>0</v>
      </c>
      <c r="T38" s="10">
        <v>0</v>
      </c>
      <c r="U38" s="14">
        <v>0</v>
      </c>
      <c r="V38" s="10">
        <v>0</v>
      </c>
      <c r="W38" s="11">
        <v>3</v>
      </c>
      <c r="X38" s="11">
        <v>3</v>
      </c>
      <c r="Y38" s="11">
        <v>0</v>
      </c>
      <c r="Z38" s="11">
        <v>0</v>
      </c>
      <c r="AA38" s="11">
        <f>MasterTable[[#This Row],[Landings
Night]]+MasterTable[[#This Row],[Landings
Day]]</f>
        <v>3</v>
      </c>
      <c r="AB38" s="10">
        <v>0</v>
      </c>
      <c r="AC38" s="10">
        <v>0</v>
      </c>
      <c r="AD38" s="11">
        <v>0</v>
      </c>
      <c r="AE38" s="21">
        <f>SUM(MasterTable[[#This Row],[ILS]:[PAR]])</f>
        <v>0</v>
      </c>
      <c r="AL38" s="11"/>
      <c r="AR38" s="91" t="str">
        <f>_xlfn.XLOOKUP(MasterTable[[#This Row],[Aircraft ID]],Aircraft!A:A,Aircraft!H:H)</f>
        <v>Airplane Multi Engine Land</v>
      </c>
      <c r="AS38" s="8" t="b">
        <f>OR((SUM(MasterTable[[#This Row],[ILS]:[PAR]]) = MasterTable[[#This Row],[APPR]]))</f>
        <v>1</v>
      </c>
      <c r="AT38" s="8" t="b">
        <f>NOT(ISBLANK(MasterTable[[#This Row],[Total
Time]]))</f>
        <v>1</v>
      </c>
    </row>
    <row r="39" spans="4:46" ht="14.4" customHeight="1" x14ac:dyDescent="0.3">
      <c r="D39" s="22">
        <v>46230</v>
      </c>
      <c r="E39" s="8" t="s">
        <v>71</v>
      </c>
      <c r="F39" s="8" t="s">
        <v>44</v>
      </c>
      <c r="G39" s="8" t="s">
        <v>44</v>
      </c>
      <c r="I39" s="10">
        <v>0.9</v>
      </c>
      <c r="J39" s="10">
        <v>0.9</v>
      </c>
      <c r="K39" s="10">
        <f>MasterTable[[#This Row],[Total
Time]]</f>
        <v>0.9</v>
      </c>
      <c r="L39" s="10">
        <v>0</v>
      </c>
      <c r="M39" s="13">
        <v>0</v>
      </c>
      <c r="N39" s="13"/>
      <c r="O39" s="10">
        <v>0</v>
      </c>
      <c r="P39" s="10">
        <v>0</v>
      </c>
      <c r="Q39" s="14">
        <v>0</v>
      </c>
      <c r="R39" s="14">
        <v>0</v>
      </c>
      <c r="S39" s="10">
        <v>0</v>
      </c>
      <c r="T39" s="10">
        <v>0</v>
      </c>
      <c r="U39" s="14">
        <v>0</v>
      </c>
      <c r="V39" s="10">
        <v>0</v>
      </c>
      <c r="W39" s="11">
        <v>2</v>
      </c>
      <c r="X39" s="11">
        <v>2</v>
      </c>
      <c r="Y39" s="11">
        <v>0</v>
      </c>
      <c r="Z39" s="11">
        <v>0</v>
      </c>
      <c r="AA39" s="11">
        <f>MasterTable[[#This Row],[Landings
Night]]+MasterTable[[#This Row],[Landings
Day]]</f>
        <v>2</v>
      </c>
      <c r="AB39" s="10">
        <v>0</v>
      </c>
      <c r="AC39" s="10">
        <v>0</v>
      </c>
      <c r="AD39" s="11">
        <v>0</v>
      </c>
      <c r="AE39" s="21">
        <f>SUM(MasterTable[[#This Row],[ILS]:[PAR]])</f>
        <v>0</v>
      </c>
      <c r="AL39" s="11"/>
      <c r="AR39" s="91" t="str">
        <f>_xlfn.XLOOKUP(MasterTable[[#This Row],[Aircraft ID]],Aircraft!A:A,Aircraft!H:H)</f>
        <v>Airplane Multi Engine Land</v>
      </c>
      <c r="AS39" s="8" t="b">
        <f>OR((SUM(MasterTable[[#This Row],[ILS]:[PAR]]) = MasterTable[[#This Row],[APPR]]))</f>
        <v>1</v>
      </c>
      <c r="AT39" s="8" t="b">
        <f>NOT(ISBLANK(MasterTable[[#This Row],[Total
Time]]))</f>
        <v>1</v>
      </c>
    </row>
    <row r="40" spans="4:46" ht="14.4" customHeight="1" x14ac:dyDescent="0.3">
      <c r="D40" s="22">
        <v>46230</v>
      </c>
      <c r="E40" s="8" t="s">
        <v>71</v>
      </c>
      <c r="F40" s="8" t="s">
        <v>44</v>
      </c>
      <c r="G40" s="8" t="s">
        <v>44</v>
      </c>
      <c r="I40" s="10">
        <v>1.2</v>
      </c>
      <c r="J40" s="10">
        <v>0</v>
      </c>
      <c r="K40" s="10">
        <f>MasterTable[[#This Row],[Total
Time]]</f>
        <v>1.2</v>
      </c>
      <c r="L40" s="10">
        <v>0</v>
      </c>
      <c r="M40" s="13">
        <v>0</v>
      </c>
      <c r="N40" s="13"/>
      <c r="O40" s="10">
        <v>0</v>
      </c>
      <c r="P40" s="10">
        <v>1.2</v>
      </c>
      <c r="Q40" s="14">
        <v>0</v>
      </c>
      <c r="R40" s="14">
        <v>0</v>
      </c>
      <c r="S40" s="10">
        <v>0</v>
      </c>
      <c r="T40" s="10">
        <v>0</v>
      </c>
      <c r="U40" s="14">
        <v>0</v>
      </c>
      <c r="V40" s="10">
        <v>0</v>
      </c>
      <c r="W40" s="11">
        <v>5</v>
      </c>
      <c r="X40" s="11">
        <v>5</v>
      </c>
      <c r="Y40" s="11">
        <v>0</v>
      </c>
      <c r="Z40" s="11">
        <v>0</v>
      </c>
      <c r="AA40" s="11">
        <f>MasterTable[[#This Row],[Landings
Night]]+MasterTable[[#This Row],[Landings
Day]]</f>
        <v>5</v>
      </c>
      <c r="AB40" s="10">
        <v>0</v>
      </c>
      <c r="AC40" s="10">
        <v>0</v>
      </c>
      <c r="AD40" s="11">
        <v>0</v>
      </c>
      <c r="AE40" s="21">
        <f>SUM(MasterTable[[#This Row],[ILS]:[PAR]])</f>
        <v>0</v>
      </c>
      <c r="AL40" s="11"/>
      <c r="AR40" s="91" t="str">
        <f>_xlfn.XLOOKUP(MasterTable[[#This Row],[Aircraft ID]],Aircraft!A:A,Aircraft!H:H)</f>
        <v>Airplane Multi Engine Land</v>
      </c>
      <c r="AS40" s="8" t="b">
        <f>OR((SUM(MasterTable[[#This Row],[ILS]:[PAR]]) = MasterTable[[#This Row],[APPR]]))</f>
        <v>1</v>
      </c>
      <c r="AT40" s="8" t="b">
        <f>NOT(ISBLANK(MasterTable[[#This Row],[Total
Time]]))</f>
        <v>1</v>
      </c>
    </row>
    <row r="41" spans="4:46" ht="14.4" customHeight="1" x14ac:dyDescent="0.3">
      <c r="D41" s="22">
        <v>46227</v>
      </c>
      <c r="E41" s="8" t="s">
        <v>71</v>
      </c>
      <c r="F41" s="8" t="s">
        <v>44</v>
      </c>
      <c r="G41" s="8" t="s">
        <v>44</v>
      </c>
      <c r="I41" s="10">
        <v>0.9</v>
      </c>
      <c r="J41" s="10">
        <v>0.9</v>
      </c>
      <c r="K41" s="10">
        <f>MasterTable[[#This Row],[Total
Time]]</f>
        <v>0.9</v>
      </c>
      <c r="L41" s="10">
        <v>0</v>
      </c>
      <c r="M41" s="13">
        <v>0</v>
      </c>
      <c r="N41" s="13"/>
      <c r="O41" s="10">
        <v>0</v>
      </c>
      <c r="P41" s="10">
        <v>0</v>
      </c>
      <c r="Q41" s="14">
        <v>0</v>
      </c>
      <c r="R41" s="14">
        <v>0</v>
      </c>
      <c r="S41" s="10">
        <v>0</v>
      </c>
      <c r="T41" s="10">
        <v>0</v>
      </c>
      <c r="U41" s="14">
        <v>0</v>
      </c>
      <c r="V41" s="10">
        <v>0</v>
      </c>
      <c r="W41" s="11">
        <v>4</v>
      </c>
      <c r="X41" s="11">
        <v>4</v>
      </c>
      <c r="Y41" s="11">
        <v>0</v>
      </c>
      <c r="Z41" s="11">
        <v>0</v>
      </c>
      <c r="AA41" s="11">
        <f>MasterTable[[#This Row],[Landings
Night]]+MasterTable[[#This Row],[Landings
Day]]</f>
        <v>4</v>
      </c>
      <c r="AB41" s="10">
        <v>0</v>
      </c>
      <c r="AC41" s="10">
        <v>0</v>
      </c>
      <c r="AD41" s="11">
        <v>0</v>
      </c>
      <c r="AE41" s="21">
        <f>SUM(MasterTable[[#This Row],[ILS]:[PAR]])</f>
        <v>0</v>
      </c>
      <c r="AL41" s="11"/>
      <c r="AR41" s="91" t="str">
        <f>_xlfn.XLOOKUP(MasterTable[[#This Row],[Aircraft ID]],Aircraft!A:A,Aircraft!H:H)</f>
        <v>Airplane Multi Engine Land</v>
      </c>
      <c r="AS41" s="8" t="b">
        <f>OR((SUM(MasterTable[[#This Row],[ILS]:[PAR]]) = MasterTable[[#This Row],[APPR]]))</f>
        <v>1</v>
      </c>
      <c r="AT41" s="8" t="b">
        <f>NOT(ISBLANK(MasterTable[[#This Row],[Total
Time]]))</f>
        <v>1</v>
      </c>
    </row>
    <row r="42" spans="4:46" ht="14.4" customHeight="1" x14ac:dyDescent="0.3">
      <c r="D42" s="22">
        <v>46227</v>
      </c>
      <c r="E42" s="8" t="s">
        <v>71</v>
      </c>
      <c r="F42" s="8" t="s">
        <v>44</v>
      </c>
      <c r="G42" s="8" t="s">
        <v>44</v>
      </c>
      <c r="I42" s="10">
        <v>1.1000000000000001</v>
      </c>
      <c r="J42" s="10">
        <v>0</v>
      </c>
      <c r="K42" s="10">
        <f>MasterTable[[#This Row],[Total
Time]]</f>
        <v>1.1000000000000001</v>
      </c>
      <c r="L42" s="10">
        <v>0</v>
      </c>
      <c r="M42" s="13">
        <v>0</v>
      </c>
      <c r="N42" s="13"/>
      <c r="O42" s="10">
        <v>0</v>
      </c>
      <c r="P42" s="10">
        <v>1.1000000000000001</v>
      </c>
      <c r="Q42" s="14">
        <v>0</v>
      </c>
      <c r="R42" s="14">
        <v>0</v>
      </c>
      <c r="S42" s="10">
        <v>0</v>
      </c>
      <c r="T42" s="10">
        <v>0</v>
      </c>
      <c r="U42" s="14">
        <v>0</v>
      </c>
      <c r="V42" s="10">
        <v>0</v>
      </c>
      <c r="W42" s="11">
        <v>5</v>
      </c>
      <c r="X42" s="11">
        <v>5</v>
      </c>
      <c r="Y42" s="11">
        <v>0</v>
      </c>
      <c r="Z42" s="11">
        <v>0</v>
      </c>
      <c r="AA42" s="11">
        <f>MasterTable[[#This Row],[Landings
Night]]+MasterTable[[#This Row],[Landings
Day]]</f>
        <v>5</v>
      </c>
      <c r="AB42" s="10">
        <v>0</v>
      </c>
      <c r="AC42" s="10">
        <v>0</v>
      </c>
      <c r="AD42" s="11">
        <v>0</v>
      </c>
      <c r="AE42" s="21">
        <f>SUM(MasterTable[[#This Row],[ILS]:[PAR]])</f>
        <v>0</v>
      </c>
      <c r="AL42" s="11"/>
      <c r="AR42" s="91" t="str">
        <f>_xlfn.XLOOKUP(MasterTable[[#This Row],[Aircraft ID]],Aircraft!A:A,Aircraft!H:H)</f>
        <v>Airplane Multi Engine Land</v>
      </c>
      <c r="AS42" s="8" t="b">
        <f>OR((SUM(MasterTable[[#This Row],[ILS]:[PAR]]) = MasterTable[[#This Row],[APPR]]))</f>
        <v>1</v>
      </c>
      <c r="AT42" s="8" t="b">
        <f>NOT(ISBLANK(MasterTable[[#This Row],[Total
Time]]))</f>
        <v>1</v>
      </c>
    </row>
    <row r="43" spans="4:46" ht="14.4" customHeight="1" x14ac:dyDescent="0.3">
      <c r="D43" s="22">
        <v>46224</v>
      </c>
      <c r="E43" s="8" t="s">
        <v>71</v>
      </c>
      <c r="F43" s="8" t="s">
        <v>44</v>
      </c>
      <c r="G43" s="8" t="s">
        <v>44</v>
      </c>
      <c r="I43" s="10">
        <v>0.9</v>
      </c>
      <c r="J43" s="10">
        <v>0.9</v>
      </c>
      <c r="K43" s="10">
        <f>MasterTable[[#This Row],[Total
Time]]</f>
        <v>0.9</v>
      </c>
      <c r="L43" s="10">
        <v>0</v>
      </c>
      <c r="M43" s="13">
        <v>0</v>
      </c>
      <c r="N43" s="13"/>
      <c r="O43" s="10">
        <v>0</v>
      </c>
      <c r="P43" s="10">
        <v>0</v>
      </c>
      <c r="Q43" s="14">
        <v>0</v>
      </c>
      <c r="R43" s="14">
        <v>0</v>
      </c>
      <c r="S43" s="10">
        <v>0</v>
      </c>
      <c r="T43" s="10">
        <v>0</v>
      </c>
      <c r="U43" s="14">
        <v>0</v>
      </c>
      <c r="V43" s="10">
        <v>0</v>
      </c>
      <c r="W43" s="11">
        <v>2</v>
      </c>
      <c r="X43" s="11">
        <v>2</v>
      </c>
      <c r="Y43" s="11">
        <v>0</v>
      </c>
      <c r="Z43" s="11">
        <v>0</v>
      </c>
      <c r="AA43" s="11">
        <f>MasterTable[[#This Row],[Landings
Night]]+MasterTable[[#This Row],[Landings
Day]]</f>
        <v>2</v>
      </c>
      <c r="AB43" s="10">
        <v>0</v>
      </c>
      <c r="AC43" s="10">
        <v>0</v>
      </c>
      <c r="AD43" s="11">
        <v>0</v>
      </c>
      <c r="AE43" s="21">
        <f>SUM(MasterTable[[#This Row],[ILS]:[PAR]])</f>
        <v>0</v>
      </c>
      <c r="AL43" s="11"/>
      <c r="AR43" s="91" t="str">
        <f>_xlfn.XLOOKUP(MasterTable[[#This Row],[Aircraft ID]],Aircraft!A:A,Aircraft!H:H)</f>
        <v>Airplane Multi Engine Land</v>
      </c>
      <c r="AS43" s="8" t="b">
        <f>OR((SUM(MasterTable[[#This Row],[ILS]:[PAR]]) = MasterTable[[#This Row],[APPR]]))</f>
        <v>1</v>
      </c>
      <c r="AT43" s="8" t="b">
        <f>NOT(ISBLANK(MasterTable[[#This Row],[Total
Time]]))</f>
        <v>1</v>
      </c>
    </row>
    <row r="44" spans="4:46" ht="14.4" customHeight="1" x14ac:dyDescent="0.3">
      <c r="D44" s="22">
        <v>46223</v>
      </c>
      <c r="E44" s="8" t="s">
        <v>71</v>
      </c>
      <c r="F44" s="8" t="s">
        <v>44</v>
      </c>
      <c r="G44" s="8" t="s">
        <v>44</v>
      </c>
      <c r="I44" s="10">
        <v>1</v>
      </c>
      <c r="J44" s="10">
        <v>0</v>
      </c>
      <c r="K44" s="10">
        <f>MasterTable[[#This Row],[Total
Time]]</f>
        <v>1</v>
      </c>
      <c r="L44" s="10">
        <v>0</v>
      </c>
      <c r="M44" s="13">
        <v>0</v>
      </c>
      <c r="N44" s="13"/>
      <c r="O44" s="10">
        <v>0</v>
      </c>
      <c r="P44" s="10">
        <v>1</v>
      </c>
      <c r="Q44" s="14">
        <v>0</v>
      </c>
      <c r="R44" s="14">
        <v>0</v>
      </c>
      <c r="S44" s="10">
        <v>0</v>
      </c>
      <c r="T44" s="10">
        <v>0</v>
      </c>
      <c r="U44" s="14">
        <v>0</v>
      </c>
      <c r="V44" s="10">
        <v>0</v>
      </c>
      <c r="W44" s="11">
        <v>3</v>
      </c>
      <c r="X44" s="11">
        <v>3</v>
      </c>
      <c r="Y44" s="11">
        <v>0</v>
      </c>
      <c r="Z44" s="11">
        <v>0</v>
      </c>
      <c r="AA44" s="11">
        <f>MasterTable[[#This Row],[Landings
Night]]+MasterTable[[#This Row],[Landings
Day]]</f>
        <v>3</v>
      </c>
      <c r="AB44" s="10">
        <v>0</v>
      </c>
      <c r="AC44" s="10">
        <v>0</v>
      </c>
      <c r="AD44" s="11">
        <v>0</v>
      </c>
      <c r="AE44" s="21">
        <f>SUM(MasterTable[[#This Row],[ILS]:[PAR]])</f>
        <v>0</v>
      </c>
      <c r="AL44" s="11"/>
      <c r="AR44" s="91" t="str">
        <f>_xlfn.XLOOKUP(MasterTable[[#This Row],[Aircraft ID]],Aircraft!A:A,Aircraft!H:H)</f>
        <v>Airplane Multi Engine Land</v>
      </c>
      <c r="AS44" s="8" t="b">
        <f>OR((SUM(MasterTable[[#This Row],[ILS]:[PAR]]) = MasterTable[[#This Row],[APPR]]))</f>
        <v>1</v>
      </c>
      <c r="AT44" s="8" t="b">
        <f>NOT(ISBLANK(MasterTable[[#This Row],[Total
Time]]))</f>
        <v>1</v>
      </c>
    </row>
    <row r="45" spans="4:46" ht="14.4" customHeight="1" x14ac:dyDescent="0.3">
      <c r="D45" s="22">
        <v>46220</v>
      </c>
      <c r="E45" s="8" t="s">
        <v>71</v>
      </c>
      <c r="F45" s="8" t="s">
        <v>44</v>
      </c>
      <c r="G45" s="8" t="s">
        <v>52</v>
      </c>
      <c r="I45" s="10">
        <v>1</v>
      </c>
      <c r="J45" s="10">
        <v>0</v>
      </c>
      <c r="K45" s="10">
        <f>MasterTable[[#This Row],[Total
Time]]</f>
        <v>1</v>
      </c>
      <c r="L45" s="10">
        <v>0</v>
      </c>
      <c r="M45" s="13">
        <v>0</v>
      </c>
      <c r="N45" s="13"/>
      <c r="O45" s="10">
        <v>0</v>
      </c>
      <c r="P45" s="10">
        <v>1</v>
      </c>
      <c r="Q45" s="14">
        <v>0</v>
      </c>
      <c r="R45" s="14">
        <v>0</v>
      </c>
      <c r="S45" s="10">
        <v>0</v>
      </c>
      <c r="T45" s="10">
        <v>1</v>
      </c>
      <c r="U45" s="14">
        <v>0</v>
      </c>
      <c r="V45" s="10">
        <v>0</v>
      </c>
      <c r="W45" s="11">
        <v>1</v>
      </c>
      <c r="X45" s="11">
        <v>1</v>
      </c>
      <c r="Y45" s="11">
        <v>0</v>
      </c>
      <c r="Z45" s="11">
        <v>0</v>
      </c>
      <c r="AA45" s="11">
        <f>MasterTable[[#This Row],[Landings
Night]]+MasterTable[[#This Row],[Landings
Day]]</f>
        <v>1</v>
      </c>
      <c r="AB45" s="10">
        <v>0.5</v>
      </c>
      <c r="AC45" s="10">
        <v>0</v>
      </c>
      <c r="AD45" s="11">
        <v>1</v>
      </c>
      <c r="AE45" s="21">
        <f>SUM(MasterTable[[#This Row],[ILS]:[PAR]])</f>
        <v>2</v>
      </c>
      <c r="AF45" s="11">
        <v>2</v>
      </c>
      <c r="AL45" s="11"/>
      <c r="AR45" s="91" t="str">
        <f>_xlfn.XLOOKUP(MasterTable[[#This Row],[Aircraft ID]],Aircraft!A:A,Aircraft!H:H)</f>
        <v>Airplane Multi Engine Land</v>
      </c>
      <c r="AS45" s="8" t="b">
        <f>OR((SUM(MasterTable[[#This Row],[ILS]:[PAR]]) = MasterTable[[#This Row],[APPR]]))</f>
        <v>1</v>
      </c>
      <c r="AT45" s="8" t="b">
        <f>NOT(ISBLANK(MasterTable[[#This Row],[Total
Time]]))</f>
        <v>1</v>
      </c>
    </row>
    <row r="46" spans="4:46" ht="14.4" customHeight="1" x14ac:dyDescent="0.3">
      <c r="D46" s="22">
        <v>46217</v>
      </c>
      <c r="E46" s="8" t="s">
        <v>71</v>
      </c>
      <c r="F46" s="8" t="s">
        <v>44</v>
      </c>
      <c r="G46" s="8" t="s">
        <v>44</v>
      </c>
      <c r="I46" s="10">
        <v>1.3</v>
      </c>
      <c r="J46" s="10">
        <v>0</v>
      </c>
      <c r="K46" s="10">
        <f>MasterTable[[#This Row],[Total
Time]]</f>
        <v>1.3</v>
      </c>
      <c r="L46" s="10">
        <v>0</v>
      </c>
      <c r="M46" s="13">
        <v>0</v>
      </c>
      <c r="N46" s="13"/>
      <c r="O46" s="10">
        <v>0</v>
      </c>
      <c r="P46" s="10">
        <v>1.3</v>
      </c>
      <c r="Q46" s="14">
        <v>0</v>
      </c>
      <c r="R46" s="14">
        <v>0</v>
      </c>
      <c r="S46" s="10">
        <v>0</v>
      </c>
      <c r="T46" s="10">
        <v>0</v>
      </c>
      <c r="U46" s="14">
        <v>0</v>
      </c>
      <c r="V46" s="10">
        <v>0</v>
      </c>
      <c r="W46" s="11">
        <v>1</v>
      </c>
      <c r="X46" s="11">
        <v>1</v>
      </c>
      <c r="Y46" s="11">
        <v>0</v>
      </c>
      <c r="Z46" s="11">
        <v>0</v>
      </c>
      <c r="AA46" s="11">
        <f>MasterTable[[#This Row],[Landings
Night]]+MasterTable[[#This Row],[Landings
Day]]</f>
        <v>1</v>
      </c>
      <c r="AB46" s="10">
        <v>0</v>
      </c>
      <c r="AC46" s="10">
        <v>1.1000000000000001</v>
      </c>
      <c r="AD46" s="11">
        <v>1</v>
      </c>
      <c r="AE46" s="21">
        <f>SUM(MasterTable[[#This Row],[ILS]:[PAR]])</f>
        <v>3</v>
      </c>
      <c r="AH46" s="11">
        <v>1</v>
      </c>
      <c r="AI46" s="11">
        <v>1</v>
      </c>
      <c r="AJ46" s="11">
        <v>1</v>
      </c>
      <c r="AL46" s="11"/>
      <c r="AR46" s="91" t="str">
        <f>_xlfn.XLOOKUP(MasterTable[[#This Row],[Aircraft ID]],Aircraft!A:A,Aircraft!H:H)</f>
        <v>Airplane Multi Engine Land</v>
      </c>
      <c r="AS46" s="8" t="b">
        <f>OR((SUM(MasterTable[[#This Row],[ILS]:[PAR]]) = MasterTable[[#This Row],[APPR]]))</f>
        <v>1</v>
      </c>
      <c r="AT46" s="8" t="b">
        <f>NOT(ISBLANK(MasterTable[[#This Row],[Total
Time]]))</f>
        <v>1</v>
      </c>
    </row>
    <row r="47" spans="4:46" ht="14.4" customHeight="1" x14ac:dyDescent="0.3">
      <c r="D47" s="22">
        <v>46212</v>
      </c>
      <c r="E47" s="8" t="s">
        <v>71</v>
      </c>
      <c r="F47" s="8" t="s">
        <v>44</v>
      </c>
      <c r="G47" s="8" t="s">
        <v>44</v>
      </c>
      <c r="I47" s="10">
        <v>1.1000000000000001</v>
      </c>
      <c r="J47" s="10">
        <v>0</v>
      </c>
      <c r="K47" s="10">
        <f>MasterTable[[#This Row],[Total
Time]]</f>
        <v>1.1000000000000001</v>
      </c>
      <c r="L47" s="10">
        <v>0</v>
      </c>
      <c r="M47" s="13">
        <v>0</v>
      </c>
      <c r="N47" s="13"/>
      <c r="O47" s="10">
        <v>0</v>
      </c>
      <c r="P47" s="10">
        <v>1.1000000000000001</v>
      </c>
      <c r="Q47" s="14">
        <v>0</v>
      </c>
      <c r="R47" s="14">
        <v>0</v>
      </c>
      <c r="S47" s="10">
        <v>0</v>
      </c>
      <c r="T47" s="10">
        <v>0</v>
      </c>
      <c r="U47" s="14">
        <v>0</v>
      </c>
      <c r="V47" s="10">
        <v>0</v>
      </c>
      <c r="W47" s="11">
        <v>5</v>
      </c>
      <c r="X47" s="11">
        <v>5</v>
      </c>
      <c r="Y47" s="11">
        <v>0</v>
      </c>
      <c r="Z47" s="11">
        <v>0</v>
      </c>
      <c r="AA47" s="11">
        <f>MasterTable[[#This Row],[Landings
Night]]+MasterTable[[#This Row],[Landings
Day]]</f>
        <v>5</v>
      </c>
      <c r="AB47" s="10">
        <v>0</v>
      </c>
      <c r="AC47" s="10">
        <v>0</v>
      </c>
      <c r="AD47" s="11">
        <v>0</v>
      </c>
      <c r="AE47" s="21">
        <f>SUM(MasterTable[[#This Row],[ILS]:[PAR]])</f>
        <v>0</v>
      </c>
      <c r="AL47" s="11"/>
      <c r="AR47" s="91" t="str">
        <f>_xlfn.XLOOKUP(MasterTable[[#This Row],[Aircraft ID]],Aircraft!A:A,Aircraft!H:H)</f>
        <v>Airplane Multi Engine Land</v>
      </c>
      <c r="AS47" s="8" t="b">
        <f>OR((SUM(MasterTable[[#This Row],[ILS]:[PAR]]) = MasterTable[[#This Row],[APPR]]))</f>
        <v>1</v>
      </c>
      <c r="AT47" s="8" t="b">
        <f>NOT(ISBLANK(MasterTable[[#This Row],[Total
Time]]))</f>
        <v>1</v>
      </c>
    </row>
    <row r="48" spans="4:46" ht="14.4" customHeight="1" x14ac:dyDescent="0.3">
      <c r="D48" s="22">
        <v>46212</v>
      </c>
      <c r="E48" s="8" t="s">
        <v>71</v>
      </c>
      <c r="F48" s="8" t="s">
        <v>44</v>
      </c>
      <c r="G48" s="8" t="s">
        <v>44</v>
      </c>
      <c r="I48" s="10">
        <v>0.4</v>
      </c>
      <c r="J48" s="10">
        <v>0</v>
      </c>
      <c r="K48" s="10">
        <f>MasterTable[[#This Row],[Total
Time]]</f>
        <v>0.4</v>
      </c>
      <c r="L48" s="10">
        <v>0</v>
      </c>
      <c r="M48" s="13">
        <v>0</v>
      </c>
      <c r="N48" s="13"/>
      <c r="O48" s="10">
        <v>0</v>
      </c>
      <c r="P48" s="10">
        <v>0.4</v>
      </c>
      <c r="Q48" s="14">
        <v>0</v>
      </c>
      <c r="R48" s="14">
        <v>0</v>
      </c>
      <c r="S48" s="10">
        <v>0</v>
      </c>
      <c r="T48" s="10">
        <v>0</v>
      </c>
      <c r="U48" s="14">
        <v>0</v>
      </c>
      <c r="V48" s="10">
        <v>0</v>
      </c>
      <c r="W48" s="11">
        <v>1</v>
      </c>
      <c r="X48" s="11">
        <v>1</v>
      </c>
      <c r="Y48" s="11">
        <v>0</v>
      </c>
      <c r="Z48" s="11">
        <v>0</v>
      </c>
      <c r="AA48" s="11">
        <f>MasterTable[[#This Row],[Landings
Night]]+MasterTable[[#This Row],[Landings
Day]]</f>
        <v>1</v>
      </c>
      <c r="AB48" s="10">
        <v>0</v>
      </c>
      <c r="AC48" s="10">
        <v>0</v>
      </c>
      <c r="AD48" s="11">
        <v>0</v>
      </c>
      <c r="AE48" s="21">
        <f>SUM(MasterTable[[#This Row],[ILS]:[PAR]])</f>
        <v>0</v>
      </c>
      <c r="AL48" s="11"/>
      <c r="AM48" s="8" t="s">
        <v>129</v>
      </c>
      <c r="AR48" s="91" t="str">
        <f>_xlfn.XLOOKUP(MasterTable[[#This Row],[Aircraft ID]],Aircraft!A:A,Aircraft!H:H)</f>
        <v>Airplane Multi Engine Land</v>
      </c>
      <c r="AS48" s="8" t="b">
        <f>OR((SUM(MasterTable[[#This Row],[ILS]:[PAR]]) = MasterTable[[#This Row],[APPR]]))</f>
        <v>1</v>
      </c>
      <c r="AT48" s="8" t="b">
        <f>NOT(ISBLANK(MasterTable[[#This Row],[Total
Time]]))</f>
        <v>1</v>
      </c>
    </row>
    <row r="49" spans="4:46" ht="14.4" customHeight="1" x14ac:dyDescent="0.3">
      <c r="D49" s="22">
        <v>46209</v>
      </c>
      <c r="E49" s="8" t="s">
        <v>71</v>
      </c>
      <c r="F49" s="8" t="s">
        <v>44</v>
      </c>
      <c r="G49" s="8" t="s">
        <v>44</v>
      </c>
      <c r="I49" s="10">
        <v>1</v>
      </c>
      <c r="J49" s="10">
        <v>0</v>
      </c>
      <c r="K49" s="10">
        <f>MasterTable[[#This Row],[Total
Time]]</f>
        <v>1</v>
      </c>
      <c r="L49" s="10">
        <v>0</v>
      </c>
      <c r="M49" s="13">
        <v>0</v>
      </c>
      <c r="N49" s="13"/>
      <c r="O49" s="10">
        <v>0</v>
      </c>
      <c r="P49" s="10">
        <v>1</v>
      </c>
      <c r="Q49" s="14">
        <v>0</v>
      </c>
      <c r="R49" s="14">
        <v>0</v>
      </c>
      <c r="S49" s="10">
        <v>0</v>
      </c>
      <c r="T49" s="10">
        <v>0</v>
      </c>
      <c r="U49" s="14">
        <v>0</v>
      </c>
      <c r="V49" s="10">
        <v>0</v>
      </c>
      <c r="W49" s="11">
        <v>4</v>
      </c>
      <c r="X49" s="11">
        <v>4</v>
      </c>
      <c r="Y49" s="11">
        <v>0</v>
      </c>
      <c r="Z49" s="11">
        <v>0</v>
      </c>
      <c r="AA49" s="11">
        <f>MasterTable[[#This Row],[Landings
Night]]+MasterTable[[#This Row],[Landings
Day]]</f>
        <v>4</v>
      </c>
      <c r="AB49" s="10">
        <v>0</v>
      </c>
      <c r="AC49" s="10">
        <v>0</v>
      </c>
      <c r="AD49" s="11">
        <v>0</v>
      </c>
      <c r="AE49" s="21">
        <f>SUM(MasterTable[[#This Row],[ILS]:[PAR]])</f>
        <v>0</v>
      </c>
      <c r="AL49" s="11"/>
      <c r="AR49" s="91" t="str">
        <f>_xlfn.XLOOKUP(MasterTable[[#This Row],[Aircraft ID]],Aircraft!A:A,Aircraft!H:H)</f>
        <v>Airplane Multi Engine Land</v>
      </c>
      <c r="AS49" s="8" t="b">
        <f>OR((SUM(MasterTable[[#This Row],[ILS]:[PAR]]) = MasterTable[[#This Row],[APPR]]))</f>
        <v>1</v>
      </c>
      <c r="AT49" s="8" t="b">
        <f>NOT(ISBLANK(MasterTable[[#This Row],[Total
Time]]))</f>
        <v>1</v>
      </c>
    </row>
    <row r="50" spans="4:46" ht="14.4" customHeight="1" x14ac:dyDescent="0.3">
      <c r="D50" s="22">
        <v>46204</v>
      </c>
      <c r="E50" s="8" t="s">
        <v>71</v>
      </c>
      <c r="F50" s="8" t="s">
        <v>44</v>
      </c>
      <c r="G50" s="8" t="s">
        <v>44</v>
      </c>
      <c r="I50" s="10">
        <v>1</v>
      </c>
      <c r="J50" s="10">
        <v>0</v>
      </c>
      <c r="K50" s="10">
        <f>MasterTable[[#This Row],[Total
Time]]</f>
        <v>1</v>
      </c>
      <c r="L50" s="10">
        <v>0</v>
      </c>
      <c r="M50" s="13">
        <v>0</v>
      </c>
      <c r="N50" s="13"/>
      <c r="O50" s="10">
        <v>0</v>
      </c>
      <c r="P50" s="10">
        <v>1</v>
      </c>
      <c r="Q50" s="14">
        <v>0</v>
      </c>
      <c r="R50" s="14">
        <v>0</v>
      </c>
      <c r="S50" s="10">
        <v>0</v>
      </c>
      <c r="T50" s="10">
        <v>0</v>
      </c>
      <c r="U50" s="14">
        <v>0</v>
      </c>
      <c r="V50" s="10">
        <v>0</v>
      </c>
      <c r="W50" s="11">
        <v>5</v>
      </c>
      <c r="X50" s="11">
        <v>5</v>
      </c>
      <c r="Y50" s="11">
        <v>0</v>
      </c>
      <c r="Z50" s="11">
        <v>0</v>
      </c>
      <c r="AA50" s="11">
        <f>MasterTable[[#This Row],[Landings
Night]]+MasterTable[[#This Row],[Landings
Day]]</f>
        <v>5</v>
      </c>
      <c r="AB50" s="10">
        <v>0</v>
      </c>
      <c r="AC50" s="10">
        <v>0</v>
      </c>
      <c r="AD50" s="11">
        <v>0</v>
      </c>
      <c r="AE50" s="21">
        <f>SUM(MasterTable[[#This Row],[ILS]:[PAR]])</f>
        <v>0</v>
      </c>
      <c r="AL50" s="11"/>
      <c r="AR50" s="91" t="str">
        <f>_xlfn.XLOOKUP(MasterTable[[#This Row],[Aircraft ID]],Aircraft!A:A,Aircraft!H:H)</f>
        <v>Airplane Multi Engine Land</v>
      </c>
      <c r="AS50" s="8" t="b">
        <f>OR((SUM(MasterTable[[#This Row],[ILS]:[PAR]]) = MasterTable[[#This Row],[APPR]]))</f>
        <v>1</v>
      </c>
      <c r="AT50" s="8" t="b">
        <f>NOT(ISBLANK(MasterTable[[#This Row],[Total
Time]]))</f>
        <v>1</v>
      </c>
    </row>
    <row r="51" spans="4:46" ht="14.4" customHeight="1" x14ac:dyDescent="0.3">
      <c r="D51" s="22">
        <v>46203</v>
      </c>
      <c r="E51" s="8" t="s">
        <v>71</v>
      </c>
      <c r="F51" s="8" t="s">
        <v>44</v>
      </c>
      <c r="G51" s="8" t="s">
        <v>44</v>
      </c>
      <c r="I51" s="10">
        <v>1</v>
      </c>
      <c r="J51" s="10">
        <v>0</v>
      </c>
      <c r="K51" s="10">
        <f>MasterTable[[#This Row],[Total
Time]]</f>
        <v>1</v>
      </c>
      <c r="L51" s="10">
        <v>0</v>
      </c>
      <c r="M51" s="13">
        <v>0</v>
      </c>
      <c r="N51" s="13"/>
      <c r="O51" s="10">
        <v>0</v>
      </c>
      <c r="P51" s="10">
        <v>1</v>
      </c>
      <c r="Q51" s="14">
        <v>0</v>
      </c>
      <c r="R51" s="14">
        <v>0</v>
      </c>
      <c r="S51" s="10">
        <v>0</v>
      </c>
      <c r="T51" s="10">
        <v>0</v>
      </c>
      <c r="U51" s="14">
        <v>0</v>
      </c>
      <c r="V51" s="10">
        <v>0</v>
      </c>
      <c r="W51" s="11">
        <v>6</v>
      </c>
      <c r="X51" s="11">
        <v>6</v>
      </c>
      <c r="Y51" s="11">
        <v>0</v>
      </c>
      <c r="Z51" s="11">
        <v>0</v>
      </c>
      <c r="AA51" s="11">
        <f>MasterTable[[#This Row],[Landings
Night]]+MasterTable[[#This Row],[Landings
Day]]</f>
        <v>6</v>
      </c>
      <c r="AB51" s="10">
        <v>0</v>
      </c>
      <c r="AC51" s="10">
        <v>0</v>
      </c>
      <c r="AD51" s="11">
        <v>0</v>
      </c>
      <c r="AE51" s="21">
        <f>SUM(MasterTable[[#This Row],[ILS]:[PAR]])</f>
        <v>0</v>
      </c>
      <c r="AL51" s="11"/>
      <c r="AR51" s="91" t="str">
        <f>_xlfn.XLOOKUP(MasterTable[[#This Row],[Aircraft ID]],Aircraft!A:A,Aircraft!H:H)</f>
        <v>Airplane Multi Engine Land</v>
      </c>
      <c r="AS51" s="8" t="b">
        <f>OR((SUM(MasterTable[[#This Row],[ILS]:[PAR]]) = MasterTable[[#This Row],[APPR]]))</f>
        <v>1</v>
      </c>
      <c r="AT51" s="8" t="b">
        <f>NOT(ISBLANK(MasterTable[[#This Row],[Total
Time]]))</f>
        <v>1</v>
      </c>
    </row>
    <row r="52" spans="4:46" ht="14.4" customHeight="1" x14ac:dyDescent="0.3">
      <c r="D52" s="22">
        <v>46202</v>
      </c>
      <c r="E52" s="8" t="s">
        <v>71</v>
      </c>
      <c r="F52" s="8" t="s">
        <v>44</v>
      </c>
      <c r="G52" s="8" t="s">
        <v>44</v>
      </c>
      <c r="I52" s="10">
        <v>1.1000000000000001</v>
      </c>
      <c r="J52" s="10">
        <v>0</v>
      </c>
      <c r="K52" s="10">
        <f>MasterTable[[#This Row],[Total
Time]]</f>
        <v>1.1000000000000001</v>
      </c>
      <c r="L52" s="10">
        <v>0</v>
      </c>
      <c r="M52" s="13">
        <v>0</v>
      </c>
      <c r="N52" s="13"/>
      <c r="O52" s="10">
        <v>0</v>
      </c>
      <c r="P52" s="10">
        <v>1.1000000000000001</v>
      </c>
      <c r="Q52" s="14">
        <v>0</v>
      </c>
      <c r="R52" s="14">
        <v>0</v>
      </c>
      <c r="S52" s="10">
        <v>0</v>
      </c>
      <c r="T52" s="10">
        <v>0</v>
      </c>
      <c r="U52" s="14">
        <v>0</v>
      </c>
      <c r="V52" s="10">
        <v>0</v>
      </c>
      <c r="W52" s="11">
        <v>2</v>
      </c>
      <c r="X52" s="11">
        <v>2</v>
      </c>
      <c r="Y52" s="11">
        <v>0</v>
      </c>
      <c r="Z52" s="11">
        <v>0</v>
      </c>
      <c r="AA52" s="11">
        <f>MasterTable[[#This Row],[Landings
Night]]+MasterTable[[#This Row],[Landings
Day]]</f>
        <v>2</v>
      </c>
      <c r="AB52" s="10">
        <v>0</v>
      </c>
      <c r="AC52" s="10">
        <v>0</v>
      </c>
      <c r="AD52" s="11">
        <v>0</v>
      </c>
      <c r="AE52" s="21">
        <f>SUM(MasterTable[[#This Row],[ILS]:[PAR]])</f>
        <v>0</v>
      </c>
      <c r="AL52" s="11"/>
      <c r="AR52" s="91" t="str">
        <f>_xlfn.XLOOKUP(MasterTable[[#This Row],[Aircraft ID]],Aircraft!A:A,Aircraft!H:H)</f>
        <v>Airplane Multi Engine Land</v>
      </c>
      <c r="AS52" s="8" t="b">
        <f>OR((SUM(MasterTable[[#This Row],[ILS]:[PAR]]) = MasterTable[[#This Row],[APPR]]))</f>
        <v>1</v>
      </c>
      <c r="AT52" s="8" t="b">
        <f>NOT(ISBLANK(MasterTable[[#This Row],[Total
Time]]))</f>
        <v>1</v>
      </c>
    </row>
    <row r="53" spans="4:46" ht="14.4" customHeight="1" x14ac:dyDescent="0.3">
      <c r="D53" s="22">
        <v>46199</v>
      </c>
      <c r="E53" s="8" t="s">
        <v>71</v>
      </c>
      <c r="F53" s="8" t="s">
        <v>44</v>
      </c>
      <c r="G53" s="8" t="s">
        <v>44</v>
      </c>
      <c r="I53" s="10">
        <v>1</v>
      </c>
      <c r="J53" s="10">
        <v>0</v>
      </c>
      <c r="K53" s="10">
        <f>MasterTable[[#This Row],[Total
Time]]</f>
        <v>1</v>
      </c>
      <c r="L53" s="10">
        <v>0</v>
      </c>
      <c r="M53" s="13">
        <v>0</v>
      </c>
      <c r="N53" s="13"/>
      <c r="O53" s="10">
        <v>0</v>
      </c>
      <c r="P53" s="10">
        <v>1</v>
      </c>
      <c r="Q53" s="14">
        <v>0</v>
      </c>
      <c r="R53" s="14">
        <v>0</v>
      </c>
      <c r="S53" s="10">
        <v>0</v>
      </c>
      <c r="T53" s="10">
        <v>0</v>
      </c>
      <c r="U53" s="14">
        <v>0</v>
      </c>
      <c r="V53" s="10">
        <v>0</v>
      </c>
      <c r="W53" s="11">
        <v>3</v>
      </c>
      <c r="X53" s="11">
        <v>3</v>
      </c>
      <c r="Y53" s="11">
        <v>0</v>
      </c>
      <c r="Z53" s="11">
        <v>0</v>
      </c>
      <c r="AA53" s="11">
        <f>MasterTable[[#This Row],[Landings
Night]]+MasterTable[[#This Row],[Landings
Day]]</f>
        <v>3</v>
      </c>
      <c r="AB53" s="10">
        <v>0</v>
      </c>
      <c r="AC53" s="10">
        <v>0</v>
      </c>
      <c r="AD53" s="11">
        <v>0</v>
      </c>
      <c r="AE53" s="21">
        <f>SUM(MasterTable[[#This Row],[ILS]:[PAR]])</f>
        <v>0</v>
      </c>
      <c r="AL53" s="11"/>
      <c r="AR53" s="91" t="str">
        <f>_xlfn.XLOOKUP(MasterTable[[#This Row],[Aircraft ID]],Aircraft!A:A,Aircraft!H:H)</f>
        <v>Airplane Multi Engine Land</v>
      </c>
      <c r="AS53" s="8" t="b">
        <f>OR((SUM(MasterTable[[#This Row],[ILS]:[PAR]]) = MasterTable[[#This Row],[APPR]]))</f>
        <v>1</v>
      </c>
      <c r="AT53" s="8" t="b">
        <f>NOT(ISBLANK(MasterTable[[#This Row],[Total
Time]]))</f>
        <v>1</v>
      </c>
    </row>
    <row r="54" spans="4:46" ht="14.4" customHeight="1" x14ac:dyDescent="0.3">
      <c r="D54" s="22">
        <v>46196</v>
      </c>
      <c r="E54" s="8" t="s">
        <v>71</v>
      </c>
      <c r="F54" s="8" t="s">
        <v>44</v>
      </c>
      <c r="G54" s="8" t="s">
        <v>44</v>
      </c>
      <c r="I54" s="10">
        <v>0.9</v>
      </c>
      <c r="J54" s="10">
        <v>0</v>
      </c>
      <c r="K54" s="10">
        <f>MasterTable[[#This Row],[Total
Time]]</f>
        <v>0.9</v>
      </c>
      <c r="L54" s="10">
        <v>0</v>
      </c>
      <c r="M54" s="13">
        <v>0</v>
      </c>
      <c r="N54" s="13"/>
      <c r="O54" s="10">
        <v>0</v>
      </c>
      <c r="P54" s="10">
        <v>0.9</v>
      </c>
      <c r="Q54" s="14">
        <v>0</v>
      </c>
      <c r="R54" s="14">
        <v>0</v>
      </c>
      <c r="S54" s="10">
        <v>0</v>
      </c>
      <c r="T54" s="10">
        <v>0</v>
      </c>
      <c r="U54" s="14">
        <v>0</v>
      </c>
      <c r="V54" s="10">
        <v>0</v>
      </c>
      <c r="W54" s="11">
        <v>1</v>
      </c>
      <c r="X54" s="11">
        <v>1</v>
      </c>
      <c r="Y54" s="11">
        <v>0</v>
      </c>
      <c r="Z54" s="11">
        <v>0</v>
      </c>
      <c r="AA54" s="11">
        <f>MasterTable[[#This Row],[Landings
Night]]+MasterTable[[#This Row],[Landings
Day]]</f>
        <v>1</v>
      </c>
      <c r="AB54" s="10">
        <v>0.2</v>
      </c>
      <c r="AC54" s="10">
        <v>0</v>
      </c>
      <c r="AD54" s="11">
        <v>0</v>
      </c>
      <c r="AE54" s="21">
        <f>SUM(MasterTable[[#This Row],[ILS]:[PAR]])</f>
        <v>0</v>
      </c>
      <c r="AL54" s="11"/>
      <c r="AR54" s="91" t="str">
        <f>_xlfn.XLOOKUP(MasterTable[[#This Row],[Aircraft ID]],Aircraft!A:A,Aircraft!H:H)</f>
        <v>Airplane Multi Engine Land</v>
      </c>
      <c r="AS54" s="8" t="b">
        <f>OR((SUM(MasterTable[[#This Row],[ILS]:[PAR]]) = MasterTable[[#This Row],[APPR]]))</f>
        <v>1</v>
      </c>
      <c r="AT54" s="8" t="b">
        <f>NOT(ISBLANK(MasterTable[[#This Row],[Total
Time]]))</f>
        <v>1</v>
      </c>
    </row>
    <row r="55" spans="4:46" ht="14.4" customHeight="1" x14ac:dyDescent="0.3">
      <c r="D55" s="22">
        <v>46141</v>
      </c>
      <c r="E55" s="8" t="s">
        <v>121</v>
      </c>
      <c r="F55" s="8" t="s">
        <v>44</v>
      </c>
      <c r="G55" s="8" t="s">
        <v>44</v>
      </c>
      <c r="I55" s="10">
        <v>1.4</v>
      </c>
      <c r="J55" s="10">
        <v>1.4</v>
      </c>
      <c r="K55" s="10">
        <f>MasterTable[[#This Row],[Total
Time]]</f>
        <v>1.4</v>
      </c>
      <c r="L55" s="10">
        <v>0</v>
      </c>
      <c r="M55" s="13">
        <v>0</v>
      </c>
      <c r="N55" s="13"/>
      <c r="O55" s="10">
        <v>0</v>
      </c>
      <c r="P55" s="10">
        <v>1.4</v>
      </c>
      <c r="Q55" s="14">
        <v>0</v>
      </c>
      <c r="R55" s="14">
        <v>0</v>
      </c>
      <c r="S55" s="10">
        <v>0</v>
      </c>
      <c r="T55" s="10">
        <v>0</v>
      </c>
      <c r="U55" s="14">
        <v>0</v>
      </c>
      <c r="V55" s="10">
        <v>1.4</v>
      </c>
      <c r="W55" s="11">
        <v>1</v>
      </c>
      <c r="X55" s="11">
        <v>1</v>
      </c>
      <c r="Y55" s="11">
        <v>0</v>
      </c>
      <c r="Z55" s="11">
        <v>0</v>
      </c>
      <c r="AA55" s="11">
        <f>MasterTable[[#This Row],[Landings
Night]]+MasterTable[[#This Row],[Landings
Day]]</f>
        <v>1</v>
      </c>
      <c r="AB55" s="10">
        <v>0</v>
      </c>
      <c r="AC55" s="10">
        <v>0</v>
      </c>
      <c r="AD55" s="11">
        <v>0</v>
      </c>
      <c r="AE55" s="21">
        <f>SUM(MasterTable[[#This Row],[ILS]:[PAR]])</f>
        <v>0</v>
      </c>
      <c r="AL55" s="11"/>
      <c r="AQ55" s="27" t="s">
        <v>106</v>
      </c>
      <c r="AR55" s="91" t="str">
        <f>_xlfn.XLOOKUP(MasterTable[[#This Row],[Aircraft ID]],Aircraft!A:A,Aircraft!H:H)</f>
        <v>Airplane Single Engine Land</v>
      </c>
      <c r="AS55" s="8" t="b">
        <f>OR((SUM(MasterTable[[#This Row],[ILS]:[PAR]]) = MasterTable[[#This Row],[APPR]]))</f>
        <v>1</v>
      </c>
      <c r="AT55" s="8" t="b">
        <f>NOT(ISBLANK(MasterTable[[#This Row],[Total
Time]]))</f>
        <v>1</v>
      </c>
    </row>
    <row r="56" spans="4:46" ht="14.4" customHeight="1" x14ac:dyDescent="0.3">
      <c r="D56" s="22">
        <v>46140</v>
      </c>
      <c r="E56" s="8" t="s">
        <v>121</v>
      </c>
      <c r="F56" s="8" t="s">
        <v>44</v>
      </c>
      <c r="G56" s="8" t="s">
        <v>44</v>
      </c>
      <c r="I56" s="10">
        <v>1.5</v>
      </c>
      <c r="J56" s="10">
        <v>1.5</v>
      </c>
      <c r="K56" s="10">
        <f>MasterTable[[#This Row],[Total
Time]]</f>
        <v>1.5</v>
      </c>
      <c r="L56" s="10">
        <v>0</v>
      </c>
      <c r="M56" s="13">
        <v>0</v>
      </c>
      <c r="N56" s="13"/>
      <c r="O56" s="10">
        <v>0</v>
      </c>
      <c r="P56" s="10">
        <v>1.5</v>
      </c>
      <c r="Q56" s="14">
        <v>0</v>
      </c>
      <c r="R56" s="14">
        <v>0</v>
      </c>
      <c r="S56" s="10">
        <v>0</v>
      </c>
      <c r="T56" s="10">
        <v>0</v>
      </c>
      <c r="U56" s="14">
        <v>0</v>
      </c>
      <c r="V56" s="10">
        <v>1.5</v>
      </c>
      <c r="W56" s="11">
        <v>1</v>
      </c>
      <c r="X56" s="11">
        <v>1</v>
      </c>
      <c r="Y56" s="11">
        <v>0</v>
      </c>
      <c r="Z56" s="11">
        <v>0</v>
      </c>
      <c r="AA56" s="11">
        <f>MasterTable[[#This Row],[Landings
Night]]+MasterTable[[#This Row],[Landings
Day]]</f>
        <v>1</v>
      </c>
      <c r="AB56" s="10">
        <v>0</v>
      </c>
      <c r="AC56" s="10">
        <v>0</v>
      </c>
      <c r="AD56" s="11">
        <v>0</v>
      </c>
      <c r="AE56" s="21">
        <f>SUM(MasterTable[[#This Row],[ILS]:[PAR]])</f>
        <v>0</v>
      </c>
      <c r="AL56" s="11"/>
      <c r="AR56" s="91" t="str">
        <f>_xlfn.XLOOKUP(MasterTable[[#This Row],[Aircraft ID]],Aircraft!A:A,Aircraft!H:H)</f>
        <v>Airplane Single Engine Land</v>
      </c>
      <c r="AS56" s="8" t="b">
        <f>OR((SUM(MasterTable[[#This Row],[ILS]:[PAR]]) = MasterTable[[#This Row],[APPR]]))</f>
        <v>1</v>
      </c>
      <c r="AT56" s="8" t="b">
        <f>NOT(ISBLANK(MasterTable[[#This Row],[Total
Time]]))</f>
        <v>1</v>
      </c>
    </row>
    <row r="57" spans="4:46" ht="14.4" customHeight="1" x14ac:dyDescent="0.3">
      <c r="D57" s="22">
        <v>46139</v>
      </c>
      <c r="E57" s="8" t="s">
        <v>121</v>
      </c>
      <c r="F57" s="8" t="s">
        <v>44</v>
      </c>
      <c r="G57" s="8" t="s">
        <v>44</v>
      </c>
      <c r="I57" s="10">
        <v>0.3</v>
      </c>
      <c r="J57" s="10">
        <v>0.3</v>
      </c>
      <c r="K57" s="10">
        <f>MasterTable[[#This Row],[Total
Time]]</f>
        <v>0.3</v>
      </c>
      <c r="L57" s="10">
        <v>0</v>
      </c>
      <c r="M57" s="13">
        <v>0</v>
      </c>
      <c r="N57" s="13"/>
      <c r="O57" s="10">
        <v>0</v>
      </c>
      <c r="P57" s="10">
        <v>0.3</v>
      </c>
      <c r="Q57" s="14">
        <v>0</v>
      </c>
      <c r="R57" s="14">
        <v>0</v>
      </c>
      <c r="S57" s="10">
        <v>0</v>
      </c>
      <c r="T57" s="10">
        <v>0</v>
      </c>
      <c r="U57" s="14">
        <v>0</v>
      </c>
      <c r="V57" s="10">
        <v>0.3</v>
      </c>
      <c r="W57" s="11">
        <v>1</v>
      </c>
      <c r="X57" s="11">
        <v>1</v>
      </c>
      <c r="Y57" s="11">
        <v>0</v>
      </c>
      <c r="Z57" s="11">
        <v>0</v>
      </c>
      <c r="AA57" s="11">
        <f>MasterTable[[#This Row],[Landings
Night]]+MasterTable[[#This Row],[Landings
Day]]</f>
        <v>1</v>
      </c>
      <c r="AB57" s="10">
        <v>0</v>
      </c>
      <c r="AC57" s="10">
        <v>0</v>
      </c>
      <c r="AD57" s="11">
        <v>0</v>
      </c>
      <c r="AE57" s="21">
        <f>SUM(MasterTable[[#This Row],[ILS]:[PAR]])</f>
        <v>0</v>
      </c>
      <c r="AL57" s="11"/>
      <c r="AR57" s="91" t="str">
        <f>_xlfn.XLOOKUP(MasterTable[[#This Row],[Aircraft ID]],Aircraft!A:A,Aircraft!H:H)</f>
        <v>Airplane Single Engine Land</v>
      </c>
      <c r="AS57" s="8" t="b">
        <f>OR((SUM(MasterTable[[#This Row],[ILS]:[PAR]]) = MasterTable[[#This Row],[APPR]]))</f>
        <v>1</v>
      </c>
      <c r="AT57" s="8" t="b">
        <f>NOT(ISBLANK(MasterTable[[#This Row],[Total
Time]]))</f>
        <v>1</v>
      </c>
    </row>
    <row r="58" spans="4:46" ht="14.4" customHeight="1" x14ac:dyDescent="0.3">
      <c r="D58" s="22">
        <v>46080</v>
      </c>
      <c r="E58" s="8" t="s">
        <v>121</v>
      </c>
      <c r="F58" s="8" t="s">
        <v>44</v>
      </c>
      <c r="G58" s="8" t="s">
        <v>52</v>
      </c>
      <c r="I58" s="10">
        <v>1.6</v>
      </c>
      <c r="J58" s="10">
        <v>1.6</v>
      </c>
      <c r="K58" s="10">
        <f>MasterTable[[#This Row],[Total
Time]]</f>
        <v>1.6</v>
      </c>
      <c r="L58" s="10">
        <v>0</v>
      </c>
      <c r="M58" s="13">
        <v>0</v>
      </c>
      <c r="N58" s="13"/>
      <c r="O58" s="10">
        <v>0</v>
      </c>
      <c r="P58" s="10">
        <v>1.6</v>
      </c>
      <c r="Q58" s="14">
        <v>0</v>
      </c>
      <c r="R58" s="14">
        <v>0</v>
      </c>
      <c r="S58" s="10">
        <v>0</v>
      </c>
      <c r="T58" s="10">
        <v>1.6</v>
      </c>
      <c r="U58" s="14">
        <v>0</v>
      </c>
      <c r="V58" s="10">
        <v>0</v>
      </c>
      <c r="W58" s="11">
        <v>1</v>
      </c>
      <c r="X58" s="11">
        <v>1</v>
      </c>
      <c r="Y58" s="11">
        <v>0</v>
      </c>
      <c r="Z58" s="11">
        <v>0</v>
      </c>
      <c r="AA58" s="11">
        <f>MasterTable[[#This Row],[Landings
Night]]+MasterTable[[#This Row],[Landings
Day]]</f>
        <v>1</v>
      </c>
      <c r="AB58" s="10">
        <v>0</v>
      </c>
      <c r="AC58" s="10">
        <v>1.6</v>
      </c>
      <c r="AD58" s="11">
        <v>1</v>
      </c>
      <c r="AE58" s="21">
        <f>SUM(MasterTable[[#This Row],[ILS]:[PAR]])</f>
        <v>3</v>
      </c>
      <c r="AF58" s="11">
        <v>1</v>
      </c>
      <c r="AG58" s="11">
        <v>1</v>
      </c>
      <c r="AH58" s="11">
        <v>1</v>
      </c>
      <c r="AL58" s="11"/>
      <c r="AR58" s="91" t="str">
        <f>_xlfn.XLOOKUP(MasterTable[[#This Row],[Aircraft ID]],Aircraft!A:A,Aircraft!H:H)</f>
        <v>Airplane Single Engine Land</v>
      </c>
      <c r="AS58" s="8" t="b">
        <f>OR((SUM(MasterTable[[#This Row],[ILS]:[PAR]]) = MasterTable[[#This Row],[APPR]]))</f>
        <v>1</v>
      </c>
      <c r="AT58" s="8" t="b">
        <f>NOT(ISBLANK(MasterTable[[#This Row],[Total
Time]]))</f>
        <v>1</v>
      </c>
    </row>
    <row r="59" spans="4:46" ht="14.4" customHeight="1" x14ac:dyDescent="0.3">
      <c r="D59" s="22">
        <v>46080</v>
      </c>
      <c r="E59" s="8" t="s">
        <v>121</v>
      </c>
      <c r="F59" s="8" t="s">
        <v>44</v>
      </c>
      <c r="G59" s="8" t="s">
        <v>49</v>
      </c>
      <c r="I59" s="10">
        <v>1.5</v>
      </c>
      <c r="J59" s="10">
        <v>1.5</v>
      </c>
      <c r="K59" s="10">
        <f>MasterTable[[#This Row],[Total
Time]]</f>
        <v>1.5</v>
      </c>
      <c r="L59" s="10">
        <v>0</v>
      </c>
      <c r="M59" s="13">
        <v>0</v>
      </c>
      <c r="N59" s="13"/>
      <c r="O59" s="10">
        <v>0</v>
      </c>
      <c r="P59" s="10">
        <v>1.5</v>
      </c>
      <c r="Q59" s="14">
        <v>0</v>
      </c>
      <c r="R59" s="14">
        <v>0</v>
      </c>
      <c r="S59" s="10">
        <v>0</v>
      </c>
      <c r="T59" s="10">
        <v>1.5</v>
      </c>
      <c r="U59" s="14">
        <v>0</v>
      </c>
      <c r="V59" s="10">
        <v>0</v>
      </c>
      <c r="W59" s="11">
        <v>1</v>
      </c>
      <c r="X59" s="11">
        <v>1</v>
      </c>
      <c r="Y59" s="11">
        <v>0</v>
      </c>
      <c r="Z59" s="11">
        <v>0</v>
      </c>
      <c r="AA59" s="11">
        <f>MasterTable[[#This Row],[Landings
Night]]+MasterTable[[#This Row],[Landings
Day]]</f>
        <v>1</v>
      </c>
      <c r="AB59" s="10">
        <v>0</v>
      </c>
      <c r="AC59" s="10">
        <v>1.5</v>
      </c>
      <c r="AD59" s="11">
        <v>1</v>
      </c>
      <c r="AE59" s="21">
        <f>SUM(MasterTable[[#This Row],[ILS]:[PAR]])</f>
        <v>3</v>
      </c>
      <c r="AF59" s="11">
        <v>1</v>
      </c>
      <c r="AG59" s="11">
        <v>1</v>
      </c>
      <c r="AH59" s="11">
        <v>1</v>
      </c>
      <c r="AL59" s="11"/>
      <c r="AR59" s="91" t="str">
        <f>_xlfn.XLOOKUP(MasterTable[[#This Row],[Aircraft ID]],Aircraft!A:A,Aircraft!H:H)</f>
        <v>Airplane Single Engine Land</v>
      </c>
      <c r="AS59" s="8" t="b">
        <f>OR((SUM(MasterTable[[#This Row],[ILS]:[PAR]]) = MasterTable[[#This Row],[APPR]]))</f>
        <v>1</v>
      </c>
      <c r="AT59" s="8" t="b">
        <f>NOT(ISBLANK(MasterTable[[#This Row],[Total
Time]]))</f>
        <v>1</v>
      </c>
    </row>
    <row r="60" spans="4:46" ht="14.4" customHeight="1" x14ac:dyDescent="0.3">
      <c r="D60" s="22">
        <v>46079</v>
      </c>
      <c r="E60" s="8" t="s">
        <v>121</v>
      </c>
      <c r="F60" s="8" t="s">
        <v>44</v>
      </c>
      <c r="G60" s="8" t="s">
        <v>52</v>
      </c>
      <c r="I60" s="10">
        <v>1.7</v>
      </c>
      <c r="J60" s="10">
        <v>1.7</v>
      </c>
      <c r="K60" s="10">
        <f>MasterTable[[#This Row],[Total
Time]]</f>
        <v>1.7</v>
      </c>
      <c r="L60" s="10">
        <v>0</v>
      </c>
      <c r="M60" s="13">
        <v>0</v>
      </c>
      <c r="N60" s="13"/>
      <c r="O60" s="10">
        <v>0</v>
      </c>
      <c r="P60" s="10">
        <v>1.7</v>
      </c>
      <c r="Q60" s="14">
        <v>0</v>
      </c>
      <c r="R60" s="14">
        <v>0</v>
      </c>
      <c r="S60" s="10">
        <v>0</v>
      </c>
      <c r="T60" s="10">
        <v>1.7</v>
      </c>
      <c r="U60" s="14">
        <v>0</v>
      </c>
      <c r="V60" s="10">
        <v>0</v>
      </c>
      <c r="W60" s="11">
        <v>1</v>
      </c>
      <c r="X60" s="11">
        <v>1</v>
      </c>
      <c r="Y60" s="11">
        <v>0</v>
      </c>
      <c r="Z60" s="11">
        <v>0</v>
      </c>
      <c r="AA60" s="11">
        <f>MasterTable[[#This Row],[Landings
Night]]+MasterTable[[#This Row],[Landings
Day]]</f>
        <v>1</v>
      </c>
      <c r="AB60" s="10">
        <v>0</v>
      </c>
      <c r="AC60" s="10">
        <v>1.7</v>
      </c>
      <c r="AD60" s="11">
        <v>1</v>
      </c>
      <c r="AE60" s="21">
        <f>SUM(MasterTable[[#This Row],[ILS]:[PAR]])</f>
        <v>3</v>
      </c>
      <c r="AF60" s="11">
        <v>1</v>
      </c>
      <c r="AH60" s="11">
        <v>1</v>
      </c>
      <c r="AI60" s="11">
        <v>1</v>
      </c>
      <c r="AL60" s="11"/>
      <c r="AR60" s="91" t="str">
        <f>_xlfn.XLOOKUP(MasterTable[[#This Row],[Aircraft ID]],Aircraft!A:A,Aircraft!H:H)</f>
        <v>Airplane Single Engine Land</v>
      </c>
      <c r="AS60" s="8" t="b">
        <f>OR((SUM(MasterTable[[#This Row],[ILS]:[PAR]]) = MasterTable[[#This Row],[APPR]]))</f>
        <v>1</v>
      </c>
      <c r="AT60" s="8" t="b">
        <f>NOT(ISBLANK(MasterTable[[#This Row],[Total
Time]]))</f>
        <v>1</v>
      </c>
    </row>
    <row r="61" spans="4:46" ht="14.4" customHeight="1" x14ac:dyDescent="0.3">
      <c r="D61" s="22">
        <v>46077</v>
      </c>
      <c r="E61" s="8" t="s">
        <v>121</v>
      </c>
      <c r="F61" s="8" t="s">
        <v>44</v>
      </c>
      <c r="G61" s="8" t="s">
        <v>49</v>
      </c>
      <c r="I61" s="10">
        <v>1.6</v>
      </c>
      <c r="J61" s="10">
        <v>1.6</v>
      </c>
      <c r="K61" s="10">
        <f>MasterTable[[#This Row],[Total
Time]]</f>
        <v>1.6</v>
      </c>
      <c r="L61" s="10">
        <v>0</v>
      </c>
      <c r="M61" s="13">
        <v>0</v>
      </c>
      <c r="N61" s="13"/>
      <c r="O61" s="10">
        <v>0</v>
      </c>
      <c r="P61" s="10">
        <v>1.6</v>
      </c>
      <c r="Q61" s="14">
        <v>0</v>
      </c>
      <c r="R61" s="14">
        <v>0</v>
      </c>
      <c r="S61" s="10">
        <v>0</v>
      </c>
      <c r="T61" s="10">
        <v>1.6</v>
      </c>
      <c r="U61" s="14">
        <v>0</v>
      </c>
      <c r="V61" s="10">
        <v>0</v>
      </c>
      <c r="W61" s="11">
        <v>1</v>
      </c>
      <c r="X61" s="11">
        <v>1</v>
      </c>
      <c r="Y61" s="11">
        <v>0</v>
      </c>
      <c r="Z61" s="11">
        <v>0</v>
      </c>
      <c r="AA61" s="11">
        <f>MasterTable[[#This Row],[Landings
Night]]+MasterTable[[#This Row],[Landings
Day]]</f>
        <v>1</v>
      </c>
      <c r="AB61" s="10">
        <v>0</v>
      </c>
      <c r="AC61" s="10">
        <v>1.6</v>
      </c>
      <c r="AD61" s="11">
        <v>1</v>
      </c>
      <c r="AE61" s="21">
        <f>SUM(MasterTable[[#This Row],[ILS]:[PAR]])</f>
        <v>2</v>
      </c>
      <c r="AF61" s="11">
        <v>1</v>
      </c>
      <c r="AG61" s="11">
        <v>1</v>
      </c>
      <c r="AL61" s="11"/>
      <c r="AR61" s="91" t="str">
        <f>_xlfn.XLOOKUP(MasterTable[[#This Row],[Aircraft ID]],Aircraft!A:A,Aircraft!H:H)</f>
        <v>Airplane Single Engine Land</v>
      </c>
      <c r="AS61" s="8" t="b">
        <f>OR((SUM(MasterTable[[#This Row],[ILS]:[PAR]]) = MasterTable[[#This Row],[APPR]]))</f>
        <v>1</v>
      </c>
      <c r="AT61" s="8" t="b">
        <f>NOT(ISBLANK(MasterTable[[#This Row],[Total
Time]]))</f>
        <v>1</v>
      </c>
    </row>
    <row r="62" spans="4:46" ht="14.4" customHeight="1" x14ac:dyDescent="0.3">
      <c r="D62" s="22">
        <v>46076</v>
      </c>
      <c r="E62" s="8" t="s">
        <v>121</v>
      </c>
      <c r="F62" s="8" t="s">
        <v>44</v>
      </c>
      <c r="G62" s="8" t="s">
        <v>52</v>
      </c>
      <c r="I62" s="10">
        <v>1.7</v>
      </c>
      <c r="J62" s="10">
        <v>1.7</v>
      </c>
      <c r="K62" s="10">
        <f>MasterTable[[#This Row],[Total
Time]]</f>
        <v>1.7</v>
      </c>
      <c r="L62" s="10">
        <v>0</v>
      </c>
      <c r="M62" s="13">
        <v>0</v>
      </c>
      <c r="N62" s="13"/>
      <c r="O62" s="10">
        <v>0</v>
      </c>
      <c r="P62" s="10">
        <v>1.7</v>
      </c>
      <c r="Q62" s="14">
        <v>0</v>
      </c>
      <c r="R62" s="14">
        <v>0</v>
      </c>
      <c r="S62" s="10">
        <v>0</v>
      </c>
      <c r="T62" s="10">
        <v>1.7</v>
      </c>
      <c r="U62" s="14">
        <v>0</v>
      </c>
      <c r="V62" s="10">
        <v>0</v>
      </c>
      <c r="W62" s="11">
        <v>1</v>
      </c>
      <c r="X62" s="11">
        <v>1</v>
      </c>
      <c r="Y62" s="11">
        <v>0</v>
      </c>
      <c r="Z62" s="11">
        <v>0</v>
      </c>
      <c r="AA62" s="11">
        <f>MasterTable[[#This Row],[Landings
Night]]+MasterTable[[#This Row],[Landings
Day]]</f>
        <v>1</v>
      </c>
      <c r="AB62" s="10">
        <v>0</v>
      </c>
      <c r="AC62" s="10">
        <v>1.7</v>
      </c>
      <c r="AD62" s="11">
        <v>1</v>
      </c>
      <c r="AE62" s="21">
        <f>SUM(MasterTable[[#This Row],[ILS]:[PAR]])</f>
        <v>3</v>
      </c>
      <c r="AF62" s="11">
        <v>1</v>
      </c>
      <c r="AI62" s="11">
        <v>1</v>
      </c>
      <c r="AK62" s="11">
        <v>1</v>
      </c>
      <c r="AL62" s="11"/>
      <c r="AR62" s="91" t="str">
        <f>_xlfn.XLOOKUP(MasterTable[[#This Row],[Aircraft ID]],Aircraft!A:A,Aircraft!H:H)</f>
        <v>Airplane Single Engine Land</v>
      </c>
      <c r="AS62" s="8" t="b">
        <f>OR((SUM(MasterTable[[#This Row],[ILS]:[PAR]]) = MasterTable[[#This Row],[APPR]]))</f>
        <v>1</v>
      </c>
      <c r="AT62" s="8" t="b">
        <f>NOT(ISBLANK(MasterTable[[#This Row],[Total
Time]]))</f>
        <v>1</v>
      </c>
    </row>
    <row r="63" spans="4:46" ht="14.4" customHeight="1" x14ac:dyDescent="0.3">
      <c r="D63" s="22">
        <v>46066</v>
      </c>
      <c r="E63" s="8" t="s">
        <v>121</v>
      </c>
      <c r="F63" s="8" t="s">
        <v>44</v>
      </c>
      <c r="G63" s="8" t="s">
        <v>49</v>
      </c>
      <c r="I63" s="10">
        <v>1.8</v>
      </c>
      <c r="J63" s="10">
        <v>1.8</v>
      </c>
      <c r="K63" s="10">
        <f>MasterTable[[#This Row],[Total
Time]]</f>
        <v>1.8</v>
      </c>
      <c r="L63" s="10">
        <v>0</v>
      </c>
      <c r="M63" s="13">
        <v>0</v>
      </c>
      <c r="N63" s="13"/>
      <c r="O63" s="10">
        <v>0</v>
      </c>
      <c r="P63" s="10">
        <v>1.8</v>
      </c>
      <c r="Q63" s="14">
        <v>0</v>
      </c>
      <c r="R63" s="14">
        <v>0</v>
      </c>
      <c r="S63" s="10">
        <v>0</v>
      </c>
      <c r="T63" s="10">
        <v>1.8</v>
      </c>
      <c r="U63" s="14">
        <v>0</v>
      </c>
      <c r="V63" s="10">
        <v>0</v>
      </c>
      <c r="W63" s="11">
        <v>1</v>
      </c>
      <c r="X63" s="11">
        <v>1</v>
      </c>
      <c r="Y63" s="11">
        <v>0</v>
      </c>
      <c r="Z63" s="11">
        <v>0</v>
      </c>
      <c r="AA63" s="11">
        <f>MasterTable[[#This Row],[Landings
Night]]+MasterTable[[#This Row],[Landings
Day]]</f>
        <v>1</v>
      </c>
      <c r="AB63" s="10">
        <v>0</v>
      </c>
      <c r="AC63" s="10">
        <v>1.8</v>
      </c>
      <c r="AD63" s="11">
        <v>2</v>
      </c>
      <c r="AE63" s="21">
        <f>SUM(MasterTable[[#This Row],[ILS]:[PAR]])</f>
        <v>3</v>
      </c>
      <c r="AF63" s="11">
        <v>1</v>
      </c>
      <c r="AH63" s="11">
        <v>1</v>
      </c>
      <c r="AI63" s="11">
        <v>1</v>
      </c>
      <c r="AL63" s="11"/>
      <c r="AR63" s="91" t="str">
        <f>_xlfn.XLOOKUP(MasterTable[[#This Row],[Aircraft ID]],Aircraft!A:A,Aircraft!H:H)</f>
        <v>Airplane Single Engine Land</v>
      </c>
      <c r="AS63" s="8" t="b">
        <f>OR((SUM(MasterTable[[#This Row],[ILS]:[PAR]]) = MasterTable[[#This Row],[APPR]]))</f>
        <v>1</v>
      </c>
      <c r="AT63" s="8" t="b">
        <f>NOT(ISBLANK(MasterTable[[#This Row],[Total
Time]]))</f>
        <v>1</v>
      </c>
    </row>
    <row r="64" spans="4:46" ht="14.4" customHeight="1" x14ac:dyDescent="0.3">
      <c r="D64" s="22">
        <v>46063</v>
      </c>
      <c r="E64" s="8" t="s">
        <v>121</v>
      </c>
      <c r="F64" s="8" t="s">
        <v>44</v>
      </c>
      <c r="G64" s="8" t="s">
        <v>53</v>
      </c>
      <c r="I64" s="10">
        <v>1.7</v>
      </c>
      <c r="J64" s="10">
        <v>1.7</v>
      </c>
      <c r="K64" s="10">
        <f>MasterTable[[#This Row],[Total
Time]]</f>
        <v>1.7</v>
      </c>
      <c r="L64" s="10">
        <v>0</v>
      </c>
      <c r="M64" s="13">
        <v>0</v>
      </c>
      <c r="N64" s="13"/>
      <c r="O64" s="10">
        <v>0</v>
      </c>
      <c r="P64" s="10">
        <v>1.7</v>
      </c>
      <c r="Q64" s="14">
        <v>0</v>
      </c>
      <c r="R64" s="14">
        <v>0</v>
      </c>
      <c r="S64" s="10">
        <v>0</v>
      </c>
      <c r="T64" s="10">
        <v>1.7</v>
      </c>
      <c r="U64" s="14">
        <v>0</v>
      </c>
      <c r="V64" s="10">
        <v>0</v>
      </c>
      <c r="W64" s="11">
        <v>3</v>
      </c>
      <c r="X64" s="11">
        <v>3</v>
      </c>
      <c r="Y64" s="11">
        <v>0</v>
      </c>
      <c r="Z64" s="11">
        <v>0</v>
      </c>
      <c r="AA64" s="11">
        <f>MasterTable[[#This Row],[Landings
Night]]+MasterTable[[#This Row],[Landings
Day]]</f>
        <v>3</v>
      </c>
      <c r="AB64" s="10">
        <v>0</v>
      </c>
      <c r="AC64" s="10">
        <v>1.7</v>
      </c>
      <c r="AD64" s="11">
        <v>0</v>
      </c>
      <c r="AE64" s="21">
        <f>SUM(MasterTable[[#This Row],[ILS]:[PAR]])</f>
        <v>3</v>
      </c>
      <c r="AF64" s="11">
        <v>1</v>
      </c>
      <c r="AH64" s="11">
        <v>1</v>
      </c>
      <c r="AI64" s="11">
        <v>1</v>
      </c>
      <c r="AL64" s="11">
        <v>1</v>
      </c>
      <c r="AR64" s="91" t="str">
        <f>_xlfn.XLOOKUP(MasterTable[[#This Row],[Aircraft ID]],Aircraft!A:A,Aircraft!H:H)</f>
        <v>Airplane Single Engine Land</v>
      </c>
      <c r="AS64" s="8" t="b">
        <f>OR((SUM(MasterTable[[#This Row],[ILS]:[PAR]]) = MasterTable[[#This Row],[APPR]]))</f>
        <v>1</v>
      </c>
      <c r="AT64" s="8" t="b">
        <f>NOT(ISBLANK(MasterTable[[#This Row],[Total
Time]]))</f>
        <v>1</v>
      </c>
    </row>
    <row r="65" spans="4:46" ht="14.4" customHeight="1" x14ac:dyDescent="0.3">
      <c r="D65" s="22">
        <v>46059</v>
      </c>
      <c r="E65" s="8" t="s">
        <v>121</v>
      </c>
      <c r="F65" s="8" t="s">
        <v>44</v>
      </c>
      <c r="G65" s="8" t="s">
        <v>44</v>
      </c>
      <c r="I65" s="10">
        <v>1.3</v>
      </c>
      <c r="J65" s="10">
        <v>1.3</v>
      </c>
      <c r="K65" s="10">
        <f>MasterTable[[#This Row],[Total
Time]]</f>
        <v>1.3</v>
      </c>
      <c r="L65" s="10">
        <v>0</v>
      </c>
      <c r="M65" s="13">
        <v>0</v>
      </c>
      <c r="N65" s="13"/>
      <c r="O65" s="10">
        <v>0</v>
      </c>
      <c r="P65" s="10">
        <v>1.3</v>
      </c>
      <c r="Q65" s="14">
        <v>0</v>
      </c>
      <c r="R65" s="14">
        <v>0</v>
      </c>
      <c r="S65" s="10">
        <v>0</v>
      </c>
      <c r="T65" s="10">
        <v>0</v>
      </c>
      <c r="U65" s="14">
        <v>0</v>
      </c>
      <c r="V65" s="10">
        <v>0</v>
      </c>
      <c r="W65" s="11">
        <v>4</v>
      </c>
      <c r="X65" s="11">
        <v>4</v>
      </c>
      <c r="Y65" s="11">
        <v>0</v>
      </c>
      <c r="Z65" s="11">
        <v>0</v>
      </c>
      <c r="AA65" s="11">
        <f>MasterTable[[#This Row],[Landings
Night]]+MasterTable[[#This Row],[Landings
Day]]</f>
        <v>4</v>
      </c>
      <c r="AB65" s="10">
        <v>0</v>
      </c>
      <c r="AC65" s="10">
        <v>0</v>
      </c>
      <c r="AD65" s="11">
        <v>0</v>
      </c>
      <c r="AE65" s="21">
        <f>SUM(MasterTable[[#This Row],[ILS]:[PAR]])</f>
        <v>0</v>
      </c>
      <c r="AL65" s="11"/>
      <c r="AR65" s="91" t="str">
        <f>_xlfn.XLOOKUP(MasterTable[[#This Row],[Aircraft ID]],Aircraft!A:A,Aircraft!H:H)</f>
        <v>Airplane Single Engine Land</v>
      </c>
      <c r="AS65" s="8" t="b">
        <f>OR((SUM(MasterTable[[#This Row],[ILS]:[PAR]]) = MasterTable[[#This Row],[APPR]]))</f>
        <v>1</v>
      </c>
      <c r="AT65" s="8" t="b">
        <f>NOT(ISBLANK(MasterTable[[#This Row],[Total
Time]]))</f>
        <v>1</v>
      </c>
    </row>
    <row r="66" spans="4:46" ht="14.4" customHeight="1" x14ac:dyDescent="0.3">
      <c r="D66" s="22">
        <v>46058</v>
      </c>
      <c r="E66" s="8" t="s">
        <v>121</v>
      </c>
      <c r="F66" s="8" t="s">
        <v>44</v>
      </c>
      <c r="G66" s="8" t="s">
        <v>44</v>
      </c>
      <c r="I66" s="10">
        <v>1.7</v>
      </c>
      <c r="J66" s="10">
        <v>1.7</v>
      </c>
      <c r="K66" s="10">
        <f>MasterTable[[#This Row],[Total
Time]]</f>
        <v>1.7</v>
      </c>
      <c r="L66" s="10">
        <v>0</v>
      </c>
      <c r="M66" s="13">
        <v>0</v>
      </c>
      <c r="N66" s="13"/>
      <c r="O66" s="10">
        <v>0</v>
      </c>
      <c r="P66" s="10">
        <v>1.7</v>
      </c>
      <c r="Q66" s="14">
        <v>0</v>
      </c>
      <c r="R66" s="14">
        <v>0</v>
      </c>
      <c r="S66" s="10">
        <v>0</v>
      </c>
      <c r="T66" s="10">
        <v>0</v>
      </c>
      <c r="U66" s="14">
        <v>0</v>
      </c>
      <c r="V66" s="10">
        <v>0</v>
      </c>
      <c r="W66" s="11">
        <v>8</v>
      </c>
      <c r="X66" s="11">
        <v>8</v>
      </c>
      <c r="Y66" s="11">
        <v>0</v>
      </c>
      <c r="Z66" s="11">
        <v>0</v>
      </c>
      <c r="AA66" s="11">
        <f>MasterTable[[#This Row],[Landings
Night]]+MasterTable[[#This Row],[Landings
Day]]</f>
        <v>8</v>
      </c>
      <c r="AB66" s="10">
        <v>0</v>
      </c>
      <c r="AC66" s="10">
        <v>0</v>
      </c>
      <c r="AD66" s="11">
        <v>0</v>
      </c>
      <c r="AE66" s="21">
        <f>SUM(MasterTable[[#This Row],[ILS]:[PAR]])</f>
        <v>0</v>
      </c>
      <c r="AL66" s="11"/>
      <c r="AR66" s="91" t="str">
        <f>_xlfn.XLOOKUP(MasterTable[[#This Row],[Aircraft ID]],Aircraft!A:A,Aircraft!H:H)</f>
        <v>Airplane Single Engine Land</v>
      </c>
      <c r="AS66" s="8" t="b">
        <f>OR((SUM(MasterTable[[#This Row],[ILS]:[PAR]]) = MasterTable[[#This Row],[APPR]]))</f>
        <v>1</v>
      </c>
      <c r="AT66" s="8" t="b">
        <f>NOT(ISBLANK(MasterTable[[#This Row],[Total
Time]]))</f>
        <v>1</v>
      </c>
    </row>
    <row r="67" spans="4:46" ht="14.4" customHeight="1" x14ac:dyDescent="0.3">
      <c r="D67" s="22">
        <v>46057</v>
      </c>
      <c r="E67" s="8" t="s">
        <v>121</v>
      </c>
      <c r="F67" s="8" t="s">
        <v>44</v>
      </c>
      <c r="G67" s="8" t="s">
        <v>44</v>
      </c>
      <c r="I67" s="10">
        <v>1.1000000000000001</v>
      </c>
      <c r="J67" s="10">
        <v>1.1000000000000001</v>
      </c>
      <c r="K67" s="10">
        <f>MasterTable[[#This Row],[Total
Time]]</f>
        <v>1.1000000000000001</v>
      </c>
      <c r="L67" s="10">
        <v>0</v>
      </c>
      <c r="M67" s="13">
        <v>0</v>
      </c>
      <c r="N67" s="13"/>
      <c r="O67" s="10">
        <v>0</v>
      </c>
      <c r="P67" s="10">
        <v>1.1000000000000001</v>
      </c>
      <c r="Q67" s="14">
        <v>0</v>
      </c>
      <c r="R67" s="14">
        <v>0</v>
      </c>
      <c r="S67" s="10">
        <v>1.1000000000000001</v>
      </c>
      <c r="T67" s="10">
        <v>0</v>
      </c>
      <c r="U67" s="14">
        <v>0</v>
      </c>
      <c r="V67" s="10">
        <v>0</v>
      </c>
      <c r="W67" s="11">
        <v>0</v>
      </c>
      <c r="X67" s="11">
        <v>0</v>
      </c>
      <c r="Y67" s="11">
        <v>6</v>
      </c>
      <c r="Z67" s="11">
        <v>6</v>
      </c>
      <c r="AA67" s="11">
        <f>MasterTable[[#This Row],[Landings
Night]]+MasterTable[[#This Row],[Landings
Day]]</f>
        <v>6</v>
      </c>
      <c r="AB67" s="10">
        <v>1.1000000000000001</v>
      </c>
      <c r="AC67" s="10">
        <v>0</v>
      </c>
      <c r="AD67" s="11">
        <v>0</v>
      </c>
      <c r="AE67" s="21">
        <f>SUM(MasterTable[[#This Row],[ILS]:[PAR]])</f>
        <v>0</v>
      </c>
      <c r="AL67" s="11"/>
      <c r="AR67" s="91" t="str">
        <f>_xlfn.XLOOKUP(MasterTable[[#This Row],[Aircraft ID]],Aircraft!A:A,Aircraft!H:H)</f>
        <v>Airplane Single Engine Land</v>
      </c>
      <c r="AS67" s="8" t="b">
        <f>OR((SUM(MasterTable[[#This Row],[ILS]:[PAR]]) = MasterTable[[#This Row],[APPR]]))</f>
        <v>1</v>
      </c>
      <c r="AT67" s="8" t="b">
        <f>NOT(ISBLANK(MasterTable[[#This Row],[Total
Time]]))</f>
        <v>1</v>
      </c>
    </row>
    <row r="68" spans="4:46" ht="14.4" customHeight="1" x14ac:dyDescent="0.3">
      <c r="D68" s="22">
        <v>46056</v>
      </c>
      <c r="E68" s="8" t="s">
        <v>121</v>
      </c>
      <c r="F68" s="8" t="s">
        <v>44</v>
      </c>
      <c r="G68" s="8" t="s">
        <v>44</v>
      </c>
      <c r="I68" s="10">
        <v>1.7</v>
      </c>
      <c r="J68" s="10">
        <v>1.7</v>
      </c>
      <c r="K68" s="10">
        <f>MasterTable[[#This Row],[Total
Time]]</f>
        <v>1.7</v>
      </c>
      <c r="L68" s="10">
        <v>0</v>
      </c>
      <c r="M68" s="13">
        <v>0</v>
      </c>
      <c r="N68" s="13"/>
      <c r="O68" s="10">
        <v>0</v>
      </c>
      <c r="P68" s="10">
        <v>1.7</v>
      </c>
      <c r="Q68" s="14">
        <v>0</v>
      </c>
      <c r="R68" s="14">
        <v>0</v>
      </c>
      <c r="S68" s="10">
        <v>0</v>
      </c>
      <c r="T68" s="10">
        <v>0</v>
      </c>
      <c r="U68" s="14">
        <v>0</v>
      </c>
      <c r="V68" s="10">
        <v>0</v>
      </c>
      <c r="W68" s="11">
        <v>7</v>
      </c>
      <c r="X68" s="11">
        <v>7</v>
      </c>
      <c r="Y68" s="11">
        <v>0</v>
      </c>
      <c r="Z68" s="11">
        <v>0</v>
      </c>
      <c r="AA68" s="11">
        <f>MasterTable[[#This Row],[Landings
Night]]+MasterTable[[#This Row],[Landings
Day]]</f>
        <v>7</v>
      </c>
      <c r="AB68" s="10">
        <v>0</v>
      </c>
      <c r="AC68" s="10">
        <v>0</v>
      </c>
      <c r="AD68" s="11">
        <v>0</v>
      </c>
      <c r="AE68" s="21">
        <f>SUM(MasterTable[[#This Row],[ILS]:[PAR]])</f>
        <v>0</v>
      </c>
      <c r="AL68" s="11"/>
      <c r="AR68" s="91" t="str">
        <f>_xlfn.XLOOKUP(MasterTable[[#This Row],[Aircraft ID]],Aircraft!A:A,Aircraft!H:H)</f>
        <v>Airplane Single Engine Land</v>
      </c>
      <c r="AS68" s="8" t="b">
        <f>OR((SUM(MasterTable[[#This Row],[ILS]:[PAR]]) = MasterTable[[#This Row],[APPR]]))</f>
        <v>1</v>
      </c>
      <c r="AT68" s="8" t="b">
        <f>NOT(ISBLANK(MasterTable[[#This Row],[Total
Time]]))</f>
        <v>1</v>
      </c>
    </row>
    <row r="69" spans="4:46" ht="14.4" customHeight="1" x14ac:dyDescent="0.3">
      <c r="D69" s="22">
        <v>46055</v>
      </c>
      <c r="E69" s="8" t="s">
        <v>121</v>
      </c>
      <c r="F69" s="8" t="s">
        <v>44</v>
      </c>
      <c r="G69" s="8" t="s">
        <v>44</v>
      </c>
      <c r="I69" s="10">
        <v>1.6</v>
      </c>
      <c r="J69" s="10">
        <v>1.6</v>
      </c>
      <c r="K69" s="10">
        <f>MasterTable[[#This Row],[Total
Time]]</f>
        <v>1.6</v>
      </c>
      <c r="L69" s="10">
        <v>0</v>
      </c>
      <c r="M69" s="13">
        <v>0</v>
      </c>
      <c r="N69" s="13"/>
      <c r="O69" s="10">
        <v>0</v>
      </c>
      <c r="P69" s="10">
        <v>1.6</v>
      </c>
      <c r="Q69" s="14">
        <v>0</v>
      </c>
      <c r="R69" s="14">
        <v>0</v>
      </c>
      <c r="S69" s="10">
        <v>0</v>
      </c>
      <c r="T69" s="10">
        <v>0</v>
      </c>
      <c r="U69" s="14">
        <v>0</v>
      </c>
      <c r="V69" s="10">
        <v>0</v>
      </c>
      <c r="W69" s="11">
        <v>8</v>
      </c>
      <c r="X69" s="11">
        <v>8</v>
      </c>
      <c r="Y69" s="11">
        <v>0</v>
      </c>
      <c r="Z69" s="11">
        <v>0</v>
      </c>
      <c r="AA69" s="11">
        <f>MasterTable[[#This Row],[Landings
Night]]+MasterTable[[#This Row],[Landings
Day]]</f>
        <v>8</v>
      </c>
      <c r="AB69" s="10">
        <v>0</v>
      </c>
      <c r="AC69" s="10">
        <v>0</v>
      </c>
      <c r="AD69" s="11">
        <v>0</v>
      </c>
      <c r="AE69" s="21">
        <f>SUM(MasterTable[[#This Row],[ILS]:[PAR]])</f>
        <v>0</v>
      </c>
      <c r="AL69" s="11"/>
      <c r="AR69" s="91" t="str">
        <f>_xlfn.XLOOKUP(MasterTable[[#This Row],[Aircraft ID]],Aircraft!A:A,Aircraft!H:H)</f>
        <v>Airplane Single Engine Land</v>
      </c>
      <c r="AS69" s="8" t="b">
        <f>OR((SUM(MasterTable[[#This Row],[ILS]:[PAR]]) = MasterTable[[#This Row],[APPR]]))</f>
        <v>1</v>
      </c>
      <c r="AT69" s="8" t="b">
        <f>NOT(ISBLANK(MasterTable[[#This Row],[Total
Time]]))</f>
        <v>1</v>
      </c>
    </row>
    <row r="70" spans="4:46" ht="14.4" customHeight="1" x14ac:dyDescent="0.3">
      <c r="D70" s="22">
        <v>46044</v>
      </c>
      <c r="E70" s="8" t="s">
        <v>121</v>
      </c>
      <c r="F70" s="8" t="s">
        <v>44</v>
      </c>
      <c r="G70" s="8" t="s">
        <v>44</v>
      </c>
      <c r="I70" s="10">
        <v>1.5</v>
      </c>
      <c r="J70" s="10">
        <v>1.5</v>
      </c>
      <c r="K70" s="10">
        <f>MasterTable[[#This Row],[Total
Time]]</f>
        <v>1.5</v>
      </c>
      <c r="L70" s="10">
        <v>0</v>
      </c>
      <c r="M70" s="13">
        <v>0</v>
      </c>
      <c r="N70" s="13"/>
      <c r="O70" s="10">
        <v>0</v>
      </c>
      <c r="P70" s="10">
        <v>1.5</v>
      </c>
      <c r="Q70" s="14">
        <v>0</v>
      </c>
      <c r="R70" s="14">
        <v>0</v>
      </c>
      <c r="S70" s="10">
        <v>0</v>
      </c>
      <c r="T70" s="10">
        <v>0</v>
      </c>
      <c r="U70" s="14">
        <v>0</v>
      </c>
      <c r="V70" s="10">
        <v>0</v>
      </c>
      <c r="W70" s="11">
        <v>7</v>
      </c>
      <c r="X70" s="11">
        <v>7</v>
      </c>
      <c r="Y70" s="11">
        <v>0</v>
      </c>
      <c r="Z70" s="11">
        <v>0</v>
      </c>
      <c r="AA70" s="11">
        <f>MasterTable[[#This Row],[Landings
Night]]+MasterTable[[#This Row],[Landings
Day]]</f>
        <v>7</v>
      </c>
      <c r="AB70" s="10">
        <v>0.3</v>
      </c>
      <c r="AC70" s="10">
        <v>0</v>
      </c>
      <c r="AD70" s="11">
        <v>0</v>
      </c>
      <c r="AE70" s="21">
        <f>SUM(MasterTable[[#This Row],[ILS]:[PAR]])</f>
        <v>0</v>
      </c>
      <c r="AL70" s="11"/>
      <c r="AR70" s="91" t="str">
        <f>_xlfn.XLOOKUP(MasterTable[[#This Row],[Aircraft ID]],Aircraft!A:A,Aircraft!H:H)</f>
        <v>Airplane Single Engine Land</v>
      </c>
      <c r="AS70" s="8" t="b">
        <f>OR((SUM(MasterTable[[#This Row],[ILS]:[PAR]]) = MasterTable[[#This Row],[APPR]]))</f>
        <v>1</v>
      </c>
      <c r="AT70" s="8" t="b">
        <f>NOT(ISBLANK(MasterTable[[#This Row],[Total
Time]]))</f>
        <v>1</v>
      </c>
    </row>
    <row r="71" spans="4:46" ht="14.4" customHeight="1" x14ac:dyDescent="0.3">
      <c r="D71" s="22">
        <v>46043</v>
      </c>
      <c r="E71" s="8" t="s">
        <v>121</v>
      </c>
      <c r="F71" s="8" t="s">
        <v>44</v>
      </c>
      <c r="G71" s="8" t="s">
        <v>44</v>
      </c>
      <c r="I71" s="10">
        <v>1.6</v>
      </c>
      <c r="J71" s="10">
        <v>1.6</v>
      </c>
      <c r="K71" s="10">
        <f>MasterTable[[#This Row],[Total
Time]]</f>
        <v>1.6</v>
      </c>
      <c r="L71" s="10">
        <v>0</v>
      </c>
      <c r="M71" s="13">
        <v>0</v>
      </c>
      <c r="N71" s="13"/>
      <c r="O71" s="10">
        <v>0</v>
      </c>
      <c r="Q71" s="14">
        <v>0</v>
      </c>
      <c r="R71" s="14">
        <v>0</v>
      </c>
      <c r="S71" s="10">
        <v>0</v>
      </c>
      <c r="T71" s="10">
        <v>0</v>
      </c>
      <c r="U71" s="14">
        <v>0</v>
      </c>
      <c r="V71" s="10">
        <v>0</v>
      </c>
      <c r="W71" s="11">
        <v>2</v>
      </c>
      <c r="X71" s="11">
        <v>2</v>
      </c>
      <c r="Y71" s="11">
        <v>0</v>
      </c>
      <c r="Z71" s="11">
        <v>0</v>
      </c>
      <c r="AA71" s="11">
        <f>MasterTable[[#This Row],[Landings
Night]]+MasterTable[[#This Row],[Landings
Day]]</f>
        <v>2</v>
      </c>
      <c r="AB71" s="10">
        <v>0</v>
      </c>
      <c r="AC71" s="10">
        <v>0</v>
      </c>
      <c r="AD71" s="11">
        <v>0</v>
      </c>
      <c r="AE71" s="21">
        <f>SUM(MasterTable[[#This Row],[ILS]:[PAR]])</f>
        <v>0</v>
      </c>
      <c r="AL71" s="11"/>
      <c r="AR71" s="91" t="str">
        <f>_xlfn.XLOOKUP(MasterTable[[#This Row],[Aircraft ID]],Aircraft!A:A,Aircraft!H:H)</f>
        <v>Airplane Single Engine Land</v>
      </c>
      <c r="AS71" s="8" t="b">
        <f>OR((SUM(MasterTable[[#This Row],[ILS]:[PAR]]) = MasterTable[[#This Row],[APPR]]))</f>
        <v>1</v>
      </c>
      <c r="AT71" s="8" t="b">
        <f>NOT(ISBLANK(MasterTable[[#This Row],[Total
Time]]))</f>
        <v>1</v>
      </c>
    </row>
    <row r="72" spans="4:46" ht="14.4" customHeight="1" x14ac:dyDescent="0.3">
      <c r="D72" s="22">
        <v>46043</v>
      </c>
      <c r="E72" s="8" t="s">
        <v>121</v>
      </c>
      <c r="F72" s="8" t="s">
        <v>44</v>
      </c>
      <c r="G72" s="8" t="s">
        <v>44</v>
      </c>
      <c r="I72" s="10">
        <v>1.6</v>
      </c>
      <c r="J72" s="10">
        <v>1.6</v>
      </c>
      <c r="K72" s="10">
        <f>MasterTable[[#This Row],[Total
Time]]</f>
        <v>1.6</v>
      </c>
      <c r="L72" s="10">
        <v>0</v>
      </c>
      <c r="M72" s="13">
        <v>0</v>
      </c>
      <c r="N72" s="13"/>
      <c r="O72" s="10">
        <v>0</v>
      </c>
      <c r="P72" s="10">
        <v>1.6</v>
      </c>
      <c r="Q72" s="14">
        <v>0</v>
      </c>
      <c r="R72" s="14">
        <v>0</v>
      </c>
      <c r="S72" s="10">
        <v>0</v>
      </c>
      <c r="T72" s="10">
        <v>0</v>
      </c>
      <c r="U72" s="14">
        <v>0</v>
      </c>
      <c r="V72" s="10">
        <v>0</v>
      </c>
      <c r="W72" s="11">
        <v>4</v>
      </c>
      <c r="X72" s="11">
        <v>4</v>
      </c>
      <c r="Y72" s="11">
        <v>0</v>
      </c>
      <c r="Z72" s="11">
        <v>0</v>
      </c>
      <c r="AA72" s="11">
        <f>MasterTable[[#This Row],[Landings
Night]]+MasterTable[[#This Row],[Landings
Day]]</f>
        <v>4</v>
      </c>
      <c r="AB72" s="10">
        <v>0</v>
      </c>
      <c r="AC72" s="10">
        <v>0</v>
      </c>
      <c r="AD72" s="11">
        <v>0</v>
      </c>
      <c r="AE72" s="21">
        <f>SUM(MasterTable[[#This Row],[ILS]:[PAR]])</f>
        <v>0</v>
      </c>
      <c r="AL72" s="11"/>
      <c r="AR72" s="91" t="str">
        <f>_xlfn.XLOOKUP(MasterTable[[#This Row],[Aircraft ID]],Aircraft!A:A,Aircraft!H:H)</f>
        <v>Airplane Single Engine Land</v>
      </c>
      <c r="AS72" s="8" t="b">
        <f>OR((SUM(MasterTable[[#This Row],[ILS]:[PAR]]) = MasterTable[[#This Row],[APPR]]))</f>
        <v>1</v>
      </c>
      <c r="AT72" s="8" t="b">
        <f>NOT(ISBLANK(MasterTable[[#This Row],[Total
Time]]))</f>
        <v>1</v>
      </c>
    </row>
    <row r="73" spans="4:46" ht="14.4" customHeight="1" x14ac:dyDescent="0.3">
      <c r="D73" s="22">
        <v>46042</v>
      </c>
      <c r="E73" s="8" t="s">
        <v>121</v>
      </c>
      <c r="F73" s="8" t="s">
        <v>44</v>
      </c>
      <c r="G73" s="8" t="s">
        <v>44</v>
      </c>
      <c r="I73" s="10">
        <v>1.7</v>
      </c>
      <c r="J73" s="10">
        <v>1.7</v>
      </c>
      <c r="K73" s="10">
        <f>MasterTable[[#This Row],[Total
Time]]</f>
        <v>1.7</v>
      </c>
      <c r="L73" s="10">
        <v>0</v>
      </c>
      <c r="M73" s="13">
        <v>0</v>
      </c>
      <c r="N73" s="13"/>
      <c r="O73" s="10">
        <v>0</v>
      </c>
      <c r="P73" s="10">
        <v>1.7</v>
      </c>
      <c r="Q73" s="14">
        <v>0</v>
      </c>
      <c r="R73" s="14">
        <v>0</v>
      </c>
      <c r="S73" s="10">
        <v>0</v>
      </c>
      <c r="T73" s="10">
        <v>0</v>
      </c>
      <c r="U73" s="14">
        <v>0</v>
      </c>
      <c r="V73" s="10">
        <v>0</v>
      </c>
      <c r="W73" s="11">
        <v>4</v>
      </c>
      <c r="X73" s="11">
        <v>4</v>
      </c>
      <c r="Y73" s="11">
        <v>0</v>
      </c>
      <c r="Z73" s="11">
        <v>0</v>
      </c>
      <c r="AA73" s="11">
        <f>MasterTable[[#This Row],[Landings
Night]]+MasterTable[[#This Row],[Landings
Day]]</f>
        <v>4</v>
      </c>
      <c r="AB73" s="10">
        <v>0</v>
      </c>
      <c r="AC73" s="10">
        <v>1.3</v>
      </c>
      <c r="AD73" s="11">
        <v>0</v>
      </c>
      <c r="AE73" s="21">
        <f>SUM(MasterTable[[#This Row],[ILS]:[PAR]])</f>
        <v>0</v>
      </c>
      <c r="AL73" s="11"/>
      <c r="AR73" s="91" t="str">
        <f>_xlfn.XLOOKUP(MasterTable[[#This Row],[Aircraft ID]],Aircraft!A:A,Aircraft!H:H)</f>
        <v>Airplane Single Engine Land</v>
      </c>
      <c r="AS73" s="8" t="b">
        <f>OR((SUM(MasterTable[[#This Row],[ILS]:[PAR]]) = MasterTable[[#This Row],[APPR]]))</f>
        <v>1</v>
      </c>
      <c r="AT73" s="8" t="b">
        <f>NOT(ISBLANK(MasterTable[[#This Row],[Total
Time]]))</f>
        <v>1</v>
      </c>
    </row>
    <row r="74" spans="4:46" ht="14.4" customHeight="1" x14ac:dyDescent="0.3">
      <c r="D74" s="22">
        <v>46037</v>
      </c>
      <c r="E74" s="8" t="s">
        <v>121</v>
      </c>
      <c r="F74" s="8" t="s">
        <v>44</v>
      </c>
      <c r="G74" s="8" t="s">
        <v>44</v>
      </c>
      <c r="I74" s="10">
        <v>1.3</v>
      </c>
      <c r="J74" s="10">
        <v>1.3</v>
      </c>
      <c r="K74" s="10">
        <f>MasterTable[[#This Row],[Total
Time]]</f>
        <v>1.3</v>
      </c>
      <c r="L74" s="10">
        <v>0</v>
      </c>
      <c r="M74" s="13">
        <v>0</v>
      </c>
      <c r="N74" s="13"/>
      <c r="O74" s="10">
        <v>0</v>
      </c>
      <c r="P74" s="10">
        <v>0</v>
      </c>
      <c r="Q74" s="14">
        <v>0</v>
      </c>
      <c r="R74" s="14">
        <v>0</v>
      </c>
      <c r="S74" s="10">
        <v>0</v>
      </c>
      <c r="T74" s="10">
        <v>0</v>
      </c>
      <c r="U74" s="14">
        <v>0</v>
      </c>
      <c r="V74" s="10">
        <v>0</v>
      </c>
      <c r="W74" s="11">
        <v>1</v>
      </c>
      <c r="X74" s="11">
        <v>1</v>
      </c>
      <c r="Y74" s="11">
        <v>0</v>
      </c>
      <c r="Z74" s="11">
        <v>0</v>
      </c>
      <c r="AA74" s="11">
        <f>MasterTable[[#This Row],[Landings
Night]]+MasterTable[[#This Row],[Landings
Day]]</f>
        <v>1</v>
      </c>
      <c r="AB74" s="10">
        <v>0</v>
      </c>
      <c r="AC74" s="10">
        <v>0</v>
      </c>
      <c r="AD74" s="11">
        <v>0</v>
      </c>
      <c r="AE74" s="21">
        <f>SUM(MasterTable[[#This Row],[ILS]:[PAR]])</f>
        <v>0</v>
      </c>
      <c r="AL74" s="11"/>
      <c r="AR74" s="91" t="str">
        <f>_xlfn.XLOOKUP(MasterTable[[#This Row],[Aircraft ID]],Aircraft!A:A,Aircraft!H:H)</f>
        <v>Airplane Single Engine Land</v>
      </c>
      <c r="AS74" s="8" t="b">
        <f>OR((SUM(MasterTable[[#This Row],[ILS]:[PAR]]) = MasterTable[[#This Row],[APPR]]))</f>
        <v>1</v>
      </c>
      <c r="AT74" s="8" t="b">
        <f>NOT(ISBLANK(MasterTable[[#This Row],[Total
Time]]))</f>
        <v>1</v>
      </c>
    </row>
    <row r="75" spans="4:46" ht="14.4" customHeight="1" x14ac:dyDescent="0.3">
      <c r="D75" s="22">
        <v>46036</v>
      </c>
      <c r="E75" s="8" t="s">
        <v>121</v>
      </c>
      <c r="F75" s="8" t="s">
        <v>44</v>
      </c>
      <c r="G75" s="8" t="s">
        <v>44</v>
      </c>
      <c r="I75" s="10">
        <v>1.7</v>
      </c>
      <c r="J75" s="10">
        <v>1.7</v>
      </c>
      <c r="K75" s="10">
        <f>MasterTable[[#This Row],[Total
Time]]</f>
        <v>1.7</v>
      </c>
      <c r="L75" s="10">
        <v>0</v>
      </c>
      <c r="M75" s="13">
        <v>0</v>
      </c>
      <c r="N75" s="13"/>
      <c r="O75" s="10">
        <v>0</v>
      </c>
      <c r="P75" s="10">
        <v>1.7</v>
      </c>
      <c r="Q75" s="14">
        <v>0</v>
      </c>
      <c r="R75" s="14">
        <v>0</v>
      </c>
      <c r="S75" s="10">
        <v>0</v>
      </c>
      <c r="T75" s="10">
        <v>0</v>
      </c>
      <c r="U75" s="14">
        <v>0</v>
      </c>
      <c r="V75" s="10">
        <v>0</v>
      </c>
      <c r="W75" s="11">
        <v>7</v>
      </c>
      <c r="X75" s="11">
        <v>7</v>
      </c>
      <c r="Y75" s="11">
        <v>0</v>
      </c>
      <c r="Z75" s="11">
        <v>0</v>
      </c>
      <c r="AA75" s="11">
        <f>MasterTable[[#This Row],[Landings
Night]]+MasterTable[[#This Row],[Landings
Day]]</f>
        <v>7</v>
      </c>
      <c r="AB75" s="10">
        <v>0</v>
      </c>
      <c r="AD75" s="11">
        <v>0</v>
      </c>
      <c r="AE75" s="21">
        <f>SUM(MasterTable[[#This Row],[ILS]:[PAR]])</f>
        <v>0</v>
      </c>
      <c r="AL75" s="11"/>
      <c r="AR75" s="91" t="str">
        <f>_xlfn.XLOOKUP(MasterTable[[#This Row],[Aircraft ID]],Aircraft!A:A,Aircraft!H:H)</f>
        <v>Airplane Single Engine Land</v>
      </c>
      <c r="AS75" s="8" t="b">
        <f>OR((SUM(MasterTable[[#This Row],[ILS]:[PAR]]) = MasterTable[[#This Row],[APPR]]))</f>
        <v>1</v>
      </c>
      <c r="AT75" s="8" t="b">
        <f>NOT(ISBLANK(MasterTable[[#This Row],[Total
Time]]))</f>
        <v>1</v>
      </c>
    </row>
    <row r="76" spans="4:46" ht="14.4" customHeight="1" x14ac:dyDescent="0.3">
      <c r="D76" s="22">
        <v>46035</v>
      </c>
      <c r="E76" s="8" t="s">
        <v>121</v>
      </c>
      <c r="F76" s="8" t="s">
        <v>44</v>
      </c>
      <c r="G76" s="8" t="s">
        <v>44</v>
      </c>
      <c r="I76" s="10">
        <v>1.6</v>
      </c>
      <c r="J76" s="10">
        <v>1.6</v>
      </c>
      <c r="K76" s="10">
        <f>MasterTable[[#This Row],[Total
Time]]</f>
        <v>1.6</v>
      </c>
      <c r="L76" s="10">
        <v>0</v>
      </c>
      <c r="M76" s="13">
        <v>0</v>
      </c>
      <c r="N76" s="13"/>
      <c r="O76" s="10">
        <v>0</v>
      </c>
      <c r="P76" s="10">
        <v>1.6</v>
      </c>
      <c r="Q76" s="14">
        <v>0</v>
      </c>
      <c r="R76" s="14">
        <v>0</v>
      </c>
      <c r="S76" s="10">
        <v>0</v>
      </c>
      <c r="T76" s="10">
        <v>0</v>
      </c>
      <c r="U76" s="14">
        <v>0</v>
      </c>
      <c r="V76" s="10">
        <v>0</v>
      </c>
      <c r="W76" s="11">
        <v>3</v>
      </c>
      <c r="X76" s="11">
        <v>3</v>
      </c>
      <c r="Y76" s="11">
        <v>0</v>
      </c>
      <c r="Z76" s="11">
        <v>0</v>
      </c>
      <c r="AA76" s="11">
        <f>MasterTable[[#This Row],[Landings
Night]]+MasterTable[[#This Row],[Landings
Day]]</f>
        <v>3</v>
      </c>
      <c r="AB76" s="10">
        <v>0</v>
      </c>
      <c r="AC76" s="10">
        <v>0</v>
      </c>
      <c r="AD76" s="11">
        <v>0</v>
      </c>
      <c r="AE76" s="21">
        <f>SUM(MasterTable[[#This Row],[ILS]:[PAR]])</f>
        <v>0</v>
      </c>
      <c r="AL76" s="11"/>
      <c r="AR76" s="91" t="str">
        <f>_xlfn.XLOOKUP(MasterTable[[#This Row],[Aircraft ID]],Aircraft!A:A,Aircraft!H:H)</f>
        <v>Airplane Single Engine Land</v>
      </c>
      <c r="AS76" s="8" t="b">
        <f>OR((SUM(MasterTable[[#This Row],[ILS]:[PAR]]) = MasterTable[[#This Row],[APPR]]))</f>
        <v>1</v>
      </c>
      <c r="AT76" s="8" t="b">
        <f>NOT(ISBLANK(MasterTable[[#This Row],[Total
Time]]))</f>
        <v>1</v>
      </c>
    </row>
    <row r="77" spans="4:46" ht="14.4" customHeight="1" x14ac:dyDescent="0.3">
      <c r="D77" s="22">
        <v>46034</v>
      </c>
      <c r="E77" s="8" t="s">
        <v>121</v>
      </c>
      <c r="F77" s="8" t="s">
        <v>44</v>
      </c>
      <c r="G77" s="8" t="s">
        <v>44</v>
      </c>
      <c r="I77" s="10">
        <v>1.5</v>
      </c>
      <c r="J77" s="10">
        <v>1.5</v>
      </c>
      <c r="K77" s="10">
        <f>MasterTable[[#This Row],[Total
Time]]</f>
        <v>1.5</v>
      </c>
      <c r="L77" s="10">
        <v>0</v>
      </c>
      <c r="M77" s="13">
        <v>0</v>
      </c>
      <c r="N77" s="13"/>
      <c r="O77" s="10">
        <v>0</v>
      </c>
      <c r="P77" s="10">
        <v>1.5</v>
      </c>
      <c r="Q77" s="14">
        <v>0</v>
      </c>
      <c r="R77" s="14">
        <v>0</v>
      </c>
      <c r="S77" s="10">
        <v>0</v>
      </c>
      <c r="T77" s="10">
        <v>0</v>
      </c>
      <c r="U77" s="14">
        <v>0</v>
      </c>
      <c r="V77" s="10">
        <v>0</v>
      </c>
      <c r="W77" s="11">
        <v>6</v>
      </c>
      <c r="X77" s="11">
        <v>6</v>
      </c>
      <c r="Y77" s="11">
        <v>0</v>
      </c>
      <c r="Z77" s="11">
        <v>0</v>
      </c>
      <c r="AA77" s="11">
        <f>MasterTable[[#This Row],[Landings
Night]]+MasterTable[[#This Row],[Landings
Day]]</f>
        <v>6</v>
      </c>
      <c r="AB77" s="10">
        <v>0</v>
      </c>
      <c r="AC77" s="10">
        <v>0</v>
      </c>
      <c r="AD77" s="11">
        <v>0</v>
      </c>
      <c r="AE77" s="21">
        <f>SUM(MasterTable[[#This Row],[ILS]:[PAR]])</f>
        <v>0</v>
      </c>
      <c r="AL77" s="11"/>
      <c r="AR77" s="91" t="str">
        <f>_xlfn.XLOOKUP(MasterTable[[#This Row],[Aircraft ID]],Aircraft!A:A,Aircraft!H:H)</f>
        <v>Airplane Single Engine Land</v>
      </c>
      <c r="AS77" s="8" t="b">
        <f>OR((SUM(MasterTable[[#This Row],[ILS]:[PAR]]) = MasterTable[[#This Row],[APPR]]))</f>
        <v>1</v>
      </c>
      <c r="AT77" s="8" t="b">
        <f>NOT(ISBLANK(MasterTable[[#This Row],[Total
Time]]))</f>
        <v>1</v>
      </c>
    </row>
    <row r="78" spans="4:46" ht="14.4" customHeight="1" x14ac:dyDescent="0.3">
      <c r="D78" s="22">
        <v>46034</v>
      </c>
      <c r="E78" s="8" t="s">
        <v>121</v>
      </c>
      <c r="F78" s="8" t="s">
        <v>44</v>
      </c>
      <c r="G78" s="8" t="s">
        <v>44</v>
      </c>
      <c r="I78" s="10">
        <v>1.5</v>
      </c>
      <c r="J78" s="10">
        <v>1.5</v>
      </c>
      <c r="K78" s="10">
        <f>MasterTable[[#This Row],[Total
Time]]</f>
        <v>1.5</v>
      </c>
      <c r="L78" s="10">
        <v>0</v>
      </c>
      <c r="M78" s="13">
        <v>0</v>
      </c>
      <c r="N78" s="13"/>
      <c r="O78" s="10">
        <v>0</v>
      </c>
      <c r="P78" s="10">
        <v>1.5</v>
      </c>
      <c r="Q78" s="14">
        <v>0</v>
      </c>
      <c r="R78" s="14">
        <v>0</v>
      </c>
      <c r="S78" s="10">
        <v>0</v>
      </c>
      <c r="T78" s="10">
        <v>0</v>
      </c>
      <c r="U78" s="14">
        <v>0</v>
      </c>
      <c r="V78" s="10">
        <v>0</v>
      </c>
      <c r="W78" s="11">
        <v>5</v>
      </c>
      <c r="X78" s="11">
        <v>5</v>
      </c>
      <c r="Y78" s="11">
        <v>0</v>
      </c>
      <c r="Z78" s="11">
        <v>0</v>
      </c>
      <c r="AA78" s="11">
        <f>MasterTable[[#This Row],[Landings
Night]]+MasterTable[[#This Row],[Landings
Day]]</f>
        <v>5</v>
      </c>
      <c r="AB78" s="10">
        <v>0</v>
      </c>
      <c r="AC78" s="10">
        <v>0</v>
      </c>
      <c r="AD78" s="11">
        <v>0</v>
      </c>
      <c r="AE78" s="21">
        <f>SUM(MasterTable[[#This Row],[ILS]:[PAR]])</f>
        <v>0</v>
      </c>
      <c r="AL78" s="11"/>
      <c r="AR78" s="91" t="str">
        <f>_xlfn.XLOOKUP(MasterTable[[#This Row],[Aircraft ID]],Aircraft!A:A,Aircraft!H:H)</f>
        <v>Airplane Single Engine Land</v>
      </c>
      <c r="AS78" s="8" t="b">
        <f>OR((SUM(MasterTable[[#This Row],[ILS]:[PAR]]) = MasterTable[[#This Row],[APPR]]))</f>
        <v>1</v>
      </c>
      <c r="AT78" s="8" t="b">
        <f>NOT(ISBLANK(MasterTable[[#This Row],[Total
Time]]))</f>
        <v>1</v>
      </c>
    </row>
    <row r="79" spans="4:46" ht="14.4" customHeight="1" x14ac:dyDescent="0.3">
      <c r="D79" s="22">
        <v>46029</v>
      </c>
      <c r="E79" s="8" t="s">
        <v>121</v>
      </c>
      <c r="F79" s="8" t="s">
        <v>44</v>
      </c>
      <c r="G79" s="8" t="s">
        <v>44</v>
      </c>
      <c r="I79" s="10">
        <v>1.6</v>
      </c>
      <c r="J79" s="10">
        <v>1.6</v>
      </c>
      <c r="K79" s="10">
        <f>MasterTable[[#This Row],[Total
Time]]</f>
        <v>1.6</v>
      </c>
      <c r="L79" s="10">
        <v>0</v>
      </c>
      <c r="M79" s="13">
        <v>0</v>
      </c>
      <c r="N79" s="13"/>
      <c r="O79" s="10">
        <v>0</v>
      </c>
      <c r="P79" s="10">
        <v>1.6</v>
      </c>
      <c r="Q79" s="14">
        <v>0</v>
      </c>
      <c r="R79" s="14">
        <v>0</v>
      </c>
      <c r="S79" s="10">
        <v>0</v>
      </c>
      <c r="T79" s="10">
        <v>0</v>
      </c>
      <c r="U79" s="14">
        <v>0</v>
      </c>
      <c r="V79" s="10">
        <v>0</v>
      </c>
      <c r="W79" s="11">
        <v>10</v>
      </c>
      <c r="X79" s="11">
        <v>10</v>
      </c>
      <c r="Y79" s="11">
        <v>0</v>
      </c>
      <c r="Z79" s="11">
        <v>0</v>
      </c>
      <c r="AA79" s="11">
        <f>MasterTable[[#This Row],[Landings
Night]]+MasterTable[[#This Row],[Landings
Day]]</f>
        <v>10</v>
      </c>
      <c r="AB79" s="10">
        <v>0</v>
      </c>
      <c r="AC79" s="10">
        <v>0</v>
      </c>
      <c r="AD79" s="11">
        <v>0</v>
      </c>
      <c r="AE79" s="21">
        <f>SUM(MasterTable[[#This Row],[ILS]:[PAR]])</f>
        <v>0</v>
      </c>
      <c r="AL79" s="11"/>
      <c r="AR79" s="91" t="str">
        <f>_xlfn.XLOOKUP(MasterTable[[#This Row],[Aircraft ID]],Aircraft!A:A,Aircraft!H:H)</f>
        <v>Airplane Single Engine Land</v>
      </c>
      <c r="AS79" s="8" t="b">
        <f>OR((SUM(MasterTable[[#This Row],[ILS]:[PAR]]) = MasterTable[[#This Row],[APPR]]))</f>
        <v>1</v>
      </c>
      <c r="AT79" s="8" t="b">
        <f>NOT(ISBLANK(MasterTable[[#This Row],[Total
Time]]))</f>
        <v>1</v>
      </c>
    </row>
    <row r="80" spans="4:46" ht="14.4" customHeight="1" x14ac:dyDescent="0.3">
      <c r="D80" s="22">
        <v>46020</v>
      </c>
      <c r="E80" s="8" t="s">
        <v>29</v>
      </c>
      <c r="F80" s="8" t="s">
        <v>54</v>
      </c>
      <c r="G80" s="8" t="s">
        <v>54</v>
      </c>
      <c r="I80" s="10">
        <v>0.9</v>
      </c>
      <c r="J80" s="10">
        <v>0.9</v>
      </c>
      <c r="K80" s="10">
        <v>0</v>
      </c>
      <c r="L80" s="10">
        <v>0</v>
      </c>
      <c r="M80" s="13">
        <v>0</v>
      </c>
      <c r="N80" s="13"/>
      <c r="O80" s="10">
        <v>0.9</v>
      </c>
      <c r="P80" s="10">
        <v>0</v>
      </c>
      <c r="Q80" s="14">
        <v>0</v>
      </c>
      <c r="R80" s="14">
        <v>0</v>
      </c>
      <c r="S80" s="10">
        <v>0</v>
      </c>
      <c r="T80" s="10">
        <v>0</v>
      </c>
      <c r="U80" s="14">
        <v>0</v>
      </c>
      <c r="V80" s="10">
        <v>0</v>
      </c>
      <c r="W80" s="11">
        <v>1</v>
      </c>
      <c r="X80" s="11">
        <v>1</v>
      </c>
      <c r="Y80" s="11">
        <v>0</v>
      </c>
      <c r="Z80" s="11">
        <v>0</v>
      </c>
      <c r="AA80" s="11">
        <f>MasterTable[[#This Row],[Landings
Night]]+MasterTable[[#This Row],[Landings
Day]]</f>
        <v>1</v>
      </c>
      <c r="AB80" s="10">
        <v>0</v>
      </c>
      <c r="AC80" s="10">
        <v>0</v>
      </c>
      <c r="AD80" s="11">
        <v>0</v>
      </c>
      <c r="AE80" s="21">
        <f>SUM(MasterTable[[#This Row],[ILS]:[PAR]])</f>
        <v>0</v>
      </c>
      <c r="AL80" s="11"/>
      <c r="AR80" s="91" t="str">
        <f>_xlfn.XLOOKUP(MasterTable[[#This Row],[Aircraft ID]],Aircraft!A:A,Aircraft!H:H)</f>
        <v>Airplane Single Engine Land</v>
      </c>
      <c r="AS80" s="8" t="b">
        <f>OR((SUM(MasterTable[[#This Row],[ILS]:[PAR]]) = MasterTable[[#This Row],[APPR]]))</f>
        <v>1</v>
      </c>
      <c r="AT80" s="8" t="b">
        <f>NOT(ISBLANK(MasterTable[[#This Row],[Total
Time]]))</f>
        <v>1</v>
      </c>
    </row>
    <row r="81" spans="4:46" ht="14.4" customHeight="1" x14ac:dyDescent="0.3">
      <c r="D81" s="22">
        <v>46019</v>
      </c>
      <c r="E81" s="8" t="s">
        <v>29</v>
      </c>
      <c r="F81" s="8" t="s">
        <v>54</v>
      </c>
      <c r="G81" s="8" t="s">
        <v>54</v>
      </c>
      <c r="I81" s="10">
        <v>0.7</v>
      </c>
      <c r="J81" s="10">
        <v>0.7</v>
      </c>
      <c r="K81" s="10">
        <v>0</v>
      </c>
      <c r="L81" s="10">
        <v>0</v>
      </c>
      <c r="M81" s="13">
        <v>0</v>
      </c>
      <c r="N81" s="13"/>
      <c r="O81" s="10">
        <v>0</v>
      </c>
      <c r="P81" s="10">
        <v>0</v>
      </c>
      <c r="Q81" s="14">
        <v>0</v>
      </c>
      <c r="R81" s="14">
        <v>0</v>
      </c>
      <c r="S81" s="10">
        <v>0</v>
      </c>
      <c r="T81" s="10">
        <v>0</v>
      </c>
      <c r="U81" s="14">
        <v>0</v>
      </c>
      <c r="V81" s="10">
        <v>0</v>
      </c>
      <c r="W81" s="11">
        <v>6</v>
      </c>
      <c r="X81" s="11">
        <v>6</v>
      </c>
      <c r="Y81" s="11">
        <v>0</v>
      </c>
      <c r="Z81" s="11">
        <v>0</v>
      </c>
      <c r="AA81" s="11">
        <f>MasterTable[[#This Row],[Landings
Night]]+MasterTable[[#This Row],[Landings
Day]]</f>
        <v>6</v>
      </c>
      <c r="AB81" s="10">
        <v>0</v>
      </c>
      <c r="AC81" s="10">
        <v>0</v>
      </c>
      <c r="AD81" s="11">
        <v>0</v>
      </c>
      <c r="AE81" s="21">
        <f>SUM(MasterTable[[#This Row],[ILS]:[PAR]])</f>
        <v>0</v>
      </c>
      <c r="AL81" s="11"/>
      <c r="AR81" s="91" t="str">
        <f>_xlfn.XLOOKUP(MasterTable[[#This Row],[Aircraft ID]],Aircraft!A:A,Aircraft!H:H)</f>
        <v>Airplane Single Engine Land</v>
      </c>
      <c r="AS81" s="8" t="b">
        <f>OR((SUM(MasterTable[[#This Row],[ILS]:[PAR]]) = MasterTable[[#This Row],[APPR]]))</f>
        <v>1</v>
      </c>
      <c r="AT81" s="8" t="b">
        <f>NOT(ISBLANK(MasterTable[[#This Row],[Total
Time]]))</f>
        <v>1</v>
      </c>
    </row>
    <row r="82" spans="4:46" ht="14.4" customHeight="1" x14ac:dyDescent="0.3">
      <c r="D82" s="22">
        <v>46010</v>
      </c>
      <c r="E82" s="8" t="s">
        <v>121</v>
      </c>
      <c r="F82" s="8" t="s">
        <v>44</v>
      </c>
      <c r="G82" s="8" t="s">
        <v>44</v>
      </c>
      <c r="I82" s="10">
        <v>0.6</v>
      </c>
      <c r="J82" s="10">
        <v>0.6</v>
      </c>
      <c r="K82" s="10">
        <f>MasterTable[[#This Row],[Total
Time]]</f>
        <v>0.6</v>
      </c>
      <c r="L82" s="10">
        <v>0</v>
      </c>
      <c r="M82" s="13">
        <v>0</v>
      </c>
      <c r="N82" s="13"/>
      <c r="O82" s="10">
        <v>0</v>
      </c>
      <c r="P82" s="10">
        <v>0.6</v>
      </c>
      <c r="Q82" s="14">
        <v>0</v>
      </c>
      <c r="R82" s="14">
        <v>0</v>
      </c>
      <c r="S82" s="10">
        <v>0</v>
      </c>
      <c r="T82" s="10">
        <v>0</v>
      </c>
      <c r="U82" s="14">
        <v>0</v>
      </c>
      <c r="V82" s="10">
        <v>0</v>
      </c>
      <c r="W82" s="11">
        <v>6</v>
      </c>
      <c r="X82" s="11">
        <v>6</v>
      </c>
      <c r="Y82" s="11">
        <v>0</v>
      </c>
      <c r="Z82" s="11">
        <v>0</v>
      </c>
      <c r="AA82" s="11">
        <f>MasterTable[[#This Row],[Landings
Night]]+MasterTable[[#This Row],[Landings
Day]]</f>
        <v>6</v>
      </c>
      <c r="AC82" s="10">
        <v>0</v>
      </c>
      <c r="AE82" s="21">
        <f>SUM(MasterTable[[#This Row],[ILS]:[PAR]])</f>
        <v>0</v>
      </c>
      <c r="AL82" s="11"/>
      <c r="AM82" s="8" t="s">
        <v>223</v>
      </c>
      <c r="AR82" s="91" t="str">
        <f>_xlfn.XLOOKUP(MasterTable[[#This Row],[Aircraft ID]],Aircraft!A:A,Aircraft!H:H)</f>
        <v>Airplane Single Engine Land</v>
      </c>
      <c r="AS82" s="8" t="b">
        <f>OR((SUM(MasterTable[[#This Row],[ILS]:[PAR]]) = MasterTable[[#This Row],[APPR]]))</f>
        <v>1</v>
      </c>
      <c r="AT82" s="8" t="b">
        <f>NOT(ISBLANK(MasterTable[[#This Row],[Total
Time]]))</f>
        <v>1</v>
      </c>
    </row>
    <row r="83" spans="4:46" ht="14.4" customHeight="1" x14ac:dyDescent="0.3">
      <c r="D83" s="22">
        <v>46010</v>
      </c>
      <c r="E83" s="8" t="s">
        <v>121</v>
      </c>
      <c r="F83" s="8" t="s">
        <v>44</v>
      </c>
      <c r="G83" s="8" t="s">
        <v>44</v>
      </c>
      <c r="I83" s="10">
        <v>0.7</v>
      </c>
      <c r="J83" s="10">
        <v>0.7</v>
      </c>
      <c r="K83" s="10">
        <f>MasterTable[[#This Row],[Total
Time]]</f>
        <v>0.7</v>
      </c>
      <c r="L83" s="10">
        <v>0</v>
      </c>
      <c r="M83" s="13">
        <v>0</v>
      </c>
      <c r="N83" s="13"/>
      <c r="O83" s="10">
        <v>0</v>
      </c>
      <c r="P83" s="10">
        <v>0.7</v>
      </c>
      <c r="Q83" s="14">
        <v>0</v>
      </c>
      <c r="R83" s="14">
        <v>0</v>
      </c>
      <c r="S83" s="10">
        <v>0</v>
      </c>
      <c r="T83" s="10">
        <v>0</v>
      </c>
      <c r="U83" s="14">
        <v>0</v>
      </c>
      <c r="V83" s="10">
        <v>0</v>
      </c>
      <c r="W83" s="11">
        <v>4</v>
      </c>
      <c r="X83" s="11">
        <v>4</v>
      </c>
      <c r="Y83" s="11">
        <v>0</v>
      </c>
      <c r="Z83" s="11">
        <v>0</v>
      </c>
      <c r="AA83" s="11">
        <f>MasterTable[[#This Row],[Landings
Night]]+MasterTable[[#This Row],[Landings
Day]]</f>
        <v>4</v>
      </c>
      <c r="AC83" s="10">
        <v>0</v>
      </c>
      <c r="AE83" s="21">
        <f>SUM(MasterTable[[#This Row],[ILS]:[PAR]])</f>
        <v>0</v>
      </c>
      <c r="AL83" s="11"/>
      <c r="AR83" s="91" t="str">
        <f>_xlfn.XLOOKUP(MasterTable[[#This Row],[Aircraft ID]],Aircraft!A:A,Aircraft!H:H)</f>
        <v>Airplane Single Engine Land</v>
      </c>
      <c r="AS83" s="8" t="b">
        <f>OR((SUM(MasterTable[[#This Row],[ILS]:[PAR]]) = MasterTable[[#This Row],[APPR]]))</f>
        <v>1</v>
      </c>
      <c r="AT83" s="8" t="b">
        <f>NOT(ISBLANK(MasterTable[[#This Row],[Total
Time]]))</f>
        <v>1</v>
      </c>
    </row>
    <row r="84" spans="4:46" ht="14.4" customHeight="1" x14ac:dyDescent="0.3">
      <c r="D84" s="22">
        <v>46009</v>
      </c>
      <c r="E84" s="8" t="s">
        <v>121</v>
      </c>
      <c r="F84" s="8" t="s">
        <v>44</v>
      </c>
      <c r="G84" s="8" t="s">
        <v>44</v>
      </c>
      <c r="I84" s="10">
        <v>1.6</v>
      </c>
      <c r="J84" s="10">
        <v>1.6</v>
      </c>
      <c r="K84" s="10">
        <f>MasterTable[[#This Row],[Total
Time]]</f>
        <v>1.6</v>
      </c>
      <c r="L84" s="10">
        <v>0</v>
      </c>
      <c r="M84" s="13">
        <v>0</v>
      </c>
      <c r="N84" s="13"/>
      <c r="O84" s="10">
        <v>0</v>
      </c>
      <c r="P84" s="10">
        <v>1.6</v>
      </c>
      <c r="Q84" s="14">
        <v>0</v>
      </c>
      <c r="R84" s="14">
        <v>0</v>
      </c>
      <c r="S84" s="10">
        <v>0</v>
      </c>
      <c r="T84" s="10">
        <v>0</v>
      </c>
      <c r="U84" s="14">
        <v>0</v>
      </c>
      <c r="V84" s="10">
        <v>0</v>
      </c>
      <c r="W84" s="11">
        <v>5</v>
      </c>
      <c r="X84" s="11">
        <v>5</v>
      </c>
      <c r="Y84" s="11">
        <v>0</v>
      </c>
      <c r="Z84" s="11">
        <v>0</v>
      </c>
      <c r="AA84" s="11">
        <f>MasterTable[[#This Row],[Landings
Night]]+MasterTable[[#This Row],[Landings
Day]]</f>
        <v>5</v>
      </c>
      <c r="AC84" s="10">
        <v>0</v>
      </c>
      <c r="AE84" s="21">
        <f>SUM(MasterTable[[#This Row],[ILS]:[PAR]])</f>
        <v>0</v>
      </c>
      <c r="AL84" s="11"/>
      <c r="AR84" s="91" t="str">
        <f>_xlfn.XLOOKUP(MasterTable[[#This Row],[Aircraft ID]],Aircraft!A:A,Aircraft!H:H)</f>
        <v>Airplane Single Engine Land</v>
      </c>
      <c r="AS84" s="8" t="b">
        <f>OR((SUM(MasterTable[[#This Row],[ILS]:[PAR]]) = MasterTable[[#This Row],[APPR]]))</f>
        <v>1</v>
      </c>
      <c r="AT84" s="8" t="b">
        <f>NOT(ISBLANK(MasterTable[[#This Row],[Total
Time]]))</f>
        <v>1</v>
      </c>
    </row>
    <row r="85" spans="4:46" ht="14.4" customHeight="1" x14ac:dyDescent="0.3">
      <c r="D85" s="22">
        <v>46009</v>
      </c>
      <c r="E85" s="8" t="s">
        <v>121</v>
      </c>
      <c r="F85" s="8" t="s">
        <v>44</v>
      </c>
      <c r="G85" s="8" t="s">
        <v>44</v>
      </c>
      <c r="I85" s="10">
        <v>1.6</v>
      </c>
      <c r="J85" s="10">
        <v>1.6</v>
      </c>
      <c r="K85" s="10">
        <f>MasterTable[[#This Row],[Total
Time]]</f>
        <v>1.6</v>
      </c>
      <c r="L85" s="10">
        <v>0</v>
      </c>
      <c r="M85" s="13">
        <v>0</v>
      </c>
      <c r="N85" s="13"/>
      <c r="O85" s="10">
        <v>0</v>
      </c>
      <c r="P85" s="10">
        <v>1.6</v>
      </c>
      <c r="Q85" s="14">
        <v>0</v>
      </c>
      <c r="R85" s="14">
        <v>0</v>
      </c>
      <c r="S85" s="10">
        <v>0</v>
      </c>
      <c r="T85" s="10">
        <v>0</v>
      </c>
      <c r="U85" s="14">
        <v>0</v>
      </c>
      <c r="V85" s="10">
        <v>0</v>
      </c>
      <c r="W85" s="11">
        <v>6</v>
      </c>
      <c r="X85" s="11">
        <v>6</v>
      </c>
      <c r="Y85" s="11">
        <v>0</v>
      </c>
      <c r="Z85" s="11">
        <v>0</v>
      </c>
      <c r="AA85" s="11">
        <f>MasterTable[[#This Row],[Landings
Night]]+MasterTable[[#This Row],[Landings
Day]]</f>
        <v>6</v>
      </c>
      <c r="AC85" s="10">
        <v>0</v>
      </c>
      <c r="AE85" s="21">
        <f>SUM(MasterTable[[#This Row],[ILS]:[PAR]])</f>
        <v>0</v>
      </c>
      <c r="AL85" s="11"/>
      <c r="AR85" s="91" t="str">
        <f>_xlfn.XLOOKUP(MasterTable[[#This Row],[Aircraft ID]],Aircraft!A:A,Aircraft!H:H)</f>
        <v>Airplane Single Engine Land</v>
      </c>
      <c r="AS85" s="8" t="b">
        <f>OR((SUM(MasterTable[[#This Row],[ILS]:[PAR]]) = MasterTable[[#This Row],[APPR]]))</f>
        <v>1</v>
      </c>
      <c r="AT85" s="8" t="b">
        <f>NOT(ISBLANK(MasterTable[[#This Row],[Total
Time]]))</f>
        <v>1</v>
      </c>
    </row>
    <row r="86" spans="4:46" ht="14.4" customHeight="1" x14ac:dyDescent="0.3">
      <c r="D86" s="22">
        <v>46007</v>
      </c>
      <c r="E86" s="8" t="s">
        <v>121</v>
      </c>
      <c r="F86" s="8" t="s">
        <v>44</v>
      </c>
      <c r="G86" s="8" t="s">
        <v>44</v>
      </c>
      <c r="I86" s="10">
        <v>1.5</v>
      </c>
      <c r="J86" s="10">
        <v>1.5</v>
      </c>
      <c r="K86" s="10">
        <f>MasterTable[[#This Row],[Total
Time]]</f>
        <v>1.5</v>
      </c>
      <c r="L86" s="10">
        <v>0</v>
      </c>
      <c r="M86" s="13">
        <v>0</v>
      </c>
      <c r="N86" s="13"/>
      <c r="O86" s="10">
        <v>0</v>
      </c>
      <c r="P86" s="10">
        <v>1.5</v>
      </c>
      <c r="Q86" s="14">
        <v>0</v>
      </c>
      <c r="R86" s="14">
        <v>0</v>
      </c>
      <c r="S86" s="10">
        <v>0</v>
      </c>
      <c r="T86" s="10">
        <v>0</v>
      </c>
      <c r="U86" s="14">
        <v>0</v>
      </c>
      <c r="V86" s="10">
        <v>0</v>
      </c>
      <c r="W86" s="11">
        <v>6</v>
      </c>
      <c r="X86" s="11">
        <v>6</v>
      </c>
      <c r="Y86" s="11">
        <v>0</v>
      </c>
      <c r="Z86" s="11">
        <v>0</v>
      </c>
      <c r="AA86" s="11">
        <f>MasterTable[[#This Row],[Landings
Night]]+MasterTable[[#This Row],[Landings
Day]]</f>
        <v>6</v>
      </c>
      <c r="AC86" s="10">
        <v>0</v>
      </c>
      <c r="AE86" s="21">
        <f>SUM(MasterTable[[#This Row],[ILS]:[PAR]])</f>
        <v>0</v>
      </c>
      <c r="AL86" s="11"/>
      <c r="AR86" s="91" t="str">
        <f>_xlfn.XLOOKUP(MasterTable[[#This Row],[Aircraft ID]],Aircraft!A:A,Aircraft!H:H)</f>
        <v>Airplane Single Engine Land</v>
      </c>
      <c r="AS86" s="8" t="b">
        <f>OR((SUM(MasterTable[[#This Row],[ILS]:[PAR]]) = MasterTable[[#This Row],[APPR]]))</f>
        <v>1</v>
      </c>
      <c r="AT86" s="8" t="b">
        <f>NOT(ISBLANK(MasterTable[[#This Row],[Total
Time]]))</f>
        <v>1</v>
      </c>
    </row>
    <row r="87" spans="4:46" ht="14.4" customHeight="1" x14ac:dyDescent="0.3">
      <c r="D87" s="22">
        <v>46006</v>
      </c>
      <c r="E87" s="8" t="s">
        <v>121</v>
      </c>
      <c r="F87" s="8" t="s">
        <v>44</v>
      </c>
      <c r="G87" s="8" t="s">
        <v>44</v>
      </c>
      <c r="I87" s="10">
        <v>1.5</v>
      </c>
      <c r="J87" s="10">
        <v>1.5</v>
      </c>
      <c r="K87" s="10">
        <f>MasterTable[[#This Row],[Total
Time]]</f>
        <v>1.5</v>
      </c>
      <c r="L87" s="10">
        <v>0</v>
      </c>
      <c r="M87" s="13">
        <v>0</v>
      </c>
      <c r="N87" s="13"/>
      <c r="O87" s="10">
        <v>0</v>
      </c>
      <c r="P87" s="10">
        <v>1.5</v>
      </c>
      <c r="Q87" s="14">
        <v>0</v>
      </c>
      <c r="R87" s="14">
        <v>0</v>
      </c>
      <c r="S87" s="10">
        <v>0</v>
      </c>
      <c r="T87" s="10">
        <v>0</v>
      </c>
      <c r="U87" s="14">
        <v>0</v>
      </c>
      <c r="V87" s="10">
        <v>0</v>
      </c>
      <c r="W87" s="11">
        <v>6</v>
      </c>
      <c r="X87" s="11">
        <v>6</v>
      </c>
      <c r="Y87" s="11">
        <v>0</v>
      </c>
      <c r="Z87" s="11">
        <v>0</v>
      </c>
      <c r="AA87" s="11">
        <f>MasterTable[[#This Row],[Landings
Night]]+MasterTable[[#This Row],[Landings
Day]]</f>
        <v>6</v>
      </c>
      <c r="AB87" s="10">
        <v>0.2</v>
      </c>
      <c r="AC87" s="10">
        <v>0</v>
      </c>
      <c r="AE87" s="21">
        <f>SUM(MasterTable[[#This Row],[ILS]:[PAR]])</f>
        <v>0</v>
      </c>
      <c r="AL87" s="11"/>
      <c r="AR87" s="91" t="str">
        <f>_xlfn.XLOOKUP(MasterTable[[#This Row],[Aircraft ID]],Aircraft!A:A,Aircraft!H:H)</f>
        <v>Airplane Single Engine Land</v>
      </c>
      <c r="AS87" s="8" t="b">
        <f>OR((SUM(MasterTable[[#This Row],[ILS]:[PAR]]) = MasterTable[[#This Row],[APPR]]))</f>
        <v>1</v>
      </c>
      <c r="AT87" s="8" t="b">
        <f>NOT(ISBLANK(MasterTable[[#This Row],[Total
Time]]))</f>
        <v>1</v>
      </c>
    </row>
    <row r="88" spans="4:46" ht="14.4" customHeight="1" x14ac:dyDescent="0.3">
      <c r="D88" s="22">
        <v>46003</v>
      </c>
      <c r="E88" s="8" t="s">
        <v>121</v>
      </c>
      <c r="F88" s="8" t="s">
        <v>44</v>
      </c>
      <c r="G88" s="8" t="s">
        <v>55</v>
      </c>
      <c r="I88" s="10">
        <v>1.5</v>
      </c>
      <c r="J88" s="10">
        <v>1.5</v>
      </c>
      <c r="K88" s="10">
        <f>MasterTable[[#This Row],[Total
Time]]</f>
        <v>1.5</v>
      </c>
      <c r="L88" s="10">
        <v>0</v>
      </c>
      <c r="M88" s="13">
        <v>0</v>
      </c>
      <c r="N88" s="13"/>
      <c r="O88" s="10">
        <v>0</v>
      </c>
      <c r="P88" s="10">
        <v>1.5</v>
      </c>
      <c r="Q88" s="14">
        <v>0</v>
      </c>
      <c r="R88" s="14">
        <v>0</v>
      </c>
      <c r="S88" s="10">
        <v>0</v>
      </c>
      <c r="T88" s="10">
        <v>0</v>
      </c>
      <c r="U88" s="14">
        <v>0</v>
      </c>
      <c r="V88" s="10">
        <v>0</v>
      </c>
      <c r="W88" s="11">
        <v>9</v>
      </c>
      <c r="X88" s="11">
        <v>9</v>
      </c>
      <c r="Y88" s="11">
        <v>0</v>
      </c>
      <c r="Z88" s="11">
        <v>0</v>
      </c>
      <c r="AA88" s="11">
        <f>MasterTable[[#This Row],[Landings
Night]]+MasterTable[[#This Row],[Landings
Day]]</f>
        <v>9</v>
      </c>
      <c r="AC88" s="10">
        <v>0</v>
      </c>
      <c r="AE88" s="21">
        <f>SUM(MasterTable[[#This Row],[ILS]:[PAR]])</f>
        <v>0</v>
      </c>
      <c r="AL88" s="11"/>
      <c r="AR88" s="91" t="str">
        <f>_xlfn.XLOOKUP(MasterTable[[#This Row],[Aircraft ID]],Aircraft!A:A,Aircraft!H:H)</f>
        <v>Airplane Single Engine Land</v>
      </c>
      <c r="AS88" s="8" t="b">
        <f>OR((SUM(MasterTable[[#This Row],[ILS]:[PAR]]) = MasterTable[[#This Row],[APPR]]))</f>
        <v>1</v>
      </c>
      <c r="AT88" s="8" t="b">
        <f>NOT(ISBLANK(MasterTable[[#This Row],[Total
Time]]))</f>
        <v>1</v>
      </c>
    </row>
    <row r="89" spans="4:46" ht="14.4" customHeight="1" x14ac:dyDescent="0.3">
      <c r="D89" s="22">
        <v>46002</v>
      </c>
      <c r="E89" s="8" t="s">
        <v>121</v>
      </c>
      <c r="F89" s="8" t="s">
        <v>44</v>
      </c>
      <c r="G89" s="8" t="s">
        <v>44</v>
      </c>
      <c r="I89" s="10">
        <v>1.5</v>
      </c>
      <c r="J89" s="10">
        <v>1.5</v>
      </c>
      <c r="K89" s="10">
        <f>MasterTable[[#This Row],[Total
Time]]</f>
        <v>1.5</v>
      </c>
      <c r="L89" s="10">
        <v>0</v>
      </c>
      <c r="M89" s="13">
        <v>0</v>
      </c>
      <c r="N89" s="13"/>
      <c r="O89" s="10">
        <v>0</v>
      </c>
      <c r="P89" s="10">
        <v>1.5</v>
      </c>
      <c r="Q89" s="14">
        <v>0</v>
      </c>
      <c r="R89" s="14">
        <v>0</v>
      </c>
      <c r="S89" s="10">
        <v>0</v>
      </c>
      <c r="T89" s="10">
        <v>0</v>
      </c>
      <c r="U89" s="14">
        <v>0</v>
      </c>
      <c r="V89" s="10">
        <v>0</v>
      </c>
      <c r="W89" s="11">
        <v>7</v>
      </c>
      <c r="X89" s="11">
        <v>7</v>
      </c>
      <c r="Y89" s="11">
        <v>0</v>
      </c>
      <c r="Z89" s="11">
        <v>0</v>
      </c>
      <c r="AA89" s="11">
        <f>MasterTable[[#This Row],[Landings
Night]]+MasterTable[[#This Row],[Landings
Day]]</f>
        <v>7</v>
      </c>
      <c r="AC89" s="10">
        <v>0</v>
      </c>
      <c r="AE89" s="21">
        <f>SUM(MasterTable[[#This Row],[ILS]:[PAR]])</f>
        <v>0</v>
      </c>
      <c r="AL89" s="11"/>
      <c r="AR89" s="91" t="str">
        <f>_xlfn.XLOOKUP(MasterTable[[#This Row],[Aircraft ID]],Aircraft!A:A,Aircraft!H:H)</f>
        <v>Airplane Single Engine Land</v>
      </c>
      <c r="AS89" s="8" t="b">
        <f>OR((SUM(MasterTable[[#This Row],[ILS]:[PAR]]) = MasterTable[[#This Row],[APPR]]))</f>
        <v>1</v>
      </c>
      <c r="AT89" s="8" t="b">
        <f>NOT(ISBLANK(MasterTable[[#This Row],[Total
Time]]))</f>
        <v>1</v>
      </c>
    </row>
    <row r="90" spans="4:46" ht="14.4" customHeight="1" x14ac:dyDescent="0.3">
      <c r="D90" s="22">
        <v>45994</v>
      </c>
      <c r="E90" s="8" t="s">
        <v>121</v>
      </c>
      <c r="F90" s="8" t="s">
        <v>44</v>
      </c>
      <c r="G90" s="8" t="s">
        <v>44</v>
      </c>
      <c r="I90" s="10">
        <v>1.5</v>
      </c>
      <c r="J90" s="10">
        <v>1.5</v>
      </c>
      <c r="K90" s="10">
        <f>MasterTable[[#This Row],[Total
Time]]</f>
        <v>1.5</v>
      </c>
      <c r="L90" s="10">
        <v>0</v>
      </c>
      <c r="M90" s="13">
        <v>0</v>
      </c>
      <c r="N90" s="13"/>
      <c r="O90" s="10">
        <v>0</v>
      </c>
      <c r="P90" s="10">
        <v>1.5</v>
      </c>
      <c r="Q90" s="14">
        <v>0</v>
      </c>
      <c r="R90" s="14">
        <v>0</v>
      </c>
      <c r="S90" s="10">
        <v>0</v>
      </c>
      <c r="T90" s="10">
        <v>0</v>
      </c>
      <c r="U90" s="14">
        <v>0</v>
      </c>
      <c r="V90" s="10">
        <v>0</v>
      </c>
      <c r="W90" s="11">
        <v>6</v>
      </c>
      <c r="X90" s="11">
        <v>6</v>
      </c>
      <c r="Y90" s="11">
        <v>0</v>
      </c>
      <c r="Z90" s="11">
        <v>0</v>
      </c>
      <c r="AA90" s="11">
        <f>MasterTable[[#This Row],[Landings
Night]]+MasterTable[[#This Row],[Landings
Day]]</f>
        <v>6</v>
      </c>
      <c r="AC90" s="10">
        <v>0</v>
      </c>
      <c r="AE90" s="21">
        <f>SUM(MasterTable[[#This Row],[ILS]:[PAR]])</f>
        <v>0</v>
      </c>
      <c r="AL90" s="11"/>
      <c r="AR90" s="91" t="str">
        <f>_xlfn.XLOOKUP(MasterTable[[#This Row],[Aircraft ID]],Aircraft!A:A,Aircraft!H:H)</f>
        <v>Airplane Single Engine Land</v>
      </c>
      <c r="AS90" s="8" t="b">
        <f>OR((SUM(MasterTable[[#This Row],[ILS]:[PAR]]) = MasterTable[[#This Row],[APPR]]))</f>
        <v>1</v>
      </c>
      <c r="AT90" s="8" t="b">
        <f>NOT(ISBLANK(MasterTable[[#This Row],[Total
Time]]))</f>
        <v>1</v>
      </c>
    </row>
    <row r="91" spans="4:46" ht="14.4" customHeight="1" x14ac:dyDescent="0.3">
      <c r="D91" s="22">
        <v>45993</v>
      </c>
      <c r="E91" s="8" t="s">
        <v>121</v>
      </c>
      <c r="F91" s="8" t="s">
        <v>44</v>
      </c>
      <c r="G91" s="8" t="s">
        <v>44</v>
      </c>
      <c r="I91" s="10">
        <v>1.6</v>
      </c>
      <c r="J91" s="10">
        <v>1.6</v>
      </c>
      <c r="K91" s="10">
        <f>MasterTable[[#This Row],[Total
Time]]</f>
        <v>1.6</v>
      </c>
      <c r="L91" s="10">
        <v>0</v>
      </c>
      <c r="M91" s="13">
        <v>0</v>
      </c>
      <c r="N91" s="13"/>
      <c r="O91" s="10">
        <v>0</v>
      </c>
      <c r="P91" s="10">
        <v>1.6</v>
      </c>
      <c r="Q91" s="14">
        <v>0</v>
      </c>
      <c r="R91" s="14">
        <v>0</v>
      </c>
      <c r="S91" s="10">
        <v>0</v>
      </c>
      <c r="T91" s="10">
        <v>0</v>
      </c>
      <c r="U91" s="14">
        <v>0</v>
      </c>
      <c r="V91" s="10">
        <v>0</v>
      </c>
      <c r="W91" s="11">
        <v>7</v>
      </c>
      <c r="X91" s="11">
        <v>7</v>
      </c>
      <c r="Y91" s="11">
        <v>0</v>
      </c>
      <c r="Z91" s="11">
        <v>0</v>
      </c>
      <c r="AA91" s="11">
        <f>MasterTable[[#This Row],[Landings
Night]]+MasterTable[[#This Row],[Landings
Day]]</f>
        <v>7</v>
      </c>
      <c r="AC91" s="10">
        <v>0</v>
      </c>
      <c r="AE91" s="21">
        <f>SUM(MasterTable[[#This Row],[ILS]:[PAR]])</f>
        <v>0</v>
      </c>
      <c r="AL91" s="11"/>
      <c r="AR91" s="91" t="str">
        <f>_xlfn.XLOOKUP(MasterTable[[#This Row],[Aircraft ID]],Aircraft!A:A,Aircraft!H:H)</f>
        <v>Airplane Single Engine Land</v>
      </c>
      <c r="AS91" s="8" t="b">
        <f>OR((SUM(MasterTable[[#This Row],[ILS]:[PAR]]) = MasterTable[[#This Row],[APPR]]))</f>
        <v>1</v>
      </c>
      <c r="AT91" s="8" t="b">
        <f>NOT(ISBLANK(MasterTable[[#This Row],[Total
Time]]))</f>
        <v>1</v>
      </c>
    </row>
    <row r="92" spans="4:46" ht="14.4" customHeight="1" x14ac:dyDescent="0.3">
      <c r="D92" s="22">
        <v>45817</v>
      </c>
      <c r="E92" s="8" t="s">
        <v>29</v>
      </c>
      <c r="F92" s="8" t="s">
        <v>54</v>
      </c>
      <c r="G92" s="8" t="s">
        <v>54</v>
      </c>
      <c r="I92" s="10">
        <v>1.4</v>
      </c>
      <c r="J92" s="10">
        <v>1.4</v>
      </c>
      <c r="L92" s="10">
        <v>0</v>
      </c>
      <c r="M92" s="13">
        <v>0</v>
      </c>
      <c r="N92" s="13"/>
      <c r="O92" s="10">
        <v>1.4</v>
      </c>
      <c r="P92" s="10">
        <v>0</v>
      </c>
      <c r="Q92" s="14">
        <v>0</v>
      </c>
      <c r="R92" s="14">
        <v>0</v>
      </c>
      <c r="S92" s="10">
        <v>0</v>
      </c>
      <c r="T92" s="10">
        <v>0</v>
      </c>
      <c r="U92" s="14">
        <v>0</v>
      </c>
      <c r="V92" s="10">
        <v>0</v>
      </c>
      <c r="W92" s="11">
        <v>6</v>
      </c>
      <c r="X92" s="11">
        <v>6</v>
      </c>
      <c r="Y92" s="11">
        <v>0</v>
      </c>
      <c r="Z92" s="11">
        <v>0</v>
      </c>
      <c r="AA92" s="11">
        <f>MasterTable[[#This Row],[Landings
Night]]+MasterTable[[#This Row],[Landings
Day]]</f>
        <v>6</v>
      </c>
      <c r="AB92" s="10">
        <v>0</v>
      </c>
      <c r="AC92" s="10">
        <v>0</v>
      </c>
      <c r="AD92" s="11">
        <v>0</v>
      </c>
      <c r="AE92" s="21">
        <f>SUM(MasterTable[[#This Row],[ILS]:[PAR]])</f>
        <v>0</v>
      </c>
      <c r="AL92" s="11"/>
      <c r="AR92" s="91" t="str">
        <f>_xlfn.XLOOKUP(MasterTable[[#This Row],[Aircraft ID]],Aircraft!A:A,Aircraft!H:H)</f>
        <v>Airplane Single Engine Land</v>
      </c>
      <c r="AS92" s="8" t="b">
        <f>OR((SUM(MasterTable[[#This Row],[ILS]:[PAR]]) = MasterTable[[#This Row],[APPR]]))</f>
        <v>1</v>
      </c>
      <c r="AT92" s="8" t="b">
        <f>NOT(ISBLANK(MasterTable[[#This Row],[Total
Time]]))</f>
        <v>1</v>
      </c>
    </row>
    <row r="93" spans="4:46" ht="14.4" customHeight="1" x14ac:dyDescent="0.3">
      <c r="D93" s="22">
        <v>45814</v>
      </c>
      <c r="E93" s="8" t="s">
        <v>20</v>
      </c>
      <c r="F93" s="8" t="s">
        <v>56</v>
      </c>
      <c r="G93" s="8" t="s">
        <v>56</v>
      </c>
      <c r="I93" s="10">
        <v>0.6</v>
      </c>
      <c r="J93" s="10">
        <v>0.6</v>
      </c>
      <c r="L93" s="10">
        <v>0</v>
      </c>
      <c r="M93" s="13">
        <v>0</v>
      </c>
      <c r="N93" s="13"/>
      <c r="O93" s="10">
        <v>0</v>
      </c>
      <c r="P93" s="10">
        <v>0</v>
      </c>
      <c r="Q93" s="14">
        <v>0</v>
      </c>
      <c r="R93" s="14">
        <v>0</v>
      </c>
      <c r="S93" s="10">
        <v>0</v>
      </c>
      <c r="T93" s="10">
        <v>0</v>
      </c>
      <c r="U93" s="14">
        <v>0</v>
      </c>
      <c r="V93" s="10">
        <v>0</v>
      </c>
      <c r="W93" s="11">
        <v>0</v>
      </c>
      <c r="X93" s="11">
        <v>0</v>
      </c>
      <c r="Y93" s="11">
        <v>0</v>
      </c>
      <c r="Z93" s="11">
        <v>0</v>
      </c>
      <c r="AA93" s="11">
        <f>MasterTable[[#This Row],[Landings
Night]]+MasterTable[[#This Row],[Landings
Day]]</f>
        <v>0</v>
      </c>
      <c r="AB93" s="10">
        <v>0</v>
      </c>
      <c r="AC93" s="10">
        <v>0</v>
      </c>
      <c r="AD93" s="11">
        <v>0</v>
      </c>
      <c r="AE93" s="21">
        <f>SUM(MasterTable[[#This Row],[ILS]:[PAR]])</f>
        <v>0</v>
      </c>
      <c r="AL93" s="11"/>
      <c r="AR93" s="91" t="str">
        <f>_xlfn.XLOOKUP(MasterTable[[#This Row],[Aircraft ID]],Aircraft!A:A,Aircraft!H:H)</f>
        <v>Airplane Single Engine Land</v>
      </c>
      <c r="AS93" s="8" t="b">
        <f>OR((SUM(MasterTable[[#This Row],[ILS]:[PAR]]) = MasterTable[[#This Row],[APPR]]))</f>
        <v>1</v>
      </c>
      <c r="AT93" s="8" t="b">
        <f>NOT(ISBLANK(MasterTable[[#This Row],[Total
Time]]))</f>
        <v>1</v>
      </c>
    </row>
    <row r="94" spans="4:46" ht="14.4" customHeight="1" x14ac:dyDescent="0.3">
      <c r="D94" s="22">
        <v>45725</v>
      </c>
      <c r="E94" s="8" t="s">
        <v>29</v>
      </c>
      <c r="F94" s="8" t="s">
        <v>57</v>
      </c>
      <c r="G94" s="8" t="s">
        <v>54</v>
      </c>
      <c r="I94" s="10">
        <v>2.8</v>
      </c>
      <c r="J94" s="10">
        <v>2.8</v>
      </c>
      <c r="L94" s="10">
        <v>0</v>
      </c>
      <c r="M94" s="13">
        <v>0</v>
      </c>
      <c r="N94" s="13"/>
      <c r="O94" s="10">
        <v>0</v>
      </c>
      <c r="P94" s="10">
        <v>0</v>
      </c>
      <c r="Q94" s="14">
        <v>0</v>
      </c>
      <c r="R94" s="14">
        <v>0</v>
      </c>
      <c r="S94" s="10">
        <v>0</v>
      </c>
      <c r="T94" s="10">
        <v>2.8</v>
      </c>
      <c r="U94" s="14">
        <v>0</v>
      </c>
      <c r="V94" s="10">
        <v>0.9</v>
      </c>
      <c r="W94" s="11">
        <v>1</v>
      </c>
      <c r="X94" s="11">
        <v>1</v>
      </c>
      <c r="Y94" s="11">
        <v>0</v>
      </c>
      <c r="Z94" s="11">
        <v>0</v>
      </c>
      <c r="AA94" s="11">
        <f>MasterTable[[#This Row],[Landings
Night]]+MasterTable[[#This Row],[Landings
Day]]</f>
        <v>1</v>
      </c>
      <c r="AB94" s="10">
        <v>0</v>
      </c>
      <c r="AC94" s="10">
        <v>0</v>
      </c>
      <c r="AD94" s="11">
        <v>0</v>
      </c>
      <c r="AE94" s="21">
        <f>SUM(MasterTable[[#This Row],[ILS]:[PAR]])</f>
        <v>0</v>
      </c>
      <c r="AL94" s="11"/>
      <c r="AR94" s="91" t="str">
        <f>_xlfn.XLOOKUP(MasterTable[[#This Row],[Aircraft ID]],Aircraft!A:A,Aircraft!H:H)</f>
        <v>Airplane Single Engine Land</v>
      </c>
      <c r="AS94" s="8" t="b">
        <f>OR((SUM(MasterTable[[#This Row],[ILS]:[PAR]]) = MasterTable[[#This Row],[APPR]]))</f>
        <v>1</v>
      </c>
      <c r="AT94" s="8" t="b">
        <f>NOT(ISBLANK(MasterTable[[#This Row],[Total
Time]]))</f>
        <v>1</v>
      </c>
    </row>
    <row r="95" spans="4:46" ht="14.4" customHeight="1" x14ac:dyDescent="0.3">
      <c r="D95" s="22">
        <v>45723</v>
      </c>
      <c r="E95" s="8" t="s">
        <v>29</v>
      </c>
      <c r="F95" s="8" t="s">
        <v>54</v>
      </c>
      <c r="G95" s="8" t="s">
        <v>57</v>
      </c>
      <c r="I95" s="10">
        <v>1.8</v>
      </c>
      <c r="J95" s="10">
        <v>1.8</v>
      </c>
      <c r="L95" s="10">
        <v>0</v>
      </c>
      <c r="M95" s="13">
        <v>0</v>
      </c>
      <c r="N95" s="13"/>
      <c r="O95" s="10">
        <v>0</v>
      </c>
      <c r="P95" s="10">
        <v>0</v>
      </c>
      <c r="Q95" s="14">
        <v>0</v>
      </c>
      <c r="R95" s="14">
        <v>0</v>
      </c>
      <c r="S95" s="10">
        <v>0</v>
      </c>
      <c r="T95" s="10">
        <v>1.8</v>
      </c>
      <c r="U95" s="14">
        <v>0</v>
      </c>
      <c r="V95" s="10">
        <v>0</v>
      </c>
      <c r="W95" s="11">
        <v>1</v>
      </c>
      <c r="X95" s="11">
        <v>1</v>
      </c>
      <c r="Y95" s="11">
        <v>0</v>
      </c>
      <c r="Z95" s="11">
        <v>0</v>
      </c>
      <c r="AA95" s="11">
        <f>MasterTable[[#This Row],[Landings
Night]]+MasterTable[[#This Row],[Landings
Day]]</f>
        <v>1</v>
      </c>
      <c r="AB95" s="10">
        <v>0</v>
      </c>
      <c r="AC95" s="10">
        <v>0</v>
      </c>
      <c r="AD95" s="11">
        <v>0</v>
      </c>
      <c r="AE95" s="21">
        <f>SUM(MasterTable[[#This Row],[ILS]:[PAR]])</f>
        <v>0</v>
      </c>
      <c r="AL95" s="11"/>
      <c r="AR95" s="91" t="str">
        <f>_xlfn.XLOOKUP(MasterTable[[#This Row],[Aircraft ID]],Aircraft!A:A,Aircraft!H:H)</f>
        <v>Airplane Single Engine Land</v>
      </c>
      <c r="AS95" s="8" t="b">
        <f>OR((SUM(MasterTable[[#This Row],[ILS]:[PAR]]) = MasterTable[[#This Row],[APPR]]))</f>
        <v>1</v>
      </c>
      <c r="AT95" s="8" t="b">
        <f>NOT(ISBLANK(MasterTable[[#This Row],[Total
Time]]))</f>
        <v>1</v>
      </c>
    </row>
    <row r="96" spans="4:46" ht="14.4" customHeight="1" x14ac:dyDescent="0.3">
      <c r="D96" s="22">
        <v>45542</v>
      </c>
      <c r="E96" s="8" t="s">
        <v>29</v>
      </c>
      <c r="F96" s="8" t="s">
        <v>58</v>
      </c>
      <c r="G96" s="8" t="s">
        <v>58</v>
      </c>
      <c r="I96" s="10">
        <v>4.7</v>
      </c>
      <c r="L96" s="10">
        <v>4.7</v>
      </c>
      <c r="M96" s="13">
        <v>0</v>
      </c>
      <c r="N96" s="13"/>
      <c r="O96" s="10">
        <v>0</v>
      </c>
      <c r="P96" s="10">
        <v>0</v>
      </c>
      <c r="Q96" s="14">
        <v>0</v>
      </c>
      <c r="R96" s="14">
        <v>0</v>
      </c>
      <c r="S96" s="10">
        <v>0</v>
      </c>
      <c r="T96" s="10">
        <v>0</v>
      </c>
      <c r="U96" s="14">
        <v>0</v>
      </c>
      <c r="V96" s="10">
        <v>4.7</v>
      </c>
      <c r="W96" s="11">
        <v>1</v>
      </c>
      <c r="X96" s="11">
        <v>1</v>
      </c>
      <c r="Y96" s="11">
        <v>0</v>
      </c>
      <c r="Z96" s="11">
        <v>0</v>
      </c>
      <c r="AA96" s="11">
        <f>MasterTable[[#This Row],[Landings
Night]]+MasterTable[[#This Row],[Landings
Day]]</f>
        <v>1</v>
      </c>
      <c r="AB96" s="10">
        <v>0</v>
      </c>
      <c r="AC96" s="10">
        <v>0</v>
      </c>
      <c r="AD96" s="11">
        <v>0</v>
      </c>
      <c r="AE96" s="21">
        <f>SUM(MasterTable[[#This Row],[ILS]:[PAR]])</f>
        <v>0</v>
      </c>
      <c r="AL96" s="11"/>
      <c r="AM96" s="8" t="s">
        <v>242</v>
      </c>
      <c r="AR96" s="91" t="str">
        <f>_xlfn.XLOOKUP(MasterTable[[#This Row],[Aircraft ID]],Aircraft!A:A,Aircraft!H:H)</f>
        <v>Airplane Single Engine Land</v>
      </c>
      <c r="AS96" s="8" t="b">
        <f>OR((SUM(MasterTable[[#This Row],[ILS]:[PAR]]) = MasterTable[[#This Row],[APPR]]))</f>
        <v>1</v>
      </c>
      <c r="AT96" s="8" t="b">
        <f>NOT(ISBLANK(MasterTable[[#This Row],[Total
Time]]))</f>
        <v>1</v>
      </c>
    </row>
    <row r="97" spans="4:46" ht="14.4" customHeight="1" x14ac:dyDescent="0.3">
      <c r="D97" s="22">
        <v>45535</v>
      </c>
      <c r="E97" s="8" t="s">
        <v>29</v>
      </c>
      <c r="F97" s="8" t="s">
        <v>54</v>
      </c>
      <c r="G97" s="8" t="s">
        <v>57</v>
      </c>
      <c r="I97" s="10">
        <v>0.4</v>
      </c>
      <c r="J97" s="10">
        <v>0.4</v>
      </c>
      <c r="L97" s="10">
        <v>0</v>
      </c>
      <c r="M97" s="13">
        <v>0</v>
      </c>
      <c r="N97" s="13"/>
      <c r="O97" s="10">
        <v>0</v>
      </c>
      <c r="P97" s="10">
        <v>0</v>
      </c>
      <c r="Q97" s="14">
        <v>0</v>
      </c>
      <c r="R97" s="14">
        <v>0</v>
      </c>
      <c r="S97" s="10">
        <v>0</v>
      </c>
      <c r="T97" s="10">
        <v>0.4</v>
      </c>
      <c r="U97" s="14">
        <v>0</v>
      </c>
      <c r="V97" s="10">
        <v>0</v>
      </c>
      <c r="W97" s="11">
        <v>0</v>
      </c>
      <c r="X97" s="11">
        <v>0</v>
      </c>
      <c r="Y97" s="11">
        <v>0</v>
      </c>
      <c r="Z97" s="11">
        <v>0</v>
      </c>
      <c r="AA97" s="11">
        <f>MasterTable[[#This Row],[Landings
Night]]+MasterTable[[#This Row],[Landings
Day]]</f>
        <v>0</v>
      </c>
      <c r="AB97" s="10">
        <v>0</v>
      </c>
      <c r="AC97" s="10">
        <v>0</v>
      </c>
      <c r="AD97" s="11">
        <v>0</v>
      </c>
      <c r="AE97" s="21">
        <f>SUM(MasterTable[[#This Row],[ILS]:[PAR]])</f>
        <v>0</v>
      </c>
      <c r="AL97" s="11"/>
      <c r="AR97" s="91" t="str">
        <f>_xlfn.XLOOKUP(MasterTable[[#This Row],[Aircraft ID]],Aircraft!A:A,Aircraft!H:H)</f>
        <v>Airplane Single Engine Land</v>
      </c>
      <c r="AS97" s="8" t="b">
        <f>OR((SUM(MasterTable[[#This Row],[ILS]:[PAR]]) = MasterTable[[#This Row],[APPR]]))</f>
        <v>1</v>
      </c>
      <c r="AT97" s="8" t="b">
        <f>NOT(ISBLANK(MasterTable[[#This Row],[Total
Time]]))</f>
        <v>1</v>
      </c>
    </row>
    <row r="98" spans="4:46" ht="14.4" customHeight="1" x14ac:dyDescent="0.3">
      <c r="D98" s="22">
        <v>45533</v>
      </c>
      <c r="E98" s="8" t="s">
        <v>20</v>
      </c>
      <c r="F98" s="8" t="s">
        <v>57</v>
      </c>
      <c r="G98" s="8" t="s">
        <v>57</v>
      </c>
      <c r="I98" s="10">
        <v>0.6</v>
      </c>
      <c r="J98" s="10">
        <v>0.6</v>
      </c>
      <c r="L98" s="10">
        <v>0</v>
      </c>
      <c r="M98" s="13">
        <v>0</v>
      </c>
      <c r="N98" s="13"/>
      <c r="O98" s="10">
        <v>0</v>
      </c>
      <c r="P98" s="10">
        <v>0</v>
      </c>
      <c r="Q98" s="14">
        <v>0</v>
      </c>
      <c r="R98" s="14">
        <v>0</v>
      </c>
      <c r="S98" s="10">
        <v>0</v>
      </c>
      <c r="T98" s="10">
        <v>0</v>
      </c>
      <c r="U98" s="14">
        <v>0</v>
      </c>
      <c r="V98" s="10">
        <v>0</v>
      </c>
      <c r="W98" s="11">
        <v>2</v>
      </c>
      <c r="X98" s="11">
        <v>2</v>
      </c>
      <c r="Y98" s="11">
        <v>0</v>
      </c>
      <c r="Z98" s="11">
        <v>0</v>
      </c>
      <c r="AA98" s="11">
        <f>MasterTable[[#This Row],[Landings
Night]]+MasterTable[[#This Row],[Landings
Day]]</f>
        <v>2</v>
      </c>
      <c r="AB98" s="10">
        <v>0</v>
      </c>
      <c r="AC98" s="10">
        <v>0</v>
      </c>
      <c r="AD98" s="11">
        <v>0</v>
      </c>
      <c r="AE98" s="21">
        <f>SUM(MasterTable[[#This Row],[ILS]:[PAR]])</f>
        <v>0</v>
      </c>
      <c r="AL98" s="11"/>
      <c r="AR98" s="91" t="str">
        <f>_xlfn.XLOOKUP(MasterTable[[#This Row],[Aircraft ID]],Aircraft!A:A,Aircraft!H:H)</f>
        <v>Airplane Single Engine Land</v>
      </c>
      <c r="AS98" s="8" t="b">
        <f>OR((SUM(MasterTable[[#This Row],[ILS]:[PAR]]) = MasterTable[[#This Row],[APPR]]))</f>
        <v>1</v>
      </c>
      <c r="AT98" s="8" t="b">
        <f>NOT(ISBLANK(MasterTable[[#This Row],[Total
Time]]))</f>
        <v>1</v>
      </c>
    </row>
    <row r="99" spans="4:46" ht="14.4" customHeight="1" x14ac:dyDescent="0.3">
      <c r="D99" s="22">
        <v>45532</v>
      </c>
      <c r="E99" s="8" t="s">
        <v>29</v>
      </c>
      <c r="F99" s="8" t="s">
        <v>58</v>
      </c>
      <c r="G99" s="8" t="s">
        <v>58</v>
      </c>
      <c r="I99" s="10">
        <v>1.5</v>
      </c>
      <c r="J99" s="10">
        <v>0</v>
      </c>
      <c r="L99" s="10">
        <v>1.5</v>
      </c>
      <c r="M99" s="13">
        <v>0</v>
      </c>
      <c r="N99" s="13"/>
      <c r="O99" s="10">
        <v>0</v>
      </c>
      <c r="P99" s="10">
        <v>0</v>
      </c>
      <c r="Q99" s="14">
        <v>0</v>
      </c>
      <c r="R99" s="14">
        <v>0</v>
      </c>
      <c r="S99" s="10">
        <v>0</v>
      </c>
      <c r="T99" s="10">
        <v>0</v>
      </c>
      <c r="U99" s="14">
        <v>0</v>
      </c>
      <c r="V99" s="10">
        <v>1.5</v>
      </c>
      <c r="W99" s="11">
        <v>0</v>
      </c>
      <c r="X99" s="11">
        <v>0</v>
      </c>
      <c r="Y99" s="11">
        <v>0</v>
      </c>
      <c r="Z99" s="11">
        <v>0</v>
      </c>
      <c r="AA99" s="11">
        <f>MasterTable[[#This Row],[Landings
Night]]+MasterTable[[#This Row],[Landings
Day]]</f>
        <v>0</v>
      </c>
      <c r="AB99" s="10">
        <v>0</v>
      </c>
      <c r="AC99" s="10">
        <v>0</v>
      </c>
      <c r="AD99" s="11">
        <v>0</v>
      </c>
      <c r="AE99" s="21">
        <f>SUM(MasterTable[[#This Row],[ILS]:[PAR]])</f>
        <v>0</v>
      </c>
      <c r="AL99" s="11"/>
      <c r="AR99" s="91" t="str">
        <f>_xlfn.XLOOKUP(MasterTable[[#This Row],[Aircraft ID]],Aircraft!A:A,Aircraft!H:H)</f>
        <v>Airplane Single Engine Land</v>
      </c>
      <c r="AS99" s="8" t="b">
        <f>OR((SUM(MasterTable[[#This Row],[ILS]:[PAR]]) = MasterTable[[#This Row],[APPR]]))</f>
        <v>1</v>
      </c>
      <c r="AT99" s="8" t="b">
        <f>NOT(ISBLANK(MasterTable[[#This Row],[Total
Time]]))</f>
        <v>1</v>
      </c>
    </row>
    <row r="100" spans="4:46" ht="14.4" customHeight="1" x14ac:dyDescent="0.3">
      <c r="D100" s="22">
        <v>45458</v>
      </c>
      <c r="E100" s="8" t="s">
        <v>29</v>
      </c>
      <c r="F100" s="8" t="s">
        <v>57</v>
      </c>
      <c r="G100" s="8" t="s">
        <v>54</v>
      </c>
      <c r="I100" s="10">
        <v>2.1</v>
      </c>
      <c r="J100" s="10">
        <v>2.1</v>
      </c>
      <c r="L100" s="10">
        <v>0</v>
      </c>
      <c r="M100" s="13">
        <v>0</v>
      </c>
      <c r="N100" s="13"/>
      <c r="O100" s="10">
        <v>0</v>
      </c>
      <c r="P100" s="10">
        <v>0</v>
      </c>
      <c r="Q100" s="14">
        <v>0</v>
      </c>
      <c r="R100" s="14">
        <v>0</v>
      </c>
      <c r="S100" s="10">
        <v>0</v>
      </c>
      <c r="T100" s="10">
        <v>2.1</v>
      </c>
      <c r="U100" s="14">
        <v>0</v>
      </c>
      <c r="V100" s="10"/>
      <c r="W100" s="11">
        <v>1</v>
      </c>
      <c r="X100" s="11">
        <v>1</v>
      </c>
      <c r="Y100" s="11">
        <v>0</v>
      </c>
      <c r="Z100" s="11">
        <v>0</v>
      </c>
      <c r="AA100" s="11">
        <f>MasterTable[[#This Row],[Landings
Night]]+MasterTable[[#This Row],[Landings
Day]]</f>
        <v>1</v>
      </c>
      <c r="AB100" s="10">
        <v>0</v>
      </c>
      <c r="AC100" s="10">
        <v>0</v>
      </c>
      <c r="AD100" s="11">
        <v>0</v>
      </c>
      <c r="AE100" s="21">
        <f>SUM(MasterTable[[#This Row],[ILS]:[PAR]])</f>
        <v>0</v>
      </c>
      <c r="AL100" s="11"/>
      <c r="AR100" s="91" t="str">
        <f>_xlfn.XLOOKUP(MasterTable[[#This Row],[Aircraft ID]],Aircraft!A:A,Aircraft!H:H)</f>
        <v>Airplane Single Engine Land</v>
      </c>
      <c r="AS100" s="8" t="b">
        <f>OR((SUM(MasterTable[[#This Row],[ILS]:[PAR]]) = MasterTable[[#This Row],[APPR]]))</f>
        <v>1</v>
      </c>
      <c r="AT100" s="8" t="b">
        <f>NOT(ISBLANK(MasterTable[[#This Row],[Total
Time]]))</f>
        <v>1</v>
      </c>
    </row>
    <row r="101" spans="4:46" ht="14.4" customHeight="1" x14ac:dyDescent="0.3">
      <c r="D101" s="22">
        <v>45453</v>
      </c>
      <c r="E101" s="8" t="s">
        <v>20</v>
      </c>
      <c r="F101" s="8" t="s">
        <v>58</v>
      </c>
      <c r="G101" s="8" t="s">
        <v>58</v>
      </c>
      <c r="I101" s="10">
        <v>0.7</v>
      </c>
      <c r="J101" s="10">
        <v>0.7</v>
      </c>
      <c r="L101" s="10">
        <v>0</v>
      </c>
      <c r="M101" s="13">
        <v>0</v>
      </c>
      <c r="N101" s="13"/>
      <c r="O101" s="10">
        <v>0</v>
      </c>
      <c r="P101" s="10">
        <v>0</v>
      </c>
      <c r="Q101" s="14">
        <v>0</v>
      </c>
      <c r="R101" s="14">
        <v>0</v>
      </c>
      <c r="T101" s="10">
        <v>0</v>
      </c>
      <c r="U101" s="14">
        <v>0</v>
      </c>
      <c r="V101" s="10">
        <v>0</v>
      </c>
      <c r="W101" s="11">
        <v>1</v>
      </c>
      <c r="X101" s="11">
        <v>1</v>
      </c>
      <c r="Y101" s="11">
        <v>0</v>
      </c>
      <c r="Z101" s="11">
        <v>0</v>
      </c>
      <c r="AA101" s="11">
        <f>MasterTable[[#This Row],[Landings
Night]]+MasterTable[[#This Row],[Landings
Day]]</f>
        <v>1</v>
      </c>
      <c r="AB101" s="10">
        <v>0</v>
      </c>
      <c r="AC101" s="10">
        <v>0</v>
      </c>
      <c r="AD101" s="11">
        <v>0</v>
      </c>
      <c r="AE101" s="21">
        <f>SUM(MasterTable[[#This Row],[ILS]:[PAR]])</f>
        <v>0</v>
      </c>
      <c r="AL101" s="11"/>
      <c r="AR101" s="91" t="str">
        <f>_xlfn.XLOOKUP(MasterTable[[#This Row],[Aircraft ID]],Aircraft!A:A,Aircraft!H:H)</f>
        <v>Airplane Single Engine Land</v>
      </c>
      <c r="AS101" s="8" t="b">
        <f>OR((SUM(MasterTable[[#This Row],[ILS]:[PAR]]) = MasterTable[[#This Row],[APPR]]))</f>
        <v>1</v>
      </c>
      <c r="AT101" s="8" t="b">
        <f>NOT(ISBLANK(MasterTable[[#This Row],[Total
Time]]))</f>
        <v>1</v>
      </c>
    </row>
    <row r="102" spans="4:46" ht="14.4" customHeight="1" x14ac:dyDescent="0.3">
      <c r="D102" s="22">
        <v>45449</v>
      </c>
      <c r="E102" s="8" t="s">
        <v>20</v>
      </c>
      <c r="F102" s="8" t="s">
        <v>58</v>
      </c>
      <c r="G102" s="8" t="s">
        <v>58</v>
      </c>
      <c r="I102" s="10">
        <v>1</v>
      </c>
      <c r="J102" s="10">
        <v>1</v>
      </c>
      <c r="L102" s="10">
        <v>0</v>
      </c>
      <c r="M102" s="13">
        <v>0</v>
      </c>
      <c r="N102" s="13"/>
      <c r="O102" s="10">
        <v>0</v>
      </c>
      <c r="P102" s="10">
        <v>0</v>
      </c>
      <c r="Q102" s="14">
        <v>0</v>
      </c>
      <c r="R102" s="14">
        <v>0</v>
      </c>
      <c r="S102" s="10">
        <v>0</v>
      </c>
      <c r="T102" s="10">
        <v>0</v>
      </c>
      <c r="U102" s="14">
        <v>0</v>
      </c>
      <c r="V102" s="10"/>
      <c r="W102" s="11">
        <v>1</v>
      </c>
      <c r="X102" s="11">
        <v>1</v>
      </c>
      <c r="Y102" s="11">
        <v>0</v>
      </c>
      <c r="Z102" s="11">
        <v>0</v>
      </c>
      <c r="AA102" s="11">
        <f>MasterTable[[#This Row],[Landings
Night]]+MasterTable[[#This Row],[Landings
Day]]</f>
        <v>1</v>
      </c>
      <c r="AB102" s="10">
        <v>0</v>
      </c>
      <c r="AC102" s="10">
        <v>0</v>
      </c>
      <c r="AD102" s="11">
        <v>0</v>
      </c>
      <c r="AE102" s="21">
        <f>SUM(MasterTable[[#This Row],[ILS]:[PAR]])</f>
        <v>0</v>
      </c>
      <c r="AL102" s="11"/>
      <c r="AR102" s="91" t="str">
        <f>_xlfn.XLOOKUP(MasterTable[[#This Row],[Aircraft ID]],Aircraft!A:A,Aircraft!H:H)</f>
        <v>Airplane Single Engine Land</v>
      </c>
      <c r="AS102" s="8" t="b">
        <f>OR((SUM(MasterTable[[#This Row],[ILS]:[PAR]]) = MasterTable[[#This Row],[APPR]]))</f>
        <v>1</v>
      </c>
      <c r="AT102" s="8" t="b">
        <f>NOT(ISBLANK(MasterTable[[#This Row],[Total
Time]]))</f>
        <v>1</v>
      </c>
    </row>
    <row r="103" spans="4:46" ht="14.4" customHeight="1" x14ac:dyDescent="0.3">
      <c r="D103" s="22">
        <v>45447</v>
      </c>
      <c r="E103" s="8" t="s">
        <v>20</v>
      </c>
      <c r="F103" s="8" t="s">
        <v>59</v>
      </c>
      <c r="G103" s="8" t="s">
        <v>57</v>
      </c>
      <c r="I103" s="10">
        <v>0.9</v>
      </c>
      <c r="J103" s="10">
        <v>0.9</v>
      </c>
      <c r="L103" s="10">
        <v>0</v>
      </c>
      <c r="M103" s="13">
        <v>0</v>
      </c>
      <c r="N103" s="13"/>
      <c r="O103" s="10">
        <v>0</v>
      </c>
      <c r="P103" s="10">
        <v>0</v>
      </c>
      <c r="Q103" s="14">
        <v>0</v>
      </c>
      <c r="R103" s="14">
        <v>0</v>
      </c>
      <c r="S103" s="10">
        <v>0</v>
      </c>
      <c r="T103" s="10">
        <v>0.9</v>
      </c>
      <c r="U103" s="14">
        <v>0</v>
      </c>
      <c r="V103" s="10">
        <v>0.9</v>
      </c>
      <c r="W103" s="11">
        <v>1</v>
      </c>
      <c r="X103" s="11">
        <v>1</v>
      </c>
      <c r="Y103" s="11">
        <v>0</v>
      </c>
      <c r="Z103" s="11">
        <v>0</v>
      </c>
      <c r="AA103" s="11">
        <f>MasterTable[[#This Row],[Landings
Night]]+MasterTable[[#This Row],[Landings
Day]]</f>
        <v>1</v>
      </c>
      <c r="AB103" s="10">
        <v>0</v>
      </c>
      <c r="AC103" s="10">
        <v>0</v>
      </c>
      <c r="AD103" s="11">
        <v>0</v>
      </c>
      <c r="AE103" s="21">
        <f>SUM(MasterTable[[#This Row],[ILS]:[PAR]])</f>
        <v>0</v>
      </c>
      <c r="AL103" s="11"/>
      <c r="AR103" s="91" t="str">
        <f>_xlfn.XLOOKUP(MasterTable[[#This Row],[Aircraft ID]],Aircraft!A:A,Aircraft!H:H)</f>
        <v>Airplane Single Engine Land</v>
      </c>
      <c r="AS103" s="8" t="b">
        <f>OR((SUM(MasterTable[[#This Row],[ILS]:[PAR]]) = MasterTable[[#This Row],[APPR]]))</f>
        <v>1</v>
      </c>
      <c r="AT103" s="8" t="b">
        <f>NOT(ISBLANK(MasterTable[[#This Row],[Total
Time]]))</f>
        <v>1</v>
      </c>
    </row>
    <row r="104" spans="4:46" ht="14.4" customHeight="1" x14ac:dyDescent="0.3">
      <c r="D104" s="22">
        <v>45447</v>
      </c>
      <c r="E104" s="8" t="s">
        <v>20</v>
      </c>
      <c r="F104" s="8" t="s">
        <v>60</v>
      </c>
      <c r="G104" s="8" t="s">
        <v>59</v>
      </c>
      <c r="I104" s="10">
        <v>1.1000000000000001</v>
      </c>
      <c r="J104" s="10">
        <v>1.1000000000000001</v>
      </c>
      <c r="L104" s="10">
        <v>0</v>
      </c>
      <c r="M104" s="13">
        <v>0</v>
      </c>
      <c r="N104" s="13"/>
      <c r="O104" s="10">
        <v>0</v>
      </c>
      <c r="P104" s="10">
        <v>0</v>
      </c>
      <c r="Q104" s="14">
        <v>0</v>
      </c>
      <c r="R104" s="14">
        <v>0</v>
      </c>
      <c r="S104" s="10">
        <v>0</v>
      </c>
      <c r="T104" s="10">
        <v>1.1000000000000001</v>
      </c>
      <c r="U104" s="14">
        <v>0</v>
      </c>
      <c r="V104" s="10">
        <v>1.1000000000000001</v>
      </c>
      <c r="W104" s="11">
        <v>2</v>
      </c>
      <c r="X104" s="11">
        <v>2</v>
      </c>
      <c r="Y104" s="11">
        <v>0</v>
      </c>
      <c r="Z104" s="11">
        <v>0</v>
      </c>
      <c r="AA104" s="11">
        <f>MasterTable[[#This Row],[Landings
Night]]+MasterTable[[#This Row],[Landings
Day]]</f>
        <v>2</v>
      </c>
      <c r="AB104" s="10">
        <v>0</v>
      </c>
      <c r="AC104" s="10">
        <v>0</v>
      </c>
      <c r="AD104" s="11">
        <v>0</v>
      </c>
      <c r="AE104" s="21">
        <f>SUM(MasterTable[[#This Row],[ILS]:[PAR]])</f>
        <v>0</v>
      </c>
      <c r="AL104" s="11"/>
      <c r="AR104" s="91" t="str">
        <f>_xlfn.XLOOKUP(MasterTable[[#This Row],[Aircraft ID]],Aircraft!A:A,Aircraft!H:H)</f>
        <v>Airplane Single Engine Land</v>
      </c>
      <c r="AS104" s="8" t="b">
        <f>OR((SUM(MasterTable[[#This Row],[ILS]:[PAR]]) = MasterTable[[#This Row],[APPR]]))</f>
        <v>1</v>
      </c>
      <c r="AT104" s="8" t="b">
        <f>NOT(ISBLANK(MasterTable[[#This Row],[Total
Time]]))</f>
        <v>1</v>
      </c>
    </row>
    <row r="105" spans="4:46" ht="14.4" customHeight="1" x14ac:dyDescent="0.3">
      <c r="D105" s="22">
        <v>45447</v>
      </c>
      <c r="E105" s="8" t="s">
        <v>20</v>
      </c>
      <c r="F105" s="8" t="s">
        <v>61</v>
      </c>
      <c r="G105" s="8" t="s">
        <v>60</v>
      </c>
      <c r="I105" s="10">
        <v>1.4</v>
      </c>
      <c r="J105" s="10">
        <v>1.4</v>
      </c>
      <c r="L105" s="10">
        <v>0</v>
      </c>
      <c r="M105" s="13">
        <v>0</v>
      </c>
      <c r="N105" s="13"/>
      <c r="O105" s="10">
        <v>0</v>
      </c>
      <c r="P105" s="10">
        <v>0</v>
      </c>
      <c r="Q105" s="14">
        <v>0</v>
      </c>
      <c r="R105" s="14">
        <v>0</v>
      </c>
      <c r="S105" s="10">
        <v>0</v>
      </c>
      <c r="T105" s="10">
        <v>1.4</v>
      </c>
      <c r="U105" s="14">
        <v>0</v>
      </c>
      <c r="V105" s="10">
        <v>1.2</v>
      </c>
      <c r="W105" s="11">
        <v>1</v>
      </c>
      <c r="X105" s="11">
        <v>1</v>
      </c>
      <c r="Y105" s="11">
        <v>0</v>
      </c>
      <c r="Z105" s="11">
        <v>0</v>
      </c>
      <c r="AA105" s="11">
        <f>MasterTable[[#This Row],[Landings
Night]]+MasterTable[[#This Row],[Landings
Day]]</f>
        <v>1</v>
      </c>
      <c r="AB105" s="10">
        <v>0</v>
      </c>
      <c r="AC105" s="10">
        <v>0</v>
      </c>
      <c r="AD105" s="11">
        <v>0</v>
      </c>
      <c r="AE105" s="21">
        <f>SUM(MasterTable[[#This Row],[ILS]:[PAR]])</f>
        <v>0</v>
      </c>
      <c r="AL105" s="11"/>
      <c r="AR105" s="91" t="str">
        <f>_xlfn.XLOOKUP(MasterTable[[#This Row],[Aircraft ID]],Aircraft!A:A,Aircraft!H:H)</f>
        <v>Airplane Single Engine Land</v>
      </c>
      <c r="AS105" s="8" t="b">
        <f>OR((SUM(MasterTable[[#This Row],[ILS]:[PAR]]) = MasterTable[[#This Row],[APPR]]))</f>
        <v>1</v>
      </c>
      <c r="AT105" s="8" t="b">
        <f>NOT(ISBLANK(MasterTable[[#This Row],[Total
Time]]))</f>
        <v>1</v>
      </c>
    </row>
    <row r="106" spans="4:46" ht="14.4" customHeight="1" x14ac:dyDescent="0.3">
      <c r="D106" s="22">
        <v>45445</v>
      </c>
      <c r="E106" s="8" t="s">
        <v>29</v>
      </c>
      <c r="F106" s="8" t="s">
        <v>62</v>
      </c>
      <c r="G106" s="8" t="s">
        <v>57</v>
      </c>
      <c r="I106" s="10">
        <v>0.5</v>
      </c>
      <c r="J106" s="10">
        <v>0.5</v>
      </c>
      <c r="L106" s="10">
        <v>0</v>
      </c>
      <c r="M106" s="13">
        <v>0</v>
      </c>
      <c r="N106" s="13"/>
      <c r="O106" s="10">
        <v>0</v>
      </c>
      <c r="P106" s="10">
        <v>0</v>
      </c>
      <c r="Q106" s="14">
        <v>0</v>
      </c>
      <c r="R106" s="14">
        <v>0</v>
      </c>
      <c r="S106" s="10">
        <v>0</v>
      </c>
      <c r="T106" s="10">
        <v>0</v>
      </c>
      <c r="U106" s="14">
        <v>0</v>
      </c>
      <c r="V106" s="10">
        <v>0.4</v>
      </c>
      <c r="W106" s="11">
        <v>1</v>
      </c>
      <c r="X106" s="11">
        <v>1</v>
      </c>
      <c r="Y106" s="11">
        <v>0</v>
      </c>
      <c r="Z106" s="11">
        <v>0</v>
      </c>
      <c r="AA106" s="11">
        <f>MasterTable[[#This Row],[Landings
Night]]+MasterTable[[#This Row],[Landings
Day]]</f>
        <v>1</v>
      </c>
      <c r="AB106" s="10">
        <v>0</v>
      </c>
      <c r="AC106" s="10">
        <v>0</v>
      </c>
      <c r="AD106" s="11">
        <v>0</v>
      </c>
      <c r="AE106" s="21">
        <f>SUM(MasterTable[[#This Row],[ILS]:[PAR]])</f>
        <v>0</v>
      </c>
      <c r="AL106" s="11"/>
      <c r="AR106" s="91" t="str">
        <f>_xlfn.XLOOKUP(MasterTable[[#This Row],[Aircraft ID]],Aircraft!A:A,Aircraft!H:H)</f>
        <v>Airplane Single Engine Land</v>
      </c>
      <c r="AS106" s="8" t="b">
        <f>OR((SUM(MasterTable[[#This Row],[ILS]:[PAR]]) = MasterTable[[#This Row],[APPR]]))</f>
        <v>1</v>
      </c>
      <c r="AT106" s="8" t="b">
        <f>NOT(ISBLANK(MasterTable[[#This Row],[Total
Time]]))</f>
        <v>1</v>
      </c>
    </row>
    <row r="107" spans="4:46" ht="14.4" customHeight="1" x14ac:dyDescent="0.3">
      <c r="D107" s="22">
        <v>45439</v>
      </c>
      <c r="E107" s="8" t="s">
        <v>29</v>
      </c>
      <c r="F107" s="8" t="s">
        <v>57</v>
      </c>
      <c r="G107" s="8" t="s">
        <v>62</v>
      </c>
      <c r="I107" s="10">
        <v>0.4</v>
      </c>
      <c r="J107" s="10">
        <v>0.4</v>
      </c>
      <c r="M107" s="13">
        <v>0</v>
      </c>
      <c r="N107" s="13"/>
      <c r="Q107" s="14">
        <v>0</v>
      </c>
      <c r="R107" s="14">
        <v>0</v>
      </c>
      <c r="U107" s="14">
        <v>0</v>
      </c>
      <c r="V107" s="10"/>
      <c r="W107" s="11">
        <v>1</v>
      </c>
      <c r="X107" s="11">
        <v>1</v>
      </c>
      <c r="AA107" s="11">
        <f>MasterTable[[#This Row],[Landings
Night]]+MasterTable[[#This Row],[Landings
Day]]</f>
        <v>1</v>
      </c>
      <c r="AE107" s="21">
        <f>SUM(MasterTable[[#This Row],[ILS]:[PAR]])</f>
        <v>0</v>
      </c>
      <c r="AL107" s="11"/>
      <c r="AR107" s="91" t="str">
        <f>_xlfn.XLOOKUP(MasterTable[[#This Row],[Aircraft ID]],Aircraft!A:A,Aircraft!H:H)</f>
        <v>Airplane Single Engine Land</v>
      </c>
      <c r="AS107" s="8" t="b">
        <f>OR((SUM(MasterTable[[#This Row],[ILS]:[PAR]]) = MasterTable[[#This Row],[APPR]]))</f>
        <v>1</v>
      </c>
      <c r="AT107" s="8" t="b">
        <f>NOT(ISBLANK(MasterTable[[#This Row],[Total
Time]]))</f>
        <v>1</v>
      </c>
    </row>
    <row r="108" spans="4:46" ht="14.4" customHeight="1" x14ac:dyDescent="0.3">
      <c r="D108" s="22">
        <v>45439</v>
      </c>
      <c r="E108" s="8" t="s">
        <v>29</v>
      </c>
      <c r="F108" s="8" t="s">
        <v>63</v>
      </c>
      <c r="G108" s="8" t="s">
        <v>57</v>
      </c>
      <c r="I108" s="10">
        <v>1.2</v>
      </c>
      <c r="J108" s="10">
        <v>1.2</v>
      </c>
      <c r="M108" s="13">
        <v>0</v>
      </c>
      <c r="N108" s="13"/>
      <c r="Q108" s="14">
        <v>0</v>
      </c>
      <c r="R108" s="14">
        <v>0</v>
      </c>
      <c r="T108" s="10">
        <v>1.2</v>
      </c>
      <c r="U108" s="14">
        <v>0</v>
      </c>
      <c r="V108" s="10"/>
      <c r="W108" s="11">
        <v>1</v>
      </c>
      <c r="X108" s="11">
        <v>1</v>
      </c>
      <c r="AA108" s="11">
        <f>MasterTable[[#This Row],[Landings
Night]]+MasterTable[[#This Row],[Landings
Day]]</f>
        <v>1</v>
      </c>
      <c r="AE108" s="21">
        <f>SUM(MasterTable[[#This Row],[ILS]:[PAR]])</f>
        <v>0</v>
      </c>
      <c r="AL108" s="11"/>
      <c r="AR108" s="91" t="str">
        <f>_xlfn.XLOOKUP(MasterTable[[#This Row],[Aircraft ID]],Aircraft!A:A,Aircraft!H:H)</f>
        <v>Airplane Single Engine Land</v>
      </c>
      <c r="AS108" s="8" t="b">
        <f>OR((SUM(MasterTable[[#This Row],[ILS]:[PAR]]) = MasterTable[[#This Row],[APPR]]))</f>
        <v>1</v>
      </c>
      <c r="AT108" s="8" t="b">
        <f>NOT(ISBLANK(MasterTable[[#This Row],[Total
Time]]))</f>
        <v>1</v>
      </c>
    </row>
    <row r="109" spans="4:46" ht="14.4" customHeight="1" x14ac:dyDescent="0.3">
      <c r="D109" s="22">
        <v>45438</v>
      </c>
      <c r="E109" s="8" t="s">
        <v>29</v>
      </c>
      <c r="F109" s="8" t="s">
        <v>56</v>
      </c>
      <c r="G109" s="8" t="s">
        <v>63</v>
      </c>
      <c r="I109" s="10">
        <v>0.4</v>
      </c>
      <c r="J109" s="10">
        <v>0.4</v>
      </c>
      <c r="M109" s="13">
        <v>0</v>
      </c>
      <c r="N109" s="13"/>
      <c r="Q109" s="14">
        <v>0</v>
      </c>
      <c r="R109" s="14">
        <v>0</v>
      </c>
      <c r="U109" s="14">
        <v>0</v>
      </c>
      <c r="V109" s="10"/>
      <c r="W109" s="11">
        <v>1</v>
      </c>
      <c r="X109" s="11">
        <v>1</v>
      </c>
      <c r="AA109" s="11">
        <f>MasterTable[[#This Row],[Landings
Night]]+MasterTable[[#This Row],[Landings
Day]]</f>
        <v>1</v>
      </c>
      <c r="AE109" s="21">
        <f>SUM(MasterTable[[#This Row],[ILS]:[PAR]])</f>
        <v>0</v>
      </c>
      <c r="AL109" s="11"/>
      <c r="AR109" s="91" t="str">
        <f>_xlfn.XLOOKUP(MasterTable[[#This Row],[Aircraft ID]],Aircraft!A:A,Aircraft!H:H)</f>
        <v>Airplane Single Engine Land</v>
      </c>
      <c r="AS109" s="8" t="b">
        <f>OR((SUM(MasterTable[[#This Row],[ILS]:[PAR]]) = MasterTable[[#This Row],[APPR]]))</f>
        <v>1</v>
      </c>
      <c r="AT109" s="8" t="b">
        <f>NOT(ISBLANK(MasterTable[[#This Row],[Total
Time]]))</f>
        <v>1</v>
      </c>
    </row>
    <row r="110" spans="4:46" ht="14.4" customHeight="1" x14ac:dyDescent="0.3">
      <c r="D110" s="22">
        <v>45438</v>
      </c>
      <c r="E110" s="8" t="s">
        <v>29</v>
      </c>
      <c r="F110" s="8" t="s">
        <v>57</v>
      </c>
      <c r="G110" s="8" t="s">
        <v>56</v>
      </c>
      <c r="I110" s="10">
        <v>1</v>
      </c>
      <c r="J110" s="10">
        <v>1</v>
      </c>
      <c r="L110" s="10">
        <v>0</v>
      </c>
      <c r="M110" s="13">
        <v>0</v>
      </c>
      <c r="N110" s="13"/>
      <c r="O110" s="10">
        <v>0</v>
      </c>
      <c r="P110" s="10">
        <v>0</v>
      </c>
      <c r="Q110" s="14">
        <v>0</v>
      </c>
      <c r="R110" s="14">
        <v>0</v>
      </c>
      <c r="S110" s="10">
        <v>0</v>
      </c>
      <c r="T110" s="10">
        <v>1</v>
      </c>
      <c r="U110" s="14">
        <v>0</v>
      </c>
      <c r="V110" s="10"/>
      <c r="W110" s="11">
        <v>1</v>
      </c>
      <c r="X110" s="11">
        <v>1</v>
      </c>
      <c r="Y110" s="11">
        <v>0</v>
      </c>
      <c r="Z110" s="11">
        <v>0</v>
      </c>
      <c r="AA110" s="11">
        <f>MasterTable[[#This Row],[Landings
Night]]+MasterTable[[#This Row],[Landings
Day]]</f>
        <v>1</v>
      </c>
      <c r="AB110" s="10">
        <v>0</v>
      </c>
      <c r="AC110" s="10">
        <v>0</v>
      </c>
      <c r="AD110" s="11">
        <v>0</v>
      </c>
      <c r="AE110" s="21">
        <f>SUM(MasterTable[[#This Row],[ILS]:[PAR]])</f>
        <v>0</v>
      </c>
      <c r="AL110" s="11"/>
      <c r="AR110" s="91" t="str">
        <f>_xlfn.XLOOKUP(MasterTable[[#This Row],[Aircraft ID]],Aircraft!A:A,Aircraft!H:H)</f>
        <v>Airplane Single Engine Land</v>
      </c>
      <c r="AS110" s="8" t="b">
        <f>OR((SUM(MasterTable[[#This Row],[ILS]:[PAR]]) = MasterTable[[#This Row],[APPR]]))</f>
        <v>1</v>
      </c>
      <c r="AT110" s="8" t="b">
        <f>NOT(ISBLANK(MasterTable[[#This Row],[Total
Time]]))</f>
        <v>1</v>
      </c>
    </row>
    <row r="111" spans="4:46" ht="14.4" customHeight="1" x14ac:dyDescent="0.3">
      <c r="D111" s="22">
        <v>45428</v>
      </c>
      <c r="E111" s="8" t="s">
        <v>24</v>
      </c>
      <c r="F111" s="8" t="s">
        <v>58</v>
      </c>
      <c r="G111" s="8" t="s">
        <v>62</v>
      </c>
      <c r="I111" s="10">
        <v>1.5</v>
      </c>
      <c r="J111" s="10">
        <v>0</v>
      </c>
      <c r="L111" s="10">
        <v>1.5</v>
      </c>
      <c r="M111" s="13">
        <v>0</v>
      </c>
      <c r="N111" s="13"/>
      <c r="O111" s="10">
        <v>0</v>
      </c>
      <c r="P111" s="10">
        <v>0</v>
      </c>
      <c r="Q111" s="14">
        <v>0</v>
      </c>
      <c r="R111" s="14">
        <v>0</v>
      </c>
      <c r="S111" s="10">
        <v>1.5</v>
      </c>
      <c r="T111" s="10">
        <v>0</v>
      </c>
      <c r="U111" s="14">
        <v>0</v>
      </c>
      <c r="V111" s="10"/>
      <c r="W111" s="11">
        <v>0</v>
      </c>
      <c r="X111" s="11">
        <v>0</v>
      </c>
      <c r="Y111" s="11">
        <v>1</v>
      </c>
      <c r="Z111" s="11">
        <v>1</v>
      </c>
      <c r="AA111" s="11">
        <f>MasterTable[[#This Row],[Landings
Night]]+MasterTable[[#This Row],[Landings
Day]]</f>
        <v>1</v>
      </c>
      <c r="AB111" s="10">
        <v>0</v>
      </c>
      <c r="AC111" s="10">
        <v>0</v>
      </c>
      <c r="AD111" s="11">
        <v>0</v>
      </c>
      <c r="AE111" s="21">
        <f>SUM(MasterTable[[#This Row],[ILS]:[PAR]])</f>
        <v>0</v>
      </c>
      <c r="AL111" s="11"/>
      <c r="AR111" s="91" t="str">
        <f>_xlfn.XLOOKUP(MasterTable[[#This Row],[Aircraft ID]],Aircraft!A:A,Aircraft!H:H)</f>
        <v>Airplane Single Engine Sea</v>
      </c>
      <c r="AS111" s="8" t="b">
        <f>OR((SUM(MasterTable[[#This Row],[ILS]:[PAR]]) = MasterTable[[#This Row],[APPR]]))</f>
        <v>1</v>
      </c>
      <c r="AT111" s="8" t="b">
        <f>NOT(ISBLANK(MasterTable[[#This Row],[Total
Time]]))</f>
        <v>1</v>
      </c>
    </row>
    <row r="112" spans="4:46" ht="14.4" customHeight="1" x14ac:dyDescent="0.3">
      <c r="D112" s="22">
        <v>45424</v>
      </c>
      <c r="E112" s="8" t="s">
        <v>29</v>
      </c>
      <c r="F112" s="8" t="s">
        <v>57</v>
      </c>
      <c r="G112" s="8" t="s">
        <v>57</v>
      </c>
      <c r="I112" s="10">
        <v>0.9</v>
      </c>
      <c r="J112" s="10">
        <v>0.9</v>
      </c>
      <c r="L112" s="10">
        <v>0</v>
      </c>
      <c r="M112" s="13">
        <v>0</v>
      </c>
      <c r="N112" s="13"/>
      <c r="O112" s="10">
        <v>0</v>
      </c>
      <c r="P112" s="10">
        <v>0</v>
      </c>
      <c r="Q112" s="14">
        <v>0</v>
      </c>
      <c r="R112" s="14">
        <v>0</v>
      </c>
      <c r="S112" s="10">
        <v>0</v>
      </c>
      <c r="T112" s="10">
        <v>0</v>
      </c>
      <c r="U112" s="14">
        <v>0</v>
      </c>
      <c r="V112" s="10"/>
      <c r="W112" s="11">
        <v>1</v>
      </c>
      <c r="X112" s="11">
        <v>1</v>
      </c>
      <c r="Y112" s="11">
        <v>0</v>
      </c>
      <c r="Z112" s="11">
        <v>0</v>
      </c>
      <c r="AA112" s="11">
        <f>MasterTable[[#This Row],[Landings
Night]]+MasterTable[[#This Row],[Landings
Day]]</f>
        <v>1</v>
      </c>
      <c r="AB112" s="10">
        <v>0</v>
      </c>
      <c r="AC112" s="10">
        <v>0</v>
      </c>
      <c r="AD112" s="11">
        <v>0</v>
      </c>
      <c r="AE112" s="21">
        <f>SUM(MasterTable[[#This Row],[ILS]:[PAR]])</f>
        <v>0</v>
      </c>
      <c r="AL112" s="11"/>
      <c r="AR112" s="91" t="str">
        <f>_xlfn.XLOOKUP(MasterTable[[#This Row],[Aircraft ID]],Aircraft!A:A,Aircraft!H:H)</f>
        <v>Airplane Single Engine Land</v>
      </c>
      <c r="AS112" s="8" t="b">
        <f>OR((SUM(MasterTable[[#This Row],[ILS]:[PAR]]) = MasterTable[[#This Row],[APPR]]))</f>
        <v>1</v>
      </c>
      <c r="AT112" s="8" t="b">
        <f>NOT(ISBLANK(MasterTable[[#This Row],[Total
Time]]))</f>
        <v>1</v>
      </c>
    </row>
    <row r="113" spans="4:46" ht="14.4" customHeight="1" x14ac:dyDescent="0.3">
      <c r="D113" s="22">
        <v>45403</v>
      </c>
      <c r="E113" s="8" t="s">
        <v>29</v>
      </c>
      <c r="F113" s="8" t="s">
        <v>54</v>
      </c>
      <c r="G113" s="8" t="s">
        <v>57</v>
      </c>
      <c r="I113" s="10">
        <v>2.2000000000000002</v>
      </c>
      <c r="J113" s="10">
        <v>2.2000000000000002</v>
      </c>
      <c r="L113" s="10">
        <v>0</v>
      </c>
      <c r="M113" s="13">
        <v>0</v>
      </c>
      <c r="N113" s="13"/>
      <c r="O113" s="10">
        <v>0</v>
      </c>
      <c r="P113" s="10">
        <v>0</v>
      </c>
      <c r="Q113" s="14">
        <v>0</v>
      </c>
      <c r="R113" s="14">
        <v>0</v>
      </c>
      <c r="S113" s="10">
        <v>0</v>
      </c>
      <c r="T113" s="10">
        <v>2.2000000000000002</v>
      </c>
      <c r="U113" s="14">
        <v>0</v>
      </c>
      <c r="V113" s="10"/>
      <c r="W113" s="11">
        <v>1</v>
      </c>
      <c r="X113" s="11">
        <v>1</v>
      </c>
      <c r="Y113" s="11">
        <v>0</v>
      </c>
      <c r="Z113" s="11">
        <v>0</v>
      </c>
      <c r="AA113" s="11">
        <f>MasterTable[[#This Row],[Landings
Night]]+MasterTable[[#This Row],[Landings
Day]]</f>
        <v>1</v>
      </c>
      <c r="AB113" s="10">
        <v>0</v>
      </c>
      <c r="AC113" s="10">
        <v>0</v>
      </c>
      <c r="AD113" s="11">
        <v>0</v>
      </c>
      <c r="AE113" s="21">
        <f>SUM(MasterTable[[#This Row],[ILS]:[PAR]])</f>
        <v>0</v>
      </c>
      <c r="AL113" s="11"/>
      <c r="AR113" s="91" t="str">
        <f>_xlfn.XLOOKUP(MasterTable[[#This Row],[Aircraft ID]],Aircraft!A:A,Aircraft!H:H)</f>
        <v>Airplane Single Engine Land</v>
      </c>
      <c r="AS113" s="8" t="b">
        <f>OR((SUM(MasterTable[[#This Row],[ILS]:[PAR]]) = MasterTable[[#This Row],[APPR]]))</f>
        <v>1</v>
      </c>
      <c r="AT113" s="8" t="b">
        <f>NOT(ISBLANK(MasterTable[[#This Row],[Total
Time]]))</f>
        <v>1</v>
      </c>
    </row>
    <row r="114" spans="4:46" ht="14.4" customHeight="1" x14ac:dyDescent="0.3">
      <c r="D114" s="22">
        <v>45400</v>
      </c>
      <c r="E114" s="8" t="s">
        <v>29</v>
      </c>
      <c r="F114" s="8" t="s">
        <v>58</v>
      </c>
      <c r="G114" s="8" t="s">
        <v>54</v>
      </c>
      <c r="I114" s="10">
        <v>2.4</v>
      </c>
      <c r="J114" s="10">
        <v>2.4</v>
      </c>
      <c r="L114" s="10">
        <v>0</v>
      </c>
      <c r="M114" s="13">
        <v>0</v>
      </c>
      <c r="N114" s="13"/>
      <c r="O114" s="10">
        <v>0</v>
      </c>
      <c r="P114" s="10">
        <v>0</v>
      </c>
      <c r="Q114" s="14">
        <v>0</v>
      </c>
      <c r="R114" s="14">
        <v>0</v>
      </c>
      <c r="S114" s="10">
        <v>0</v>
      </c>
      <c r="T114" s="10">
        <v>2.4</v>
      </c>
      <c r="U114" s="14">
        <v>0</v>
      </c>
      <c r="V114" s="10"/>
      <c r="W114" s="11">
        <v>1</v>
      </c>
      <c r="X114" s="11">
        <v>1</v>
      </c>
      <c r="Y114" s="11">
        <v>0</v>
      </c>
      <c r="Z114" s="11">
        <v>0</v>
      </c>
      <c r="AA114" s="11">
        <f>MasterTable[[#This Row],[Landings
Night]]+MasterTable[[#This Row],[Landings
Day]]</f>
        <v>1</v>
      </c>
      <c r="AB114" s="10">
        <v>0</v>
      </c>
      <c r="AC114" s="10">
        <v>0</v>
      </c>
      <c r="AD114" s="11">
        <v>0</v>
      </c>
      <c r="AE114" s="21">
        <f>SUM(MasterTable[[#This Row],[ILS]:[PAR]])</f>
        <v>0</v>
      </c>
      <c r="AL114" s="11"/>
      <c r="AR114" s="91" t="str">
        <f>_xlfn.XLOOKUP(MasterTable[[#This Row],[Aircraft ID]],Aircraft!A:A,Aircraft!H:H)</f>
        <v>Airplane Single Engine Land</v>
      </c>
      <c r="AS114" s="8" t="b">
        <f>OR((SUM(MasterTable[[#This Row],[ILS]:[PAR]]) = MasterTable[[#This Row],[APPR]]))</f>
        <v>1</v>
      </c>
      <c r="AT114" s="8" t="b">
        <f>NOT(ISBLANK(MasterTable[[#This Row],[Total
Time]]))</f>
        <v>1</v>
      </c>
    </row>
    <row r="115" spans="4:46" ht="14.4" customHeight="1" x14ac:dyDescent="0.3">
      <c r="D115" s="22">
        <v>45400</v>
      </c>
      <c r="E115" s="8" t="s">
        <v>29</v>
      </c>
      <c r="F115" s="8" t="s">
        <v>57</v>
      </c>
      <c r="G115" s="8" t="s">
        <v>58</v>
      </c>
      <c r="I115" s="10">
        <v>0.4</v>
      </c>
      <c r="J115" s="10">
        <v>0.4</v>
      </c>
      <c r="L115" s="10">
        <v>0</v>
      </c>
      <c r="M115" s="13">
        <v>0</v>
      </c>
      <c r="N115" s="13"/>
      <c r="O115" s="10">
        <v>0</v>
      </c>
      <c r="P115" s="10">
        <v>0</v>
      </c>
      <c r="Q115" s="14">
        <v>0</v>
      </c>
      <c r="R115" s="14">
        <v>0</v>
      </c>
      <c r="S115" s="10">
        <v>0</v>
      </c>
      <c r="T115" s="10">
        <v>0</v>
      </c>
      <c r="U115" s="14">
        <v>0</v>
      </c>
      <c r="V115" s="10"/>
      <c r="W115" s="11">
        <v>1</v>
      </c>
      <c r="X115" s="11">
        <v>1</v>
      </c>
      <c r="Y115" s="11">
        <v>0</v>
      </c>
      <c r="Z115" s="11">
        <v>0</v>
      </c>
      <c r="AA115" s="11">
        <f>MasterTable[[#This Row],[Landings
Night]]+MasterTable[[#This Row],[Landings
Day]]</f>
        <v>1</v>
      </c>
      <c r="AB115" s="10">
        <v>0</v>
      </c>
      <c r="AC115" s="10">
        <v>0</v>
      </c>
      <c r="AD115" s="11">
        <v>0</v>
      </c>
      <c r="AE115" s="21">
        <f>SUM(MasterTable[[#This Row],[ILS]:[PAR]])</f>
        <v>0</v>
      </c>
      <c r="AL115" s="11"/>
      <c r="AR115" s="91" t="str">
        <f>_xlfn.XLOOKUP(MasterTable[[#This Row],[Aircraft ID]],Aircraft!A:A,Aircraft!H:H)</f>
        <v>Airplane Single Engine Land</v>
      </c>
      <c r="AS115" s="8" t="b">
        <f>OR((SUM(MasterTable[[#This Row],[ILS]:[PAR]]) = MasterTable[[#This Row],[APPR]]))</f>
        <v>1</v>
      </c>
      <c r="AT115" s="8" t="b">
        <f>NOT(ISBLANK(MasterTable[[#This Row],[Total
Time]]))</f>
        <v>1</v>
      </c>
    </row>
    <row r="116" spans="4:46" ht="14.4" customHeight="1" x14ac:dyDescent="0.3">
      <c r="D116" s="22">
        <v>45393</v>
      </c>
      <c r="E116" s="8" t="s">
        <v>24</v>
      </c>
      <c r="F116" s="8" t="s">
        <v>58</v>
      </c>
      <c r="G116" s="8" t="s">
        <v>59</v>
      </c>
      <c r="I116" s="10">
        <v>1.1000000000000001</v>
      </c>
      <c r="J116" s="10">
        <v>0</v>
      </c>
      <c r="L116" s="10">
        <v>1.1000000000000001</v>
      </c>
      <c r="M116" s="13">
        <v>0</v>
      </c>
      <c r="N116" s="13"/>
      <c r="O116" s="10">
        <v>0</v>
      </c>
      <c r="P116" s="10">
        <v>0</v>
      </c>
      <c r="Q116" s="14">
        <v>0</v>
      </c>
      <c r="R116" s="14">
        <v>0</v>
      </c>
      <c r="S116" s="10">
        <v>0</v>
      </c>
      <c r="T116" s="10">
        <v>0</v>
      </c>
      <c r="U116" s="14">
        <v>0</v>
      </c>
      <c r="V116" s="10"/>
      <c r="W116" s="11">
        <v>2</v>
      </c>
      <c r="X116" s="11">
        <v>2</v>
      </c>
      <c r="Y116" s="11">
        <v>0</v>
      </c>
      <c r="Z116" s="11">
        <v>0</v>
      </c>
      <c r="AA116" s="11">
        <f>MasterTable[[#This Row],[Landings
Night]]+MasterTable[[#This Row],[Landings
Day]]</f>
        <v>2</v>
      </c>
      <c r="AB116" s="10">
        <v>0</v>
      </c>
      <c r="AC116" s="10">
        <v>0</v>
      </c>
      <c r="AD116" s="11">
        <v>0</v>
      </c>
      <c r="AE116" s="21">
        <f>SUM(MasterTable[[#This Row],[ILS]:[PAR]])</f>
        <v>0</v>
      </c>
      <c r="AL116" s="11"/>
      <c r="AR116" s="91" t="str">
        <f>_xlfn.XLOOKUP(MasterTable[[#This Row],[Aircraft ID]],Aircraft!A:A,Aircraft!H:H)</f>
        <v>Airplane Single Engine Sea</v>
      </c>
      <c r="AS116" s="8" t="b">
        <f>OR((SUM(MasterTable[[#This Row],[ILS]:[PAR]]) = MasterTable[[#This Row],[APPR]]))</f>
        <v>1</v>
      </c>
      <c r="AT116" s="8" t="b">
        <f>NOT(ISBLANK(MasterTable[[#This Row],[Total
Time]]))</f>
        <v>1</v>
      </c>
    </row>
    <row r="117" spans="4:46" ht="14.4" customHeight="1" x14ac:dyDescent="0.3">
      <c r="D117" s="22">
        <v>45393</v>
      </c>
      <c r="E117" s="8" t="s">
        <v>29</v>
      </c>
      <c r="F117" s="8" t="s">
        <v>57</v>
      </c>
      <c r="G117" s="8" t="s">
        <v>58</v>
      </c>
      <c r="I117" s="10">
        <v>0.8</v>
      </c>
      <c r="J117" s="10">
        <v>0.8</v>
      </c>
      <c r="L117" s="10">
        <v>0</v>
      </c>
      <c r="M117" s="13">
        <v>0</v>
      </c>
      <c r="N117" s="13"/>
      <c r="O117" s="10">
        <v>0</v>
      </c>
      <c r="P117" s="10">
        <v>0</v>
      </c>
      <c r="Q117" s="14">
        <v>0</v>
      </c>
      <c r="R117" s="14">
        <v>0</v>
      </c>
      <c r="S117" s="10">
        <v>0</v>
      </c>
      <c r="T117" s="10">
        <v>0</v>
      </c>
      <c r="U117" s="14">
        <v>0</v>
      </c>
      <c r="V117" s="10"/>
      <c r="W117" s="11">
        <v>2</v>
      </c>
      <c r="X117" s="11">
        <v>2</v>
      </c>
      <c r="Y117" s="11">
        <v>0</v>
      </c>
      <c r="Z117" s="11">
        <v>0</v>
      </c>
      <c r="AA117" s="11">
        <f>MasterTable[[#This Row],[Landings
Night]]+MasterTable[[#This Row],[Landings
Day]]</f>
        <v>2</v>
      </c>
      <c r="AB117" s="10">
        <v>0</v>
      </c>
      <c r="AC117" s="10">
        <v>0</v>
      </c>
      <c r="AD117" s="11">
        <v>0</v>
      </c>
      <c r="AE117" s="21">
        <f>SUM(MasterTable[[#This Row],[ILS]:[PAR]])</f>
        <v>0</v>
      </c>
      <c r="AL117" s="11"/>
      <c r="AR117" s="91" t="str">
        <f>_xlfn.XLOOKUP(MasterTable[[#This Row],[Aircraft ID]],Aircraft!A:A,Aircraft!H:H)</f>
        <v>Airplane Single Engine Land</v>
      </c>
      <c r="AS117" s="8" t="b">
        <f>OR((SUM(MasterTable[[#This Row],[ILS]:[PAR]]) = MasterTable[[#This Row],[APPR]]))</f>
        <v>1</v>
      </c>
      <c r="AT117" s="8" t="b">
        <f>NOT(ISBLANK(MasterTable[[#This Row],[Total
Time]]))</f>
        <v>1</v>
      </c>
    </row>
    <row r="118" spans="4:46" ht="14.4" customHeight="1" x14ac:dyDescent="0.3">
      <c r="D118" s="22">
        <v>45392</v>
      </c>
      <c r="E118" s="8" t="s">
        <v>29</v>
      </c>
      <c r="F118" s="8" t="s">
        <v>57</v>
      </c>
      <c r="G118" s="8" t="s">
        <v>58</v>
      </c>
      <c r="I118" s="10">
        <v>0.9</v>
      </c>
      <c r="J118" s="10">
        <v>0.9</v>
      </c>
      <c r="L118" s="10">
        <v>0</v>
      </c>
      <c r="M118" s="13">
        <v>0</v>
      </c>
      <c r="N118" s="13"/>
      <c r="O118" s="10">
        <v>0</v>
      </c>
      <c r="P118" s="10">
        <v>0</v>
      </c>
      <c r="Q118" s="14">
        <v>0</v>
      </c>
      <c r="R118" s="14">
        <v>0</v>
      </c>
      <c r="S118" s="10">
        <v>0</v>
      </c>
      <c r="T118" s="10">
        <v>0</v>
      </c>
      <c r="U118" s="14">
        <v>0</v>
      </c>
      <c r="V118" s="10">
        <v>0.6</v>
      </c>
      <c r="W118" s="11">
        <v>2</v>
      </c>
      <c r="X118" s="11">
        <v>2</v>
      </c>
      <c r="Y118" s="11">
        <v>0</v>
      </c>
      <c r="Z118" s="11">
        <v>0</v>
      </c>
      <c r="AA118" s="11">
        <f>MasterTable[[#This Row],[Landings
Night]]+MasterTable[[#This Row],[Landings
Day]]</f>
        <v>2</v>
      </c>
      <c r="AB118" s="10">
        <v>0</v>
      </c>
      <c r="AC118" s="10">
        <v>0</v>
      </c>
      <c r="AD118" s="11">
        <v>0</v>
      </c>
      <c r="AE118" s="21">
        <f>SUM(MasterTable[[#This Row],[ILS]:[PAR]])</f>
        <v>0</v>
      </c>
      <c r="AL118" s="11"/>
      <c r="AR118" s="91" t="str">
        <f>_xlfn.XLOOKUP(MasterTable[[#This Row],[Aircraft ID]],Aircraft!A:A,Aircraft!H:H)</f>
        <v>Airplane Single Engine Land</v>
      </c>
      <c r="AS118" s="8" t="b">
        <f>OR((SUM(MasterTable[[#This Row],[ILS]:[PAR]]) = MasterTable[[#This Row],[APPR]]))</f>
        <v>1</v>
      </c>
      <c r="AT118" s="8" t="b">
        <f>NOT(ISBLANK(MasterTable[[#This Row],[Total
Time]]))</f>
        <v>1</v>
      </c>
    </row>
    <row r="119" spans="4:46" ht="14.4" customHeight="1" x14ac:dyDescent="0.3">
      <c r="D119" s="22">
        <v>45370</v>
      </c>
      <c r="E119" s="8" t="s">
        <v>24</v>
      </c>
      <c r="F119" s="8" t="s">
        <v>58</v>
      </c>
      <c r="G119" s="8" t="s">
        <v>58</v>
      </c>
      <c r="I119" s="10">
        <v>1.2</v>
      </c>
      <c r="L119" s="10">
        <v>1.2</v>
      </c>
      <c r="M119" s="13">
        <v>0</v>
      </c>
      <c r="N119" s="13"/>
      <c r="O119" s="10">
        <v>0</v>
      </c>
      <c r="P119" s="10">
        <v>0</v>
      </c>
      <c r="Q119" s="14">
        <v>0</v>
      </c>
      <c r="R119" s="14">
        <v>0</v>
      </c>
      <c r="S119" s="10">
        <v>0</v>
      </c>
      <c r="T119" s="10">
        <v>0</v>
      </c>
      <c r="U119" s="14">
        <v>0</v>
      </c>
      <c r="V119" s="10"/>
      <c r="W119" s="11">
        <v>3</v>
      </c>
      <c r="X119" s="11">
        <v>3</v>
      </c>
      <c r="Y119" s="11">
        <v>0</v>
      </c>
      <c r="Z119" s="11">
        <v>0</v>
      </c>
      <c r="AA119" s="11">
        <f>MasterTable[[#This Row],[Landings
Night]]+MasterTable[[#This Row],[Landings
Day]]</f>
        <v>3</v>
      </c>
      <c r="AB119" s="10">
        <v>0</v>
      </c>
      <c r="AC119" s="10">
        <v>0</v>
      </c>
      <c r="AD119" s="11">
        <v>0</v>
      </c>
      <c r="AE119" s="21">
        <f>SUM(MasterTable[[#This Row],[ILS]:[PAR]])</f>
        <v>0</v>
      </c>
      <c r="AL119" s="11"/>
      <c r="AR119" s="91" t="str">
        <f>_xlfn.XLOOKUP(MasterTable[[#This Row],[Aircraft ID]],Aircraft!A:A,Aircraft!H:H)</f>
        <v>Airplane Single Engine Sea</v>
      </c>
      <c r="AS119" s="8" t="b">
        <f>OR((SUM(MasterTable[[#This Row],[ILS]:[PAR]]) = MasterTable[[#This Row],[APPR]]))</f>
        <v>1</v>
      </c>
      <c r="AT119" s="8" t="b">
        <f>NOT(ISBLANK(MasterTable[[#This Row],[Total
Time]]))</f>
        <v>1</v>
      </c>
    </row>
    <row r="120" spans="4:46" ht="14.4" customHeight="1" x14ac:dyDescent="0.3">
      <c r="D120" s="22">
        <v>45362</v>
      </c>
      <c r="E120" s="8" t="s">
        <v>29</v>
      </c>
      <c r="F120" s="8" t="s">
        <v>62</v>
      </c>
      <c r="G120" s="8" t="s">
        <v>57</v>
      </c>
      <c r="I120" s="10">
        <v>0.5</v>
      </c>
      <c r="J120" s="10">
        <v>0.5</v>
      </c>
      <c r="L120" s="10">
        <v>0</v>
      </c>
      <c r="M120" s="13">
        <v>0</v>
      </c>
      <c r="N120" s="13"/>
      <c r="O120" s="10">
        <v>0</v>
      </c>
      <c r="P120" s="10">
        <v>0</v>
      </c>
      <c r="Q120" s="14">
        <v>0</v>
      </c>
      <c r="R120" s="14">
        <v>0</v>
      </c>
      <c r="S120" s="10">
        <v>0</v>
      </c>
      <c r="T120" s="10">
        <v>0</v>
      </c>
      <c r="U120" s="14">
        <v>0</v>
      </c>
      <c r="V120" s="10">
        <v>0.4</v>
      </c>
      <c r="W120" s="11">
        <v>1</v>
      </c>
      <c r="X120" s="11">
        <v>1</v>
      </c>
      <c r="Y120" s="11">
        <v>0</v>
      </c>
      <c r="Z120" s="11">
        <v>0</v>
      </c>
      <c r="AA120" s="11">
        <f>MasterTable[[#This Row],[Landings
Night]]+MasterTable[[#This Row],[Landings
Day]]</f>
        <v>1</v>
      </c>
      <c r="AB120" s="10">
        <v>0</v>
      </c>
      <c r="AC120" s="10">
        <v>0</v>
      </c>
      <c r="AD120" s="11">
        <v>0</v>
      </c>
      <c r="AE120" s="21">
        <f>SUM(MasterTable[[#This Row],[ILS]:[PAR]])</f>
        <v>0</v>
      </c>
      <c r="AL120" s="11"/>
      <c r="AR120" s="91" t="str">
        <f>_xlfn.XLOOKUP(MasterTable[[#This Row],[Aircraft ID]],Aircraft!A:A,Aircraft!H:H)</f>
        <v>Airplane Single Engine Land</v>
      </c>
      <c r="AS120" s="8" t="b">
        <f>OR((SUM(MasterTable[[#This Row],[ILS]:[PAR]]) = MasterTable[[#This Row],[APPR]]))</f>
        <v>1</v>
      </c>
      <c r="AT120" s="8" t="b">
        <f>NOT(ISBLANK(MasterTable[[#This Row],[Total
Time]]))</f>
        <v>1</v>
      </c>
    </row>
    <row r="121" spans="4:46" ht="14.4" customHeight="1" x14ac:dyDescent="0.3">
      <c r="D121" s="22">
        <v>45362</v>
      </c>
      <c r="E121" s="8" t="s">
        <v>29</v>
      </c>
      <c r="F121" s="8" t="s">
        <v>58</v>
      </c>
      <c r="G121" s="8" t="s">
        <v>62</v>
      </c>
      <c r="I121" s="10">
        <v>0.8</v>
      </c>
      <c r="J121" s="10">
        <v>0.8</v>
      </c>
      <c r="L121" s="10">
        <v>0</v>
      </c>
      <c r="M121" s="13">
        <v>0</v>
      </c>
      <c r="N121" s="13"/>
      <c r="O121" s="10">
        <v>0</v>
      </c>
      <c r="P121" s="10">
        <v>0</v>
      </c>
      <c r="Q121" s="14">
        <v>0</v>
      </c>
      <c r="R121" s="14">
        <v>0</v>
      </c>
      <c r="S121" s="10">
        <v>0</v>
      </c>
      <c r="T121" s="10">
        <v>0</v>
      </c>
      <c r="U121" s="14">
        <v>0</v>
      </c>
      <c r="V121" s="10"/>
      <c r="W121" s="11">
        <v>1</v>
      </c>
      <c r="X121" s="11">
        <v>1</v>
      </c>
      <c r="Y121" s="11">
        <v>0</v>
      </c>
      <c r="Z121" s="11">
        <v>0</v>
      </c>
      <c r="AA121" s="11">
        <f>MasterTable[[#This Row],[Landings
Night]]+MasterTable[[#This Row],[Landings
Day]]</f>
        <v>1</v>
      </c>
      <c r="AB121" s="10">
        <v>0</v>
      </c>
      <c r="AC121" s="10">
        <v>0</v>
      </c>
      <c r="AD121" s="11">
        <v>0</v>
      </c>
      <c r="AE121" s="21">
        <f>SUM(MasterTable[[#This Row],[ILS]:[PAR]])</f>
        <v>0</v>
      </c>
      <c r="AL121" s="11"/>
      <c r="AR121" s="91" t="str">
        <f>_xlfn.XLOOKUP(MasterTable[[#This Row],[Aircraft ID]],Aircraft!A:A,Aircraft!H:H)</f>
        <v>Airplane Single Engine Land</v>
      </c>
      <c r="AS121" s="8" t="b">
        <f>OR((SUM(MasterTable[[#This Row],[ILS]:[PAR]]) = MasterTable[[#This Row],[APPR]]))</f>
        <v>1</v>
      </c>
      <c r="AT121" s="8" t="b">
        <f>NOT(ISBLANK(MasterTable[[#This Row],[Total
Time]]))</f>
        <v>1</v>
      </c>
    </row>
    <row r="122" spans="4:46" ht="14.4" customHeight="1" x14ac:dyDescent="0.3">
      <c r="D122" s="22">
        <v>45362</v>
      </c>
      <c r="E122" s="8" t="s">
        <v>29</v>
      </c>
      <c r="F122" s="8" t="s">
        <v>57</v>
      </c>
      <c r="G122" s="8" t="s">
        <v>58</v>
      </c>
      <c r="I122" s="10">
        <v>0.4</v>
      </c>
      <c r="J122" s="10">
        <v>0.4</v>
      </c>
      <c r="L122" s="10">
        <v>0</v>
      </c>
      <c r="M122" s="13">
        <v>0</v>
      </c>
      <c r="N122" s="13"/>
      <c r="O122" s="10">
        <v>0</v>
      </c>
      <c r="P122" s="10">
        <v>0</v>
      </c>
      <c r="Q122" s="14">
        <v>0</v>
      </c>
      <c r="R122" s="14">
        <v>0</v>
      </c>
      <c r="S122" s="10">
        <v>0</v>
      </c>
      <c r="T122" s="10">
        <v>0</v>
      </c>
      <c r="U122" s="14">
        <v>0</v>
      </c>
      <c r="V122" s="10"/>
      <c r="W122" s="11">
        <v>1</v>
      </c>
      <c r="X122" s="11">
        <v>1</v>
      </c>
      <c r="Y122" s="11">
        <v>0</v>
      </c>
      <c r="Z122" s="11">
        <v>0</v>
      </c>
      <c r="AA122" s="11">
        <f>MasterTable[[#This Row],[Landings
Night]]+MasterTable[[#This Row],[Landings
Day]]</f>
        <v>1</v>
      </c>
      <c r="AB122" s="10">
        <v>0</v>
      </c>
      <c r="AC122" s="10">
        <v>0</v>
      </c>
      <c r="AD122" s="11">
        <v>0</v>
      </c>
      <c r="AE122" s="21">
        <f>SUM(MasterTable[[#This Row],[ILS]:[PAR]])</f>
        <v>0</v>
      </c>
      <c r="AL122" s="11"/>
      <c r="AR122" s="91" t="str">
        <f>_xlfn.XLOOKUP(MasterTable[[#This Row],[Aircraft ID]],Aircraft!A:A,Aircraft!H:H)</f>
        <v>Airplane Single Engine Land</v>
      </c>
      <c r="AS122" s="8" t="b">
        <f>OR((SUM(MasterTable[[#This Row],[ILS]:[PAR]]) = MasterTable[[#This Row],[APPR]]))</f>
        <v>1</v>
      </c>
      <c r="AT122" s="8" t="b">
        <f>NOT(ISBLANK(MasterTable[[#This Row],[Total
Time]]))</f>
        <v>1</v>
      </c>
    </row>
    <row r="123" spans="4:46" ht="14.4" customHeight="1" x14ac:dyDescent="0.3">
      <c r="D123" s="22">
        <v>45339</v>
      </c>
      <c r="E123" s="8" t="s">
        <v>29</v>
      </c>
      <c r="F123" s="8" t="s">
        <v>57</v>
      </c>
      <c r="G123" s="8" t="s">
        <v>57</v>
      </c>
      <c r="I123" s="10">
        <v>0.8</v>
      </c>
      <c r="J123" s="10">
        <v>0.8</v>
      </c>
      <c r="L123" s="10">
        <v>0</v>
      </c>
      <c r="M123" s="13">
        <v>0</v>
      </c>
      <c r="N123" s="13"/>
      <c r="O123" s="10">
        <v>0</v>
      </c>
      <c r="P123" s="10">
        <v>0</v>
      </c>
      <c r="Q123" s="14">
        <v>0</v>
      </c>
      <c r="R123" s="14">
        <v>0</v>
      </c>
      <c r="S123" s="10">
        <v>0</v>
      </c>
      <c r="T123" s="10">
        <v>0</v>
      </c>
      <c r="U123" s="14">
        <v>0</v>
      </c>
      <c r="V123" s="10"/>
      <c r="W123" s="11">
        <v>1</v>
      </c>
      <c r="X123" s="11">
        <v>1</v>
      </c>
      <c r="Y123" s="11">
        <v>0</v>
      </c>
      <c r="Z123" s="11">
        <v>0</v>
      </c>
      <c r="AA123" s="11">
        <f>MasterTable[[#This Row],[Landings
Night]]+MasterTable[[#This Row],[Landings
Day]]</f>
        <v>1</v>
      </c>
      <c r="AB123" s="10">
        <v>0</v>
      </c>
      <c r="AC123" s="10">
        <v>0</v>
      </c>
      <c r="AD123" s="11">
        <v>0</v>
      </c>
      <c r="AE123" s="21">
        <f>SUM(MasterTable[[#This Row],[ILS]:[PAR]])</f>
        <v>0</v>
      </c>
      <c r="AL123" s="11"/>
      <c r="AR123" s="91" t="str">
        <f>_xlfn.XLOOKUP(MasterTable[[#This Row],[Aircraft ID]],Aircraft!A:A,Aircraft!H:H)</f>
        <v>Airplane Single Engine Land</v>
      </c>
      <c r="AS123" s="8" t="b">
        <f>OR((SUM(MasterTable[[#This Row],[ILS]:[PAR]]) = MasterTable[[#This Row],[APPR]]))</f>
        <v>1</v>
      </c>
      <c r="AT123" s="8" t="b">
        <f>NOT(ISBLANK(MasterTable[[#This Row],[Total
Time]]))</f>
        <v>1</v>
      </c>
    </row>
    <row r="124" spans="4:46" ht="14.4" customHeight="1" x14ac:dyDescent="0.3">
      <c r="D124" s="22">
        <v>45310</v>
      </c>
      <c r="E124" s="8" t="s">
        <v>15</v>
      </c>
      <c r="F124" s="8" t="s">
        <v>57</v>
      </c>
      <c r="G124" s="8" t="s">
        <v>57</v>
      </c>
      <c r="I124" s="10">
        <v>0.8</v>
      </c>
      <c r="J124" s="10">
        <v>0.8</v>
      </c>
      <c r="L124" s="10">
        <v>0</v>
      </c>
      <c r="M124" s="13">
        <v>0</v>
      </c>
      <c r="N124" s="13"/>
      <c r="O124" s="10">
        <v>0.8</v>
      </c>
      <c r="P124" s="10">
        <v>0</v>
      </c>
      <c r="Q124" s="14">
        <v>0</v>
      </c>
      <c r="R124" s="14">
        <v>0</v>
      </c>
      <c r="S124" s="10">
        <v>0</v>
      </c>
      <c r="T124" s="10">
        <v>0</v>
      </c>
      <c r="U124" s="14">
        <v>0</v>
      </c>
      <c r="V124" s="10"/>
      <c r="W124" s="11">
        <v>2</v>
      </c>
      <c r="X124" s="11">
        <v>2</v>
      </c>
      <c r="Y124" s="11">
        <v>0</v>
      </c>
      <c r="Z124" s="11">
        <v>0</v>
      </c>
      <c r="AA124" s="11">
        <f>MasterTable[[#This Row],[Landings
Night]]+MasterTable[[#This Row],[Landings
Day]]</f>
        <v>2</v>
      </c>
      <c r="AB124" s="10">
        <v>0</v>
      </c>
      <c r="AC124" s="10">
        <v>0</v>
      </c>
      <c r="AD124" s="11">
        <v>0</v>
      </c>
      <c r="AE124" s="21">
        <f>SUM(MasterTable[[#This Row],[ILS]:[PAR]])</f>
        <v>0</v>
      </c>
      <c r="AL124" s="11"/>
      <c r="AR124" s="91" t="str">
        <f>_xlfn.XLOOKUP(MasterTable[[#This Row],[Aircraft ID]],Aircraft!A:A,Aircraft!H:H)</f>
        <v>Glider</v>
      </c>
      <c r="AS124" s="8" t="b">
        <f>OR((SUM(MasterTable[[#This Row],[ILS]:[PAR]]) = MasterTable[[#This Row],[APPR]]))</f>
        <v>1</v>
      </c>
      <c r="AT124" s="8" t="b">
        <f>NOT(ISBLANK(MasterTable[[#This Row],[Total
Time]]))</f>
        <v>1</v>
      </c>
    </row>
    <row r="125" spans="4:46" ht="14.4" customHeight="1" x14ac:dyDescent="0.3">
      <c r="D125" s="22">
        <v>45304</v>
      </c>
      <c r="E125" s="8" t="s">
        <v>15</v>
      </c>
      <c r="F125" s="8" t="s">
        <v>57</v>
      </c>
      <c r="G125" s="8" t="s">
        <v>57</v>
      </c>
      <c r="I125" s="10">
        <v>0.8</v>
      </c>
      <c r="J125" s="10">
        <v>0.8</v>
      </c>
      <c r="L125" s="10">
        <v>0</v>
      </c>
      <c r="M125" s="13">
        <v>0</v>
      </c>
      <c r="N125" s="13"/>
      <c r="O125" s="10">
        <v>0</v>
      </c>
      <c r="P125" s="10">
        <v>0.8</v>
      </c>
      <c r="Q125" s="14">
        <v>0</v>
      </c>
      <c r="R125" s="14">
        <v>0</v>
      </c>
      <c r="S125" s="10">
        <v>0</v>
      </c>
      <c r="T125" s="10">
        <v>0</v>
      </c>
      <c r="U125" s="14">
        <v>0</v>
      </c>
      <c r="V125" s="10"/>
      <c r="W125" s="11">
        <v>1</v>
      </c>
      <c r="X125" s="11">
        <v>1</v>
      </c>
      <c r="Y125" s="11">
        <v>0</v>
      </c>
      <c r="Z125" s="11">
        <v>0</v>
      </c>
      <c r="AA125" s="11">
        <f>MasterTable[[#This Row],[Landings
Night]]+MasterTable[[#This Row],[Landings
Day]]</f>
        <v>1</v>
      </c>
      <c r="AB125" s="10">
        <v>0</v>
      </c>
      <c r="AC125" s="10">
        <v>0</v>
      </c>
      <c r="AD125" s="11">
        <v>0</v>
      </c>
      <c r="AE125" s="21">
        <f>SUM(MasterTable[[#This Row],[ILS]:[PAR]])</f>
        <v>0</v>
      </c>
      <c r="AL125" s="11"/>
      <c r="AR125" s="91" t="str">
        <f>_xlfn.XLOOKUP(MasterTable[[#This Row],[Aircraft ID]],Aircraft!A:A,Aircraft!H:H)</f>
        <v>Glider</v>
      </c>
      <c r="AS125" s="8" t="b">
        <f>OR((SUM(MasterTable[[#This Row],[ILS]:[PAR]]) = MasterTable[[#This Row],[APPR]]))</f>
        <v>1</v>
      </c>
      <c r="AT125" s="8" t="b">
        <f>NOT(ISBLANK(MasterTable[[#This Row],[Total
Time]]))</f>
        <v>1</v>
      </c>
    </row>
    <row r="126" spans="4:46" ht="14.4" customHeight="1" x14ac:dyDescent="0.3">
      <c r="D126" s="22">
        <v>45296</v>
      </c>
      <c r="E126" s="8" t="s">
        <v>29</v>
      </c>
      <c r="F126" s="8" t="s">
        <v>57</v>
      </c>
      <c r="G126" s="8" t="s">
        <v>57</v>
      </c>
      <c r="I126" s="10">
        <v>1.1000000000000001</v>
      </c>
      <c r="J126" s="10">
        <v>1.1000000000000001</v>
      </c>
      <c r="L126" s="10">
        <v>0</v>
      </c>
      <c r="M126" s="13">
        <v>0</v>
      </c>
      <c r="N126" s="13"/>
      <c r="O126" s="10">
        <v>0</v>
      </c>
      <c r="P126" s="10">
        <v>0</v>
      </c>
      <c r="Q126" s="14">
        <v>0</v>
      </c>
      <c r="R126" s="14">
        <v>0</v>
      </c>
      <c r="S126" s="10">
        <v>0</v>
      </c>
      <c r="T126" s="10">
        <v>0</v>
      </c>
      <c r="U126" s="14">
        <v>0</v>
      </c>
      <c r="V126" s="10">
        <v>1.1000000000000001</v>
      </c>
      <c r="W126" s="11">
        <v>1</v>
      </c>
      <c r="X126" s="11">
        <v>1</v>
      </c>
      <c r="Y126" s="11">
        <v>0</v>
      </c>
      <c r="Z126" s="11">
        <v>0</v>
      </c>
      <c r="AA126" s="11">
        <f>MasterTable[[#This Row],[Landings
Night]]+MasterTable[[#This Row],[Landings
Day]]</f>
        <v>1</v>
      </c>
      <c r="AB126" s="10">
        <v>0</v>
      </c>
      <c r="AC126" s="10">
        <v>0</v>
      </c>
      <c r="AD126" s="11">
        <v>0</v>
      </c>
      <c r="AE126" s="21">
        <f>SUM(MasterTable[[#This Row],[ILS]:[PAR]])</f>
        <v>0</v>
      </c>
      <c r="AL126" s="11"/>
      <c r="AR126" s="91" t="str">
        <f>_xlfn.XLOOKUP(MasterTable[[#This Row],[Aircraft ID]],Aircraft!A:A,Aircraft!H:H)</f>
        <v>Airplane Single Engine Land</v>
      </c>
      <c r="AS126" s="8" t="b">
        <f>OR((SUM(MasterTable[[#This Row],[ILS]:[PAR]]) = MasterTable[[#This Row],[APPR]]))</f>
        <v>1</v>
      </c>
      <c r="AT126" s="8" t="b">
        <f>NOT(ISBLANK(MasterTable[[#This Row],[Total
Time]]))</f>
        <v>1</v>
      </c>
    </row>
    <row r="127" spans="4:46" ht="14.4" customHeight="1" x14ac:dyDescent="0.3">
      <c r="D127" s="22">
        <v>45276</v>
      </c>
      <c r="E127" s="8" t="s">
        <v>15</v>
      </c>
      <c r="F127" s="8" t="s">
        <v>57</v>
      </c>
      <c r="G127" s="8" t="s">
        <v>57</v>
      </c>
      <c r="I127" s="10">
        <v>1</v>
      </c>
      <c r="J127" s="10">
        <v>1</v>
      </c>
      <c r="M127" s="13">
        <v>0</v>
      </c>
      <c r="N127" s="13"/>
      <c r="P127" s="10">
        <v>1</v>
      </c>
      <c r="Q127" s="14">
        <v>0</v>
      </c>
      <c r="R127" s="14">
        <v>0</v>
      </c>
      <c r="U127" s="14">
        <v>0</v>
      </c>
      <c r="V127" s="10"/>
      <c r="W127" s="11">
        <v>1</v>
      </c>
      <c r="X127" s="11">
        <v>1</v>
      </c>
      <c r="AA127" s="11">
        <f>MasterTable[[#This Row],[Landings
Night]]+MasterTable[[#This Row],[Landings
Day]]</f>
        <v>1</v>
      </c>
      <c r="AE127" s="21">
        <f>SUM(MasterTable[[#This Row],[ILS]:[PAR]])</f>
        <v>0</v>
      </c>
      <c r="AL127" s="11"/>
      <c r="AR127" s="91" t="str">
        <f>_xlfn.XLOOKUP(MasterTable[[#This Row],[Aircraft ID]],Aircraft!A:A,Aircraft!H:H)</f>
        <v>Glider</v>
      </c>
      <c r="AS127" s="8" t="b">
        <f>OR((SUM(MasterTable[[#This Row],[ILS]:[PAR]]) = MasterTable[[#This Row],[APPR]]))</f>
        <v>1</v>
      </c>
      <c r="AT127" s="8" t="b">
        <f>NOT(ISBLANK(MasterTable[[#This Row],[Total
Time]]))</f>
        <v>1</v>
      </c>
    </row>
    <row r="128" spans="4:46" ht="14.4" customHeight="1" x14ac:dyDescent="0.3">
      <c r="D128" s="22">
        <v>45275</v>
      </c>
      <c r="E128" s="8" t="s">
        <v>29</v>
      </c>
      <c r="F128" s="8" t="s">
        <v>56</v>
      </c>
      <c r="G128" s="8" t="s">
        <v>57</v>
      </c>
      <c r="I128" s="10">
        <v>1.5</v>
      </c>
      <c r="J128" s="10">
        <v>1.5</v>
      </c>
      <c r="M128" s="13">
        <v>0</v>
      </c>
      <c r="N128" s="13"/>
      <c r="Q128" s="14">
        <v>0</v>
      </c>
      <c r="R128" s="14">
        <v>0</v>
      </c>
      <c r="T128" s="10">
        <v>1.5</v>
      </c>
      <c r="U128" s="14">
        <v>0</v>
      </c>
      <c r="V128" s="10">
        <v>1.3</v>
      </c>
      <c r="W128" s="11">
        <v>1</v>
      </c>
      <c r="X128" s="11">
        <v>1</v>
      </c>
      <c r="AA128" s="11">
        <f>MasterTable[[#This Row],[Landings
Night]]+MasterTable[[#This Row],[Landings
Day]]</f>
        <v>1</v>
      </c>
      <c r="AE128" s="21">
        <f>SUM(MasterTable[[#This Row],[ILS]:[PAR]])</f>
        <v>0</v>
      </c>
      <c r="AL128" s="11"/>
      <c r="AR128" s="91" t="str">
        <f>_xlfn.XLOOKUP(MasterTable[[#This Row],[Aircraft ID]],Aircraft!A:A,Aircraft!H:H)</f>
        <v>Airplane Single Engine Land</v>
      </c>
      <c r="AS128" s="8" t="b">
        <f>OR((SUM(MasterTable[[#This Row],[ILS]:[PAR]]) = MasterTable[[#This Row],[APPR]]))</f>
        <v>1</v>
      </c>
      <c r="AT128" s="8" t="b">
        <f>NOT(ISBLANK(MasterTable[[#This Row],[Total
Time]]))</f>
        <v>1</v>
      </c>
    </row>
    <row r="129" spans="4:46" ht="14.4" customHeight="1" x14ac:dyDescent="0.3">
      <c r="D129" s="22">
        <v>45275</v>
      </c>
      <c r="E129" s="8" t="s">
        <v>29</v>
      </c>
      <c r="F129" s="8" t="s">
        <v>57</v>
      </c>
      <c r="G129" s="8" t="s">
        <v>56</v>
      </c>
      <c r="I129" s="10">
        <v>1.1000000000000001</v>
      </c>
      <c r="J129" s="10">
        <v>1.1000000000000001</v>
      </c>
      <c r="M129" s="13">
        <v>0</v>
      </c>
      <c r="N129" s="13"/>
      <c r="Q129" s="14">
        <v>0</v>
      </c>
      <c r="R129" s="14">
        <v>0</v>
      </c>
      <c r="T129" s="10">
        <v>1.1000000000000001</v>
      </c>
      <c r="U129" s="14">
        <v>0</v>
      </c>
      <c r="V129" s="10">
        <v>0.9</v>
      </c>
      <c r="W129" s="11">
        <v>1</v>
      </c>
      <c r="X129" s="11">
        <v>1</v>
      </c>
      <c r="AA129" s="11">
        <f>MasterTable[[#This Row],[Landings
Night]]+MasterTable[[#This Row],[Landings
Day]]</f>
        <v>1</v>
      </c>
      <c r="AE129" s="21">
        <f>SUM(MasterTable[[#This Row],[ILS]:[PAR]])</f>
        <v>0</v>
      </c>
      <c r="AL129" s="11"/>
      <c r="AR129" s="91" t="str">
        <f>_xlfn.XLOOKUP(MasterTable[[#This Row],[Aircraft ID]],Aircraft!A:A,Aircraft!H:H)</f>
        <v>Airplane Single Engine Land</v>
      </c>
      <c r="AS129" s="8" t="b">
        <f>OR((SUM(MasterTable[[#This Row],[ILS]:[PAR]]) = MasterTable[[#This Row],[APPR]]))</f>
        <v>1</v>
      </c>
      <c r="AT129" s="8" t="b">
        <f>NOT(ISBLANK(MasterTable[[#This Row],[Total
Time]]))</f>
        <v>1</v>
      </c>
    </row>
    <row r="130" spans="4:46" ht="14.4" customHeight="1" x14ac:dyDescent="0.3">
      <c r="D130" s="22">
        <v>45256</v>
      </c>
      <c r="E130" s="8" t="s">
        <v>29</v>
      </c>
      <c r="F130" s="8" t="s">
        <v>54</v>
      </c>
      <c r="G130" s="8" t="s">
        <v>57</v>
      </c>
      <c r="I130" s="10">
        <v>2.4</v>
      </c>
      <c r="J130" s="10">
        <v>2.4</v>
      </c>
      <c r="L130" s="10">
        <v>0</v>
      </c>
      <c r="M130" s="13">
        <v>0</v>
      </c>
      <c r="N130" s="13"/>
      <c r="O130" s="10">
        <v>0</v>
      </c>
      <c r="P130" s="10">
        <v>0</v>
      </c>
      <c r="Q130" s="14">
        <v>0</v>
      </c>
      <c r="R130" s="14">
        <v>0</v>
      </c>
      <c r="S130" s="10">
        <v>0</v>
      </c>
      <c r="T130" s="10">
        <v>2.4</v>
      </c>
      <c r="U130" s="14">
        <v>0</v>
      </c>
      <c r="V130" s="10"/>
      <c r="W130" s="11">
        <v>2</v>
      </c>
      <c r="X130" s="11">
        <v>2</v>
      </c>
      <c r="Y130" s="11">
        <v>0</v>
      </c>
      <c r="Z130" s="11">
        <v>0</v>
      </c>
      <c r="AA130" s="11">
        <f>MasterTable[[#This Row],[Landings
Night]]+MasterTable[[#This Row],[Landings
Day]]</f>
        <v>2</v>
      </c>
      <c r="AB130" s="10">
        <v>0</v>
      </c>
      <c r="AC130" s="10">
        <v>0</v>
      </c>
      <c r="AD130" s="11">
        <v>0</v>
      </c>
      <c r="AE130" s="21">
        <f>SUM(MasterTable[[#This Row],[ILS]:[PAR]])</f>
        <v>0</v>
      </c>
      <c r="AL130" s="11"/>
      <c r="AR130" s="91" t="str">
        <f>_xlfn.XLOOKUP(MasterTable[[#This Row],[Aircraft ID]],Aircraft!A:A,Aircraft!H:H)</f>
        <v>Airplane Single Engine Land</v>
      </c>
      <c r="AS130" s="8" t="b">
        <f>OR((SUM(MasterTable[[#This Row],[ILS]:[PAR]]) = MasterTable[[#This Row],[APPR]]))</f>
        <v>1</v>
      </c>
      <c r="AT130" s="8" t="b">
        <f>NOT(ISBLANK(MasterTable[[#This Row],[Total
Time]]))</f>
        <v>1</v>
      </c>
    </row>
    <row r="131" spans="4:46" ht="14.4" customHeight="1" x14ac:dyDescent="0.3">
      <c r="D131" s="22">
        <v>45255</v>
      </c>
      <c r="E131" s="8" t="s">
        <v>29</v>
      </c>
      <c r="F131" s="8" t="s">
        <v>54</v>
      </c>
      <c r="G131" s="8" t="s">
        <v>54</v>
      </c>
      <c r="I131" s="10">
        <v>1.3</v>
      </c>
      <c r="J131" s="10">
        <v>1.3</v>
      </c>
      <c r="L131" s="10">
        <v>0</v>
      </c>
      <c r="M131" s="13">
        <v>0</v>
      </c>
      <c r="N131" s="13"/>
      <c r="O131" s="10">
        <v>0</v>
      </c>
      <c r="P131" s="10">
        <v>0</v>
      </c>
      <c r="Q131" s="14">
        <v>0</v>
      </c>
      <c r="R131" s="14">
        <v>0</v>
      </c>
      <c r="S131" s="10">
        <v>0</v>
      </c>
      <c r="T131" s="10">
        <v>0</v>
      </c>
      <c r="U131" s="14">
        <v>0</v>
      </c>
      <c r="V131" s="10"/>
      <c r="W131" s="11">
        <v>1</v>
      </c>
      <c r="X131" s="11">
        <v>1</v>
      </c>
      <c r="Y131" s="11">
        <v>0</v>
      </c>
      <c r="Z131" s="11">
        <v>0</v>
      </c>
      <c r="AA131" s="11">
        <f>MasterTable[[#This Row],[Landings
Night]]+MasterTable[[#This Row],[Landings
Day]]</f>
        <v>1</v>
      </c>
      <c r="AB131" s="10">
        <v>0</v>
      </c>
      <c r="AC131" s="10">
        <v>0</v>
      </c>
      <c r="AD131" s="11">
        <v>0</v>
      </c>
      <c r="AE131" s="21">
        <f>SUM(MasterTable[[#This Row],[ILS]:[PAR]])</f>
        <v>0</v>
      </c>
      <c r="AL131" s="11"/>
      <c r="AR131" s="91" t="str">
        <f>_xlfn.XLOOKUP(MasterTable[[#This Row],[Aircraft ID]],Aircraft!A:A,Aircraft!H:H)</f>
        <v>Airplane Single Engine Land</v>
      </c>
      <c r="AS131" s="8" t="b">
        <f>OR((SUM(MasterTable[[#This Row],[ILS]:[PAR]]) = MasterTable[[#This Row],[APPR]]))</f>
        <v>1</v>
      </c>
      <c r="AT131" s="8" t="b">
        <f>NOT(ISBLANK(MasterTable[[#This Row],[Total
Time]]))</f>
        <v>1</v>
      </c>
    </row>
    <row r="132" spans="4:46" ht="14.4" customHeight="1" x14ac:dyDescent="0.3">
      <c r="D132" s="22">
        <v>45254</v>
      </c>
      <c r="E132" s="8" t="s">
        <v>29</v>
      </c>
      <c r="F132" s="8" t="s">
        <v>54</v>
      </c>
      <c r="G132" s="8" t="s">
        <v>54</v>
      </c>
      <c r="I132" s="10">
        <v>0.4</v>
      </c>
      <c r="J132" s="10">
        <v>0.4</v>
      </c>
      <c r="M132" s="13">
        <v>0</v>
      </c>
      <c r="N132" s="13"/>
      <c r="Q132" s="14">
        <v>0</v>
      </c>
      <c r="R132" s="14">
        <v>0</v>
      </c>
      <c r="U132" s="14">
        <v>0</v>
      </c>
      <c r="V132" s="10"/>
      <c r="W132" s="11">
        <v>1</v>
      </c>
      <c r="X132" s="11">
        <v>1</v>
      </c>
      <c r="AA132" s="11">
        <f>MasterTable[[#This Row],[Landings
Night]]+MasterTable[[#This Row],[Landings
Day]]</f>
        <v>1</v>
      </c>
      <c r="AE132" s="21">
        <f>SUM(MasterTable[[#This Row],[ILS]:[PAR]])</f>
        <v>0</v>
      </c>
      <c r="AL132" s="11"/>
      <c r="AR132" s="91" t="str">
        <f>_xlfn.XLOOKUP(MasterTable[[#This Row],[Aircraft ID]],Aircraft!A:A,Aircraft!H:H)</f>
        <v>Airplane Single Engine Land</v>
      </c>
      <c r="AS132" s="8" t="b">
        <f>OR((SUM(MasterTable[[#This Row],[ILS]:[PAR]]) = MasterTable[[#This Row],[APPR]]))</f>
        <v>1</v>
      </c>
      <c r="AT132" s="8" t="b">
        <f>NOT(ISBLANK(MasterTable[[#This Row],[Total
Time]]))</f>
        <v>1</v>
      </c>
    </row>
    <row r="133" spans="4:46" ht="14.4" customHeight="1" x14ac:dyDescent="0.3">
      <c r="D133" s="22">
        <v>45254</v>
      </c>
      <c r="E133" s="8" t="s">
        <v>29</v>
      </c>
      <c r="F133" s="8" t="s">
        <v>54</v>
      </c>
      <c r="G133" s="8" t="s">
        <v>54</v>
      </c>
      <c r="I133" s="10">
        <v>0.6</v>
      </c>
      <c r="J133" s="10">
        <v>0.6</v>
      </c>
      <c r="M133" s="13">
        <v>0</v>
      </c>
      <c r="N133" s="13"/>
      <c r="O133" s="10">
        <v>0.6</v>
      </c>
      <c r="Q133" s="14">
        <v>0</v>
      </c>
      <c r="R133" s="14">
        <v>0</v>
      </c>
      <c r="U133" s="14">
        <v>0</v>
      </c>
      <c r="V133" s="10"/>
      <c r="W133" s="11">
        <v>1</v>
      </c>
      <c r="X133" s="11">
        <v>1</v>
      </c>
      <c r="AA133" s="11">
        <f>MasterTable[[#This Row],[Landings
Night]]+MasterTable[[#This Row],[Landings
Day]]</f>
        <v>1</v>
      </c>
      <c r="AE133" s="21">
        <f>SUM(MasterTable[[#This Row],[ILS]:[PAR]])</f>
        <v>0</v>
      </c>
      <c r="AL133" s="11"/>
      <c r="AR133" s="91" t="str">
        <f>_xlfn.XLOOKUP(MasterTable[[#This Row],[Aircraft ID]],Aircraft!A:A,Aircraft!H:H)</f>
        <v>Airplane Single Engine Land</v>
      </c>
      <c r="AS133" s="8" t="b">
        <f>OR((SUM(MasterTable[[#This Row],[ILS]:[PAR]]) = MasterTable[[#This Row],[APPR]]))</f>
        <v>1</v>
      </c>
      <c r="AT133" s="8" t="b">
        <f>NOT(ISBLANK(MasterTable[[#This Row],[Total
Time]]))</f>
        <v>1</v>
      </c>
    </row>
    <row r="134" spans="4:46" ht="14.4" customHeight="1" x14ac:dyDescent="0.3">
      <c r="D134" s="22">
        <v>45253</v>
      </c>
      <c r="E134" s="8" t="s">
        <v>29</v>
      </c>
      <c r="F134" s="8" t="s">
        <v>57</v>
      </c>
      <c r="G134" s="8" t="s">
        <v>54</v>
      </c>
      <c r="I134" s="10">
        <v>2.4</v>
      </c>
      <c r="J134" s="10">
        <v>2.4</v>
      </c>
      <c r="L134" s="10">
        <v>0</v>
      </c>
      <c r="M134" s="13">
        <v>0</v>
      </c>
      <c r="N134" s="13"/>
      <c r="O134" s="10">
        <v>0</v>
      </c>
      <c r="P134" s="10">
        <v>0</v>
      </c>
      <c r="Q134" s="14">
        <v>0</v>
      </c>
      <c r="R134" s="14">
        <v>0</v>
      </c>
      <c r="S134" s="10">
        <v>0</v>
      </c>
      <c r="T134" s="10">
        <v>2.4</v>
      </c>
      <c r="U134" s="14">
        <v>0</v>
      </c>
      <c r="V134" s="10"/>
      <c r="W134" s="11">
        <v>1</v>
      </c>
      <c r="X134" s="11">
        <v>1</v>
      </c>
      <c r="Y134" s="11">
        <v>0</v>
      </c>
      <c r="Z134" s="11">
        <v>0</v>
      </c>
      <c r="AA134" s="11">
        <f>MasterTable[[#This Row],[Landings
Night]]+MasterTable[[#This Row],[Landings
Day]]</f>
        <v>1</v>
      </c>
      <c r="AB134" s="10">
        <v>0</v>
      </c>
      <c r="AC134" s="10">
        <v>0</v>
      </c>
      <c r="AD134" s="11">
        <v>0</v>
      </c>
      <c r="AE134" s="21">
        <f>SUM(MasterTable[[#This Row],[ILS]:[PAR]])</f>
        <v>0</v>
      </c>
      <c r="AL134" s="11"/>
      <c r="AR134" s="91" t="str">
        <f>_xlfn.XLOOKUP(MasterTable[[#This Row],[Aircraft ID]],Aircraft!A:A,Aircraft!H:H)</f>
        <v>Airplane Single Engine Land</v>
      </c>
      <c r="AS134" s="8" t="b">
        <f>OR((SUM(MasterTable[[#This Row],[ILS]:[PAR]]) = MasterTable[[#This Row],[APPR]]))</f>
        <v>1</v>
      </c>
      <c r="AT134" s="8" t="b">
        <f>NOT(ISBLANK(MasterTable[[#This Row],[Total
Time]]))</f>
        <v>1</v>
      </c>
    </row>
    <row r="135" spans="4:46" ht="14.4" customHeight="1" x14ac:dyDescent="0.3">
      <c r="D135" s="22">
        <v>45252</v>
      </c>
      <c r="E135" s="8" t="s">
        <v>29</v>
      </c>
      <c r="F135" s="8" t="s">
        <v>57</v>
      </c>
      <c r="G135" s="8" t="s">
        <v>57</v>
      </c>
      <c r="I135" s="10">
        <v>0.3</v>
      </c>
      <c r="J135" s="10">
        <v>0.3</v>
      </c>
      <c r="L135" s="10">
        <v>0</v>
      </c>
      <c r="M135" s="13">
        <v>0</v>
      </c>
      <c r="N135" s="13"/>
      <c r="O135" s="10">
        <v>0</v>
      </c>
      <c r="P135" s="10">
        <v>0</v>
      </c>
      <c r="Q135" s="14">
        <v>0</v>
      </c>
      <c r="R135" s="14">
        <v>0</v>
      </c>
      <c r="S135" s="10">
        <v>0</v>
      </c>
      <c r="T135" s="10">
        <v>0</v>
      </c>
      <c r="U135" s="14">
        <v>0</v>
      </c>
      <c r="V135" s="10"/>
      <c r="W135" s="11">
        <v>1</v>
      </c>
      <c r="X135" s="11">
        <v>1</v>
      </c>
      <c r="Y135" s="11">
        <v>0</v>
      </c>
      <c r="Z135" s="11">
        <v>0</v>
      </c>
      <c r="AA135" s="11">
        <f>MasterTable[[#This Row],[Landings
Night]]+MasterTable[[#This Row],[Landings
Day]]</f>
        <v>1</v>
      </c>
      <c r="AB135" s="10">
        <v>0</v>
      </c>
      <c r="AC135" s="10">
        <v>0</v>
      </c>
      <c r="AD135" s="11">
        <v>0</v>
      </c>
      <c r="AE135" s="21">
        <f>SUM(MasterTable[[#This Row],[ILS]:[PAR]])</f>
        <v>0</v>
      </c>
      <c r="AL135" s="11"/>
      <c r="AR135" s="91" t="str">
        <f>_xlfn.XLOOKUP(MasterTable[[#This Row],[Aircraft ID]],Aircraft!A:A,Aircraft!H:H)</f>
        <v>Airplane Single Engine Land</v>
      </c>
      <c r="AS135" s="8" t="b">
        <f>OR((SUM(MasterTable[[#This Row],[ILS]:[PAR]]) = MasterTable[[#This Row],[APPR]]))</f>
        <v>1</v>
      </c>
      <c r="AT135" s="8" t="b">
        <f>NOT(ISBLANK(MasterTable[[#This Row],[Total
Time]]))</f>
        <v>1</v>
      </c>
    </row>
    <row r="136" spans="4:46" ht="14.4" customHeight="1" x14ac:dyDescent="0.3">
      <c r="D136" s="22">
        <v>45235</v>
      </c>
      <c r="E136" s="8" t="s">
        <v>29</v>
      </c>
      <c r="F136" s="8" t="s">
        <v>57</v>
      </c>
      <c r="G136" s="8" t="s">
        <v>58</v>
      </c>
      <c r="I136" s="10">
        <v>1.5</v>
      </c>
      <c r="J136" s="10">
        <v>1.5</v>
      </c>
      <c r="L136" s="10">
        <v>0</v>
      </c>
      <c r="M136" s="13">
        <v>0</v>
      </c>
      <c r="N136" s="13"/>
      <c r="O136" s="10">
        <v>1.5</v>
      </c>
      <c r="P136" s="10">
        <v>0</v>
      </c>
      <c r="Q136" s="14">
        <v>0</v>
      </c>
      <c r="R136" s="14">
        <v>0</v>
      </c>
      <c r="S136" s="10">
        <v>0</v>
      </c>
      <c r="T136" s="10">
        <v>0</v>
      </c>
      <c r="U136" s="14">
        <v>0</v>
      </c>
      <c r="V136" s="10"/>
      <c r="W136" s="11">
        <v>2</v>
      </c>
      <c r="X136" s="11">
        <v>2</v>
      </c>
      <c r="Y136" s="11">
        <v>0</v>
      </c>
      <c r="Z136" s="11">
        <v>0</v>
      </c>
      <c r="AA136" s="11">
        <f>MasterTable[[#This Row],[Landings
Night]]+MasterTable[[#This Row],[Landings
Day]]</f>
        <v>2</v>
      </c>
      <c r="AB136" s="10">
        <v>0</v>
      </c>
      <c r="AC136" s="10">
        <v>0</v>
      </c>
      <c r="AD136" s="11">
        <v>0</v>
      </c>
      <c r="AE136" s="21">
        <f>SUM(MasterTable[[#This Row],[ILS]:[PAR]])</f>
        <v>0</v>
      </c>
      <c r="AL136" s="11"/>
      <c r="AR136" s="91" t="str">
        <f>_xlfn.XLOOKUP(MasterTable[[#This Row],[Aircraft ID]],Aircraft!A:A,Aircraft!H:H)</f>
        <v>Airplane Single Engine Land</v>
      </c>
      <c r="AS136" s="8" t="b">
        <f>OR((SUM(MasterTable[[#This Row],[ILS]:[PAR]]) = MasterTable[[#This Row],[APPR]]))</f>
        <v>1</v>
      </c>
      <c r="AT136" s="8" t="b">
        <f>NOT(ISBLANK(MasterTable[[#This Row],[Total
Time]]))</f>
        <v>1</v>
      </c>
    </row>
    <row r="137" spans="4:46" ht="14.4" customHeight="1" x14ac:dyDescent="0.3">
      <c r="D137" s="22">
        <v>45232</v>
      </c>
      <c r="E137" s="8" t="s">
        <v>15</v>
      </c>
      <c r="F137" s="8" t="s">
        <v>57</v>
      </c>
      <c r="G137" s="8" t="s">
        <v>57</v>
      </c>
      <c r="H137" s="8" t="s">
        <v>64</v>
      </c>
      <c r="I137" s="10">
        <v>2.2999999999999998</v>
      </c>
      <c r="J137" s="10">
        <v>2.2999999999999998</v>
      </c>
      <c r="L137" s="10">
        <v>0</v>
      </c>
      <c r="M137" s="13">
        <v>0</v>
      </c>
      <c r="N137" s="13"/>
      <c r="O137" s="10">
        <v>0</v>
      </c>
      <c r="P137" s="10">
        <v>0</v>
      </c>
      <c r="Q137" s="14">
        <v>0</v>
      </c>
      <c r="R137" s="14">
        <v>0</v>
      </c>
      <c r="S137" s="10">
        <v>2.2999999999999998</v>
      </c>
      <c r="T137" s="10">
        <v>0</v>
      </c>
      <c r="U137" s="14">
        <v>0</v>
      </c>
      <c r="V137" s="10"/>
      <c r="W137" s="11">
        <v>0</v>
      </c>
      <c r="X137" s="11">
        <v>0</v>
      </c>
      <c r="Y137" s="11">
        <v>0</v>
      </c>
      <c r="Z137" s="11">
        <v>0</v>
      </c>
      <c r="AA137" s="11">
        <f>MasterTable[[#This Row],[Landings
Night]]+MasterTable[[#This Row],[Landings
Day]]</f>
        <v>0</v>
      </c>
      <c r="AB137" s="10">
        <v>0</v>
      </c>
      <c r="AC137" s="10">
        <v>0</v>
      </c>
      <c r="AD137" s="11">
        <v>0</v>
      </c>
      <c r="AE137" s="21">
        <f>SUM(MasterTable[[#This Row],[ILS]:[PAR]])</f>
        <v>0</v>
      </c>
      <c r="AL137" s="11"/>
      <c r="AR137" s="91" t="str">
        <f>_xlfn.XLOOKUP(MasterTable[[#This Row],[Aircraft ID]],Aircraft!A:A,Aircraft!H:H)</f>
        <v>Glider</v>
      </c>
      <c r="AS137" s="8" t="b">
        <f>OR((SUM(MasterTable[[#This Row],[ILS]:[PAR]]) = MasterTable[[#This Row],[APPR]]))</f>
        <v>1</v>
      </c>
      <c r="AT137" s="8" t="b">
        <f>NOT(ISBLANK(MasterTable[[#This Row],[Total
Time]]))</f>
        <v>1</v>
      </c>
    </row>
    <row r="138" spans="4:46" ht="14.4" customHeight="1" x14ac:dyDescent="0.3">
      <c r="D138" s="22">
        <v>45227</v>
      </c>
      <c r="E138" s="8" t="s">
        <v>29</v>
      </c>
      <c r="F138" s="8" t="s">
        <v>56</v>
      </c>
      <c r="G138" s="8" t="s">
        <v>57</v>
      </c>
      <c r="I138" s="10">
        <v>1</v>
      </c>
      <c r="J138" s="10">
        <v>1</v>
      </c>
      <c r="L138" s="10">
        <v>0</v>
      </c>
      <c r="M138" s="13">
        <v>0</v>
      </c>
      <c r="N138" s="13"/>
      <c r="O138" s="10">
        <v>0</v>
      </c>
      <c r="P138" s="10">
        <v>0</v>
      </c>
      <c r="Q138" s="14">
        <v>0</v>
      </c>
      <c r="R138" s="14">
        <v>0</v>
      </c>
      <c r="S138" s="10">
        <v>0</v>
      </c>
      <c r="T138" s="10">
        <v>1</v>
      </c>
      <c r="U138" s="14">
        <v>0</v>
      </c>
      <c r="V138" s="10"/>
      <c r="W138" s="11">
        <v>1</v>
      </c>
      <c r="X138" s="11">
        <v>1</v>
      </c>
      <c r="Y138" s="11">
        <v>0</v>
      </c>
      <c r="Z138" s="11">
        <v>0</v>
      </c>
      <c r="AA138" s="11">
        <f>MasterTable[[#This Row],[Landings
Night]]+MasterTable[[#This Row],[Landings
Day]]</f>
        <v>1</v>
      </c>
      <c r="AB138" s="10">
        <v>0</v>
      </c>
      <c r="AC138" s="10">
        <v>0</v>
      </c>
      <c r="AD138" s="11">
        <v>0</v>
      </c>
      <c r="AE138" s="21">
        <f>SUM(MasterTable[[#This Row],[ILS]:[PAR]])</f>
        <v>0</v>
      </c>
      <c r="AL138" s="11"/>
      <c r="AR138" s="91" t="str">
        <f>_xlfn.XLOOKUP(MasterTable[[#This Row],[Aircraft ID]],Aircraft!A:A,Aircraft!H:H)</f>
        <v>Airplane Single Engine Land</v>
      </c>
      <c r="AS138" s="8" t="b">
        <f>OR((SUM(MasterTable[[#This Row],[ILS]:[PAR]]) = MasterTable[[#This Row],[APPR]]))</f>
        <v>1</v>
      </c>
      <c r="AT138" s="8" t="b">
        <f>NOT(ISBLANK(MasterTable[[#This Row],[Total
Time]]))</f>
        <v>1</v>
      </c>
    </row>
    <row r="139" spans="4:46" ht="14.4" customHeight="1" x14ac:dyDescent="0.3">
      <c r="D139" s="22">
        <v>45227</v>
      </c>
      <c r="E139" s="8" t="s">
        <v>29</v>
      </c>
      <c r="F139" s="8" t="s">
        <v>57</v>
      </c>
      <c r="G139" s="8" t="s">
        <v>56</v>
      </c>
      <c r="I139" s="10">
        <v>1.6</v>
      </c>
      <c r="J139" s="10">
        <v>1.6</v>
      </c>
      <c r="L139" s="10">
        <v>0</v>
      </c>
      <c r="M139" s="13">
        <v>0</v>
      </c>
      <c r="N139" s="13"/>
      <c r="O139" s="10">
        <v>0</v>
      </c>
      <c r="P139" s="10">
        <v>0</v>
      </c>
      <c r="Q139" s="14">
        <v>0</v>
      </c>
      <c r="R139" s="14">
        <v>0</v>
      </c>
      <c r="S139" s="10">
        <v>0</v>
      </c>
      <c r="T139" s="10">
        <v>1.6</v>
      </c>
      <c r="U139" s="14">
        <v>0</v>
      </c>
      <c r="V139" s="10"/>
      <c r="W139" s="11">
        <v>1</v>
      </c>
      <c r="X139" s="11">
        <v>1</v>
      </c>
      <c r="Y139" s="11">
        <v>0</v>
      </c>
      <c r="Z139" s="11">
        <v>0</v>
      </c>
      <c r="AA139" s="11">
        <f>MasterTable[[#This Row],[Landings
Night]]+MasterTable[[#This Row],[Landings
Day]]</f>
        <v>1</v>
      </c>
      <c r="AB139" s="10">
        <v>0</v>
      </c>
      <c r="AC139" s="10">
        <v>0</v>
      </c>
      <c r="AD139" s="11">
        <v>0</v>
      </c>
      <c r="AE139" s="21">
        <f>SUM(MasterTable[[#This Row],[ILS]:[PAR]])</f>
        <v>0</v>
      </c>
      <c r="AL139" s="11"/>
      <c r="AR139" s="91" t="str">
        <f>_xlfn.XLOOKUP(MasterTable[[#This Row],[Aircraft ID]],Aircraft!A:A,Aircraft!H:H)</f>
        <v>Airplane Single Engine Land</v>
      </c>
      <c r="AS139" s="8" t="b">
        <f>OR((SUM(MasterTable[[#This Row],[ILS]:[PAR]]) = MasterTable[[#This Row],[APPR]]))</f>
        <v>1</v>
      </c>
      <c r="AT139" s="8" t="b">
        <f>NOT(ISBLANK(MasterTable[[#This Row],[Total
Time]]))</f>
        <v>1</v>
      </c>
    </row>
    <row r="140" spans="4:46" ht="14.4" customHeight="1" x14ac:dyDescent="0.3">
      <c r="D140" s="22">
        <v>45221</v>
      </c>
      <c r="E140" s="8" t="s">
        <v>29</v>
      </c>
      <c r="F140" s="8" t="s">
        <v>57</v>
      </c>
      <c r="G140" s="8" t="s">
        <v>57</v>
      </c>
      <c r="I140" s="10">
        <v>1</v>
      </c>
      <c r="J140" s="10">
        <v>1</v>
      </c>
      <c r="L140" s="10">
        <v>0</v>
      </c>
      <c r="M140" s="13">
        <v>0</v>
      </c>
      <c r="N140" s="13"/>
      <c r="O140" s="10">
        <v>1</v>
      </c>
      <c r="P140" s="10">
        <v>0</v>
      </c>
      <c r="Q140" s="14">
        <v>0</v>
      </c>
      <c r="R140" s="14">
        <v>0</v>
      </c>
      <c r="S140" s="10">
        <v>0</v>
      </c>
      <c r="T140" s="10">
        <v>0</v>
      </c>
      <c r="U140" s="14">
        <v>0</v>
      </c>
      <c r="V140" s="10"/>
      <c r="W140" s="11">
        <v>1</v>
      </c>
      <c r="X140" s="11">
        <v>1</v>
      </c>
      <c r="Y140" s="11">
        <v>0</v>
      </c>
      <c r="Z140" s="11">
        <v>0</v>
      </c>
      <c r="AA140" s="11">
        <f>MasterTable[[#This Row],[Landings
Night]]+MasterTable[[#This Row],[Landings
Day]]</f>
        <v>1</v>
      </c>
      <c r="AB140" s="10">
        <v>0</v>
      </c>
      <c r="AC140" s="10">
        <v>0</v>
      </c>
      <c r="AD140" s="11">
        <v>0</v>
      </c>
      <c r="AE140" s="21">
        <f>SUM(MasterTable[[#This Row],[ILS]:[PAR]])</f>
        <v>0</v>
      </c>
      <c r="AL140" s="11"/>
      <c r="AR140" s="91" t="str">
        <f>_xlfn.XLOOKUP(MasterTable[[#This Row],[Aircraft ID]],Aircraft!A:A,Aircraft!H:H)</f>
        <v>Airplane Single Engine Land</v>
      </c>
      <c r="AS140" s="8" t="b">
        <f>OR((SUM(MasterTable[[#This Row],[ILS]:[PAR]]) = MasterTable[[#This Row],[APPR]]))</f>
        <v>1</v>
      </c>
      <c r="AT140" s="8" t="b">
        <f>NOT(ISBLANK(MasterTable[[#This Row],[Total
Time]]))</f>
        <v>1</v>
      </c>
    </row>
    <row r="141" spans="4:46" ht="14.4" customHeight="1" x14ac:dyDescent="0.3">
      <c r="D141" s="22">
        <v>45214</v>
      </c>
      <c r="E141" s="8" t="s">
        <v>29</v>
      </c>
      <c r="F141" s="8" t="s">
        <v>65</v>
      </c>
      <c r="G141" s="8" t="s">
        <v>57</v>
      </c>
      <c r="I141" s="10">
        <v>1</v>
      </c>
      <c r="J141" s="10">
        <v>1</v>
      </c>
      <c r="M141" s="13">
        <v>0</v>
      </c>
      <c r="N141" s="13"/>
      <c r="Q141" s="14">
        <v>0</v>
      </c>
      <c r="R141" s="14">
        <v>0</v>
      </c>
      <c r="T141" s="10">
        <v>1</v>
      </c>
      <c r="U141" s="14">
        <v>0</v>
      </c>
      <c r="V141" s="10"/>
      <c r="W141" s="11">
        <v>1</v>
      </c>
      <c r="X141" s="11">
        <v>1</v>
      </c>
      <c r="AA141" s="11">
        <f>MasterTable[[#This Row],[Landings
Night]]+MasterTable[[#This Row],[Landings
Day]]</f>
        <v>1</v>
      </c>
      <c r="AE141" s="21">
        <f>SUM(MasterTable[[#This Row],[ILS]:[PAR]])</f>
        <v>0</v>
      </c>
      <c r="AL141" s="11"/>
      <c r="AR141" s="91" t="str">
        <f>_xlfn.XLOOKUP(MasterTable[[#This Row],[Aircraft ID]],Aircraft!A:A,Aircraft!H:H)</f>
        <v>Airplane Single Engine Land</v>
      </c>
      <c r="AS141" s="8" t="b">
        <f>OR((SUM(MasterTable[[#This Row],[ILS]:[PAR]]) = MasterTable[[#This Row],[APPR]]))</f>
        <v>1</v>
      </c>
      <c r="AT141" s="8" t="b">
        <f>NOT(ISBLANK(MasterTable[[#This Row],[Total
Time]]))</f>
        <v>1</v>
      </c>
    </row>
    <row r="142" spans="4:46" ht="14.4" customHeight="1" x14ac:dyDescent="0.3">
      <c r="D142" s="22">
        <v>45213</v>
      </c>
      <c r="E142" s="8" t="s">
        <v>29</v>
      </c>
      <c r="F142" s="8" t="s">
        <v>65</v>
      </c>
      <c r="G142" s="8" t="s">
        <v>65</v>
      </c>
      <c r="H142" s="8" t="s">
        <v>66</v>
      </c>
      <c r="I142" s="10">
        <v>2.9</v>
      </c>
      <c r="J142" s="10">
        <v>2.9</v>
      </c>
      <c r="M142" s="13">
        <v>0</v>
      </c>
      <c r="N142" s="13"/>
      <c r="Q142" s="14">
        <v>0</v>
      </c>
      <c r="R142" s="14">
        <v>0</v>
      </c>
      <c r="U142" s="14">
        <v>0</v>
      </c>
      <c r="V142" s="10">
        <v>2</v>
      </c>
      <c r="W142" s="11">
        <v>12</v>
      </c>
      <c r="X142" s="11">
        <v>12</v>
      </c>
      <c r="AA142" s="11">
        <f>MasterTable[[#This Row],[Landings
Night]]+MasterTable[[#This Row],[Landings
Day]]</f>
        <v>12</v>
      </c>
      <c r="AE142" s="21">
        <f>SUM(MasterTable[[#This Row],[ILS]:[PAR]])</f>
        <v>0</v>
      </c>
      <c r="AL142" s="11"/>
      <c r="AR142" s="91" t="str">
        <f>_xlfn.XLOOKUP(MasterTable[[#This Row],[Aircraft ID]],Aircraft!A:A,Aircraft!H:H)</f>
        <v>Airplane Single Engine Land</v>
      </c>
      <c r="AS142" s="8" t="b">
        <f>OR((SUM(MasterTable[[#This Row],[ILS]:[PAR]]) = MasterTable[[#This Row],[APPR]]))</f>
        <v>1</v>
      </c>
      <c r="AT142" s="8" t="b">
        <f>NOT(ISBLANK(MasterTable[[#This Row],[Total
Time]]))</f>
        <v>1</v>
      </c>
    </row>
    <row r="143" spans="4:46" ht="14.4" customHeight="1" x14ac:dyDescent="0.3">
      <c r="D143" s="22">
        <v>45212</v>
      </c>
      <c r="E143" s="8" t="s">
        <v>29</v>
      </c>
      <c r="F143" s="8" t="s">
        <v>58</v>
      </c>
      <c r="G143" s="8" t="s">
        <v>65</v>
      </c>
      <c r="I143" s="10">
        <v>0.9</v>
      </c>
      <c r="J143" s="10">
        <v>0.9</v>
      </c>
      <c r="M143" s="13">
        <v>0</v>
      </c>
      <c r="N143" s="13"/>
      <c r="Q143" s="14">
        <v>0</v>
      </c>
      <c r="R143" s="14">
        <v>0</v>
      </c>
      <c r="T143" s="10">
        <v>0.9</v>
      </c>
      <c r="U143" s="14">
        <v>0</v>
      </c>
      <c r="V143" s="10">
        <v>0.7</v>
      </c>
      <c r="W143" s="11">
        <v>1</v>
      </c>
      <c r="X143" s="11">
        <v>1</v>
      </c>
      <c r="AA143" s="11">
        <f>MasterTable[[#This Row],[Landings
Night]]+MasterTable[[#This Row],[Landings
Day]]</f>
        <v>1</v>
      </c>
      <c r="AE143" s="21">
        <f>SUM(MasterTable[[#This Row],[ILS]:[PAR]])</f>
        <v>0</v>
      </c>
      <c r="AL143" s="11"/>
      <c r="AQ143" s="27" t="s">
        <v>106</v>
      </c>
      <c r="AR143" s="91" t="str">
        <f>_xlfn.XLOOKUP(MasterTable[[#This Row],[Aircraft ID]],Aircraft!A:A,Aircraft!H:H)</f>
        <v>Airplane Single Engine Land</v>
      </c>
      <c r="AS143" s="8" t="b">
        <f>OR((SUM(MasterTable[[#This Row],[ILS]:[PAR]]) = MasterTable[[#This Row],[APPR]]))</f>
        <v>1</v>
      </c>
      <c r="AT143" s="8" t="b">
        <f>NOT(ISBLANK(MasterTable[[#This Row],[Total
Time]]))</f>
        <v>1</v>
      </c>
    </row>
    <row r="144" spans="4:46" ht="14.4" customHeight="1" x14ac:dyDescent="0.3">
      <c r="D144" s="22">
        <v>45212</v>
      </c>
      <c r="E144" s="8" t="s">
        <v>29</v>
      </c>
      <c r="F144" s="8" t="s">
        <v>67</v>
      </c>
      <c r="G144" s="8" t="s">
        <v>58</v>
      </c>
      <c r="I144" s="10">
        <v>0.4</v>
      </c>
      <c r="J144" s="10">
        <v>0.4</v>
      </c>
      <c r="M144" s="13">
        <v>0</v>
      </c>
      <c r="N144" s="13"/>
      <c r="Q144" s="14">
        <v>0</v>
      </c>
      <c r="R144" s="14">
        <v>0</v>
      </c>
      <c r="U144" s="14">
        <v>0</v>
      </c>
      <c r="V144" s="10"/>
      <c r="W144" s="11">
        <v>1</v>
      </c>
      <c r="X144" s="11">
        <v>1</v>
      </c>
      <c r="AA144" s="11">
        <f>MasterTable[[#This Row],[Landings
Night]]+MasterTable[[#This Row],[Landings
Day]]</f>
        <v>1</v>
      </c>
      <c r="AE144" s="21">
        <f>SUM(MasterTable[[#This Row],[ILS]:[PAR]])</f>
        <v>0</v>
      </c>
      <c r="AL144" s="11"/>
      <c r="AN144" s="27" t="s">
        <v>106</v>
      </c>
      <c r="AR144" s="91" t="str">
        <f>_xlfn.XLOOKUP(MasterTable[[#This Row],[Aircraft ID]],Aircraft!A:A,Aircraft!H:H)</f>
        <v>Airplane Single Engine Land</v>
      </c>
      <c r="AS144" s="8" t="b">
        <f>OR((SUM(MasterTable[[#This Row],[ILS]:[PAR]]) = MasterTable[[#This Row],[APPR]]))</f>
        <v>1</v>
      </c>
      <c r="AT144" s="8" t="b">
        <f>NOT(ISBLANK(MasterTable[[#This Row],[Total
Time]]))</f>
        <v>1</v>
      </c>
    </row>
    <row r="145" spans="4:46" ht="14.4" customHeight="1" x14ac:dyDescent="0.3">
      <c r="D145" s="22">
        <v>45198</v>
      </c>
      <c r="E145" s="8" t="s">
        <v>29</v>
      </c>
      <c r="F145" s="8" t="s">
        <v>56</v>
      </c>
      <c r="G145" s="8" t="s">
        <v>57</v>
      </c>
      <c r="I145" s="10">
        <v>1</v>
      </c>
      <c r="J145" s="10">
        <v>1</v>
      </c>
      <c r="L145" s="10">
        <v>0</v>
      </c>
      <c r="M145" s="13">
        <v>0</v>
      </c>
      <c r="N145" s="13"/>
      <c r="O145" s="10">
        <v>0</v>
      </c>
      <c r="P145" s="10">
        <v>0</v>
      </c>
      <c r="Q145" s="14">
        <v>0</v>
      </c>
      <c r="R145" s="14">
        <v>0</v>
      </c>
      <c r="S145" s="10">
        <v>0</v>
      </c>
      <c r="T145" s="10">
        <v>1</v>
      </c>
      <c r="U145" s="14">
        <v>0</v>
      </c>
      <c r="V145" s="10"/>
      <c r="W145" s="11">
        <v>1</v>
      </c>
      <c r="X145" s="11">
        <v>1</v>
      </c>
      <c r="Y145" s="11">
        <v>0</v>
      </c>
      <c r="Z145" s="11">
        <v>0</v>
      </c>
      <c r="AA145" s="11">
        <f>MasterTable[[#This Row],[Landings
Night]]+MasterTable[[#This Row],[Landings
Day]]</f>
        <v>1</v>
      </c>
      <c r="AB145" s="10">
        <v>0</v>
      </c>
      <c r="AC145" s="10">
        <v>0</v>
      </c>
      <c r="AD145" s="11">
        <v>0</v>
      </c>
      <c r="AE145" s="21">
        <f>SUM(MasterTable[[#This Row],[ILS]:[PAR]])</f>
        <v>0</v>
      </c>
      <c r="AL145" s="11"/>
      <c r="AR145" s="91" t="str">
        <f>_xlfn.XLOOKUP(MasterTable[[#This Row],[Aircraft ID]],Aircraft!A:A,Aircraft!H:H)</f>
        <v>Airplane Single Engine Land</v>
      </c>
      <c r="AS145" s="8" t="b">
        <f>OR((SUM(MasterTable[[#This Row],[ILS]:[PAR]]) = MasterTable[[#This Row],[APPR]]))</f>
        <v>1</v>
      </c>
      <c r="AT145" s="8" t="b">
        <f>NOT(ISBLANK(MasterTable[[#This Row],[Total
Time]]))</f>
        <v>1</v>
      </c>
    </row>
    <row r="146" spans="4:46" ht="14.4" customHeight="1" x14ac:dyDescent="0.3">
      <c r="D146" s="22">
        <v>45198</v>
      </c>
      <c r="E146" s="8" t="s">
        <v>29</v>
      </c>
      <c r="F146" s="8" t="s">
        <v>68</v>
      </c>
      <c r="G146" s="8" t="s">
        <v>56</v>
      </c>
      <c r="I146" s="10">
        <v>1.3</v>
      </c>
      <c r="J146" s="10">
        <v>1.3</v>
      </c>
      <c r="L146" s="10">
        <v>0</v>
      </c>
      <c r="M146" s="13">
        <v>0</v>
      </c>
      <c r="N146" s="13"/>
      <c r="O146" s="10">
        <v>0</v>
      </c>
      <c r="P146" s="10">
        <v>0</v>
      </c>
      <c r="Q146" s="14">
        <v>0</v>
      </c>
      <c r="R146" s="14">
        <v>0</v>
      </c>
      <c r="S146" s="10">
        <v>0</v>
      </c>
      <c r="T146" s="10">
        <v>1.3</v>
      </c>
      <c r="U146" s="14">
        <v>0</v>
      </c>
      <c r="V146" s="10"/>
      <c r="W146" s="11">
        <v>1</v>
      </c>
      <c r="X146" s="11">
        <v>1</v>
      </c>
      <c r="Y146" s="11">
        <v>0</v>
      </c>
      <c r="Z146" s="11">
        <v>0</v>
      </c>
      <c r="AA146" s="11">
        <f>MasterTable[[#This Row],[Landings
Night]]+MasterTable[[#This Row],[Landings
Day]]</f>
        <v>1</v>
      </c>
      <c r="AB146" s="10">
        <v>0</v>
      </c>
      <c r="AC146" s="10">
        <v>0</v>
      </c>
      <c r="AD146" s="11">
        <v>0</v>
      </c>
      <c r="AE146" s="21">
        <f>SUM(MasterTable[[#This Row],[ILS]:[PAR]])</f>
        <v>0</v>
      </c>
      <c r="AL146" s="11"/>
      <c r="AR146" s="91" t="str">
        <f>_xlfn.XLOOKUP(MasterTable[[#This Row],[Aircraft ID]],Aircraft!A:A,Aircraft!H:H)</f>
        <v>Airplane Single Engine Land</v>
      </c>
      <c r="AS146" s="8" t="b">
        <f>OR((SUM(MasterTable[[#This Row],[ILS]:[PAR]]) = MasterTable[[#This Row],[APPR]]))</f>
        <v>1</v>
      </c>
      <c r="AT146" s="8" t="b">
        <f>NOT(ISBLANK(MasterTable[[#This Row],[Total
Time]]))</f>
        <v>1</v>
      </c>
    </row>
    <row r="147" spans="4:46" ht="14.4" customHeight="1" x14ac:dyDescent="0.3">
      <c r="D147" s="22">
        <v>45198</v>
      </c>
      <c r="E147" s="8" t="s">
        <v>29</v>
      </c>
      <c r="F147" s="8" t="s">
        <v>69</v>
      </c>
      <c r="G147" s="8" t="s">
        <v>68</v>
      </c>
      <c r="I147" s="10">
        <v>0.4</v>
      </c>
      <c r="J147" s="10">
        <v>0.4</v>
      </c>
      <c r="L147" s="10">
        <v>0</v>
      </c>
      <c r="M147" s="13">
        <v>0</v>
      </c>
      <c r="N147" s="13"/>
      <c r="O147" s="10">
        <v>0</v>
      </c>
      <c r="P147" s="10">
        <v>0</v>
      </c>
      <c r="Q147" s="14">
        <v>0</v>
      </c>
      <c r="R147" s="14">
        <v>0</v>
      </c>
      <c r="S147" s="10">
        <v>0</v>
      </c>
      <c r="T147" s="10">
        <v>0</v>
      </c>
      <c r="U147" s="14">
        <v>0</v>
      </c>
      <c r="V147" s="10"/>
      <c r="W147" s="11">
        <v>1</v>
      </c>
      <c r="X147" s="11">
        <v>1</v>
      </c>
      <c r="Y147" s="11">
        <v>0</v>
      </c>
      <c r="Z147" s="11">
        <v>0</v>
      </c>
      <c r="AA147" s="11">
        <f>MasterTable[[#This Row],[Landings
Night]]+MasterTable[[#This Row],[Landings
Day]]</f>
        <v>1</v>
      </c>
      <c r="AB147" s="10">
        <v>0</v>
      </c>
      <c r="AC147" s="10">
        <v>0</v>
      </c>
      <c r="AD147" s="11">
        <v>0</v>
      </c>
      <c r="AE147" s="21">
        <f>SUM(MasterTable[[#This Row],[ILS]:[PAR]])</f>
        <v>0</v>
      </c>
      <c r="AL147" s="11"/>
      <c r="AR147" s="91" t="str">
        <f>_xlfn.XLOOKUP(MasterTable[[#This Row],[Aircraft ID]],Aircraft!A:A,Aircraft!H:H)</f>
        <v>Airplane Single Engine Land</v>
      </c>
      <c r="AS147" s="8" t="b">
        <f>OR((SUM(MasterTable[[#This Row],[ILS]:[PAR]]) = MasterTable[[#This Row],[APPR]]))</f>
        <v>1</v>
      </c>
      <c r="AT147" s="8" t="b">
        <f>NOT(ISBLANK(MasterTable[[#This Row],[Total
Time]]))</f>
        <v>1</v>
      </c>
    </row>
    <row r="148" spans="4:46" ht="14.4" customHeight="1" x14ac:dyDescent="0.3">
      <c r="D148" s="22">
        <v>45198</v>
      </c>
      <c r="E148" s="8" t="s">
        <v>29</v>
      </c>
      <c r="F148" s="8" t="s">
        <v>57</v>
      </c>
      <c r="G148" s="8" t="s">
        <v>69</v>
      </c>
      <c r="I148" s="10">
        <v>2.5</v>
      </c>
      <c r="J148" s="10">
        <v>2.5</v>
      </c>
      <c r="L148" s="10">
        <v>0</v>
      </c>
      <c r="M148" s="13">
        <v>0</v>
      </c>
      <c r="N148" s="13"/>
      <c r="P148" s="10">
        <v>0</v>
      </c>
      <c r="Q148" s="14">
        <v>0</v>
      </c>
      <c r="R148" s="14">
        <v>0</v>
      </c>
      <c r="S148" s="10">
        <v>0</v>
      </c>
      <c r="T148" s="10">
        <v>2.5</v>
      </c>
      <c r="U148" s="14">
        <v>0</v>
      </c>
      <c r="V148" s="10"/>
      <c r="W148" s="11">
        <v>1</v>
      </c>
      <c r="X148" s="11">
        <v>1</v>
      </c>
      <c r="Y148" s="11">
        <v>0</v>
      </c>
      <c r="Z148" s="11">
        <v>0</v>
      </c>
      <c r="AA148" s="11">
        <f>MasterTable[[#This Row],[Landings
Night]]+MasterTable[[#This Row],[Landings
Day]]</f>
        <v>1</v>
      </c>
      <c r="AB148" s="10">
        <v>0</v>
      </c>
      <c r="AC148" s="10">
        <v>0</v>
      </c>
      <c r="AD148" s="11">
        <v>0</v>
      </c>
      <c r="AE148" s="21">
        <f>SUM(MasterTable[[#This Row],[ILS]:[PAR]])</f>
        <v>0</v>
      </c>
      <c r="AL148" s="11"/>
      <c r="AR148" s="91" t="str">
        <f>_xlfn.XLOOKUP(MasterTable[[#This Row],[Aircraft ID]],Aircraft!A:A,Aircraft!H:H)</f>
        <v>Airplane Single Engine Land</v>
      </c>
      <c r="AS148" s="8" t="b">
        <f>OR((SUM(MasterTable[[#This Row],[ILS]:[PAR]]) = MasterTable[[#This Row],[APPR]]))</f>
        <v>1</v>
      </c>
      <c r="AT148" s="8" t="b">
        <f>NOT(ISBLANK(MasterTable[[#This Row],[Total
Time]]))</f>
        <v>1</v>
      </c>
    </row>
  </sheetData>
  <mergeCells count="7">
    <mergeCell ref="D1:H1"/>
    <mergeCell ref="AN1:AQ1"/>
    <mergeCell ref="AB1:AL1"/>
    <mergeCell ref="W1:AA1"/>
    <mergeCell ref="O1:R1"/>
    <mergeCell ref="S1:V1"/>
    <mergeCell ref="I1:N1"/>
  </mergeCells>
  <phoneticPr fontId="18" type="noConversion"/>
  <conditionalFormatting sqref="AS1:AT1048576">
    <cfRule type="containsText" dxfId="19" priority="1" operator="containsText" text="TRUE">
      <formula>NOT(ISERROR(SEARCH("TRUE",AS1)))</formula>
    </cfRule>
    <cfRule type="containsText" dxfId="18" priority="2" operator="containsText" text="FALSE">
      <formula>NOT(ISERROR(SEARCH("FALSE",AS1)))</formula>
    </cfRule>
  </conditionalFormatting>
  <dataValidations count="1">
    <dataValidation type="list" allowBlank="1" showInputMessage="1" showErrorMessage="1" sqref="AR149:AR1048576 AN7:AQ1048576" xr:uid="{6B336DBE-495C-4E14-9409-1A8C745A91FD}">
      <formula1>"TRUE, FALSE"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26181B-DEB6-43C5-A3EB-75BCB8D0354A}">
          <x14:formula1>
            <xm:f>Aircraft!$A:$A</xm:f>
          </x14:formula1>
          <xm:sqref>E2:E1048576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E65CF-2998-4262-9218-C65137C43917}">
  <sheetPr codeName="Sheet5">
    <tabColor theme="8" tint="0.39997558519241921"/>
  </sheetPr>
  <dimension ref="A1:AC101"/>
  <sheetViews>
    <sheetView zoomScale="85" zoomScaleNormal="85" workbookViewId="0">
      <selection activeCell="J31" sqref="J31"/>
    </sheetView>
  </sheetViews>
  <sheetFormatPr defaultRowHeight="14.4" x14ac:dyDescent="0.3"/>
  <cols>
    <col min="1" max="1" width="1.77734375" customWidth="1"/>
    <col min="2" max="2" width="18.77734375" style="2" customWidth="1"/>
    <col min="3" max="3" width="8.77734375" style="2" customWidth="1"/>
    <col min="4" max="4" width="1.77734375" customWidth="1"/>
    <col min="5" max="5" width="18.77734375" customWidth="1"/>
    <col min="6" max="6" width="8.77734375" customWidth="1"/>
    <col min="7" max="7" width="1.77734375" customWidth="1"/>
    <col min="8" max="8" width="26.109375" style="144" bestFit="1" customWidth="1"/>
    <col min="9" max="9" width="6.5546875" style="144" bestFit="1" customWidth="1"/>
    <col min="10" max="10" width="9.6640625" style="144" bestFit="1" customWidth="1"/>
    <col min="11" max="11" width="16.21875" bestFit="1" customWidth="1"/>
    <col min="12" max="12" width="13" hidden="1" customWidth="1"/>
    <col min="13" max="13" width="9.6640625" hidden="1" customWidth="1"/>
    <col min="14" max="14" width="10.77734375" hidden="1" customWidth="1"/>
    <col min="15" max="48" width="10.77734375" customWidth="1"/>
  </cols>
  <sheetData>
    <row r="1" spans="1:29" ht="4.8" customHeight="1" thickBot="1" x14ac:dyDescent="0.35">
      <c r="A1" s="72"/>
      <c r="C1" s="54"/>
      <c r="D1" s="2"/>
    </row>
    <row r="2" spans="1:29" ht="16.2" thickTop="1" x14ac:dyDescent="0.3">
      <c r="A2" s="2"/>
      <c r="B2" s="102" t="s">
        <v>147</v>
      </c>
      <c r="C2" s="103"/>
      <c r="D2" s="2"/>
      <c r="E2" s="104" t="s">
        <v>141</v>
      </c>
      <c r="F2" s="105"/>
      <c r="G2" s="53"/>
      <c r="H2" s="145" t="s">
        <v>158</v>
      </c>
      <c r="I2" s="145"/>
      <c r="J2" s="14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x14ac:dyDescent="0.3">
      <c r="A3" s="2"/>
      <c r="B3" s="51" t="s">
        <v>122</v>
      </c>
      <c r="C3" s="38">
        <f>SUM(AircraftTable[Total Time])</f>
        <v>177.79999999999995</v>
      </c>
      <c r="D3" s="2"/>
      <c r="E3" s="50" t="s">
        <v>142</v>
      </c>
      <c r="F3" s="37">
        <f>SUMIF(Aircraft!I:I,"TRUE",Aircraft!N:N)</f>
        <v>51.400000000000013</v>
      </c>
      <c r="G3" s="2"/>
      <c r="I3" s="144" t="s">
        <v>123</v>
      </c>
      <c r="J3" s="144" t="s">
        <v>122</v>
      </c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14.4" customHeight="1" x14ac:dyDescent="0.3">
      <c r="A4" s="2"/>
      <c r="B4" s="51" t="s">
        <v>39</v>
      </c>
      <c r="C4" s="38">
        <f>SUM(AircraftTable[PIC])</f>
        <v>117.7</v>
      </c>
      <c r="D4" s="2"/>
      <c r="E4" s="51" t="s">
        <v>143</v>
      </c>
      <c r="F4" s="38">
        <f>SUMIF(Aircraft!K:K,"TRUE",Aircraft!N:N)</f>
        <v>51.400000000000013</v>
      </c>
      <c r="G4" s="2"/>
      <c r="H4" s="146" t="s">
        <v>214</v>
      </c>
      <c r="I4" s="147">
        <v>51</v>
      </c>
      <c r="J4" s="148">
        <v>54.899999999999984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ht="14.4" customHeight="1" x14ac:dyDescent="0.3">
      <c r="A5" s="2"/>
      <c r="B5" s="51" t="s">
        <v>40</v>
      </c>
      <c r="C5" s="38">
        <f>SUM(AircraftTable[SIC])</f>
        <v>10</v>
      </c>
      <c r="D5" s="2"/>
      <c r="E5" s="51" t="s">
        <v>146</v>
      </c>
      <c r="F5" s="38">
        <f>SUMIF(Aircraft!F:F,"*retractable*",Aircraft!N:N)</f>
        <v>106.3</v>
      </c>
      <c r="G5" s="2"/>
      <c r="H5" s="149" t="s">
        <v>71</v>
      </c>
      <c r="I5" s="147">
        <v>51</v>
      </c>
      <c r="J5" s="148">
        <v>54.899999999999984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 ht="14.4" customHeight="1" x14ac:dyDescent="0.3">
      <c r="A6" s="2"/>
      <c r="B6" s="51" t="s">
        <v>124</v>
      </c>
      <c r="C6" s="38">
        <f>SUM(AircraftTable[PRI])</f>
        <v>106.3</v>
      </c>
      <c r="D6" s="2"/>
      <c r="E6" s="51" t="s">
        <v>144</v>
      </c>
      <c r="F6" s="38">
        <f>SUMIF(Aircraft!J:J,"TRUE",Aircraft!N:N)</f>
        <v>0</v>
      </c>
      <c r="G6" s="2"/>
      <c r="H6" s="146" t="s">
        <v>217</v>
      </c>
      <c r="I6" s="147">
        <v>87</v>
      </c>
      <c r="J6" s="148">
        <v>114.19999999999999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29" ht="14.4" customHeight="1" x14ac:dyDescent="0.3">
      <c r="A7" s="2"/>
      <c r="B7" s="51" t="s">
        <v>127</v>
      </c>
      <c r="C7" s="39">
        <f>SUM(AircraftTable[Total LDG])</f>
        <v>361</v>
      </c>
      <c r="D7" s="2"/>
      <c r="E7" s="51" t="s">
        <v>145</v>
      </c>
      <c r="F7" s="38">
        <f>SUMIF(Aircraft!F:F,"*tailwheel*",Aircraft!N:N)</f>
        <v>6.3000000000000007</v>
      </c>
      <c r="G7" s="2"/>
      <c r="H7" s="149" t="s">
        <v>10</v>
      </c>
      <c r="I7" s="147">
        <v>45</v>
      </c>
      <c r="J7" s="148">
        <v>56.499999999999979</v>
      </c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ht="14.4" customHeight="1" x14ac:dyDescent="0.3">
      <c r="A8" s="2"/>
      <c r="B8" s="51" t="s">
        <v>128</v>
      </c>
      <c r="C8" s="38">
        <f>SUM(AircraftTable[XC])</f>
        <v>59.5</v>
      </c>
      <c r="D8" s="2"/>
      <c r="E8" s="51" t="s">
        <v>12</v>
      </c>
      <c r="F8" s="38">
        <f>SUMIF(Aircraft!G:G,"Piston",Aircraft!N:N)</f>
        <v>62.799999999999983</v>
      </c>
      <c r="G8" s="2"/>
      <c r="H8" s="149" t="s">
        <v>31</v>
      </c>
      <c r="I8" s="147">
        <v>35</v>
      </c>
      <c r="J8" s="148">
        <v>51.400000000000013</v>
      </c>
      <c r="K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 ht="14.4" customHeight="1" x14ac:dyDescent="0.3">
      <c r="A9" s="2"/>
      <c r="B9" s="51" t="s">
        <v>236</v>
      </c>
      <c r="C9" s="38">
        <f>SUM(AircraftTable[Actual Inst])</f>
        <v>2.7</v>
      </c>
      <c r="D9" s="2"/>
      <c r="E9" s="51" t="s">
        <v>18</v>
      </c>
      <c r="F9" s="38">
        <f>SUMIF(Aircraft!G:G,"Turboprop",Aircraft!N:N)</f>
        <v>51.400000000000013</v>
      </c>
      <c r="G9" s="2"/>
      <c r="H9" s="149" t="s">
        <v>21</v>
      </c>
      <c r="I9" s="147">
        <v>7</v>
      </c>
      <c r="J9" s="148">
        <v>6.3000000000000007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</row>
    <row r="10" spans="1:29" ht="14.4" customHeight="1" x14ac:dyDescent="0.3">
      <c r="A10" s="2"/>
      <c r="B10" s="51" t="s">
        <v>134</v>
      </c>
      <c r="C10" s="38">
        <f>SUM(AircraftTable[Sim Inst])</f>
        <v>25.6</v>
      </c>
      <c r="D10" s="2"/>
      <c r="E10" s="51" t="s">
        <v>16</v>
      </c>
      <c r="F10" s="38">
        <f>SUMIF(Aircraft!G:G,"Turbofan",Aircraft!N:N)</f>
        <v>0</v>
      </c>
      <c r="G10" s="2"/>
      <c r="H10" s="146" t="s">
        <v>218</v>
      </c>
      <c r="I10" s="147">
        <v>4</v>
      </c>
      <c r="J10" s="148">
        <v>4.9000000000000004</v>
      </c>
      <c r="K10" s="2"/>
      <c r="L10" s="46" t="s">
        <v>155</v>
      </c>
      <c r="M10" t="s">
        <v>122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</row>
    <row r="11" spans="1:29" ht="14.4" customHeight="1" x14ac:dyDescent="0.3">
      <c r="A11" s="2"/>
      <c r="B11" s="51" t="s">
        <v>41</v>
      </c>
      <c r="C11" s="38">
        <f>SUM(AircraftTable[Night])</f>
        <v>7.2</v>
      </c>
      <c r="D11" s="2"/>
      <c r="E11" s="51" t="s">
        <v>34</v>
      </c>
      <c r="F11" s="38">
        <f>SUMIF(Aircraft!G:G,"Turbojet",Aircraft!N:N)</f>
        <v>54.899999999999984</v>
      </c>
      <c r="G11" s="2"/>
      <c r="H11" s="149" t="s">
        <v>13</v>
      </c>
      <c r="I11" s="147">
        <v>4</v>
      </c>
      <c r="J11" s="148">
        <v>4.9000000000000004</v>
      </c>
      <c r="K11" s="2"/>
      <c r="L11" s="8" t="s">
        <v>10</v>
      </c>
      <c r="M11" s="47">
        <v>56.499999999999979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</row>
    <row r="12" spans="1:29" ht="14.4" customHeight="1" x14ac:dyDescent="0.3">
      <c r="A12" s="2"/>
      <c r="B12" s="51" t="s">
        <v>237</v>
      </c>
      <c r="C12" s="38">
        <f>SUM(AircraftTable[DualGiven])</f>
        <v>6.2</v>
      </c>
      <c r="D12" s="2"/>
      <c r="E12" s="51" t="s">
        <v>19</v>
      </c>
      <c r="F12" s="38">
        <f>SUMIF(Aircraft!G:G,"Diesel",Aircraft!N:N)</f>
        <v>0</v>
      </c>
      <c r="G12" s="2"/>
      <c r="H12" s="146" t="s">
        <v>216</v>
      </c>
      <c r="I12" s="147">
        <v>3</v>
      </c>
      <c r="J12" s="148">
        <v>3.8</v>
      </c>
      <c r="K12" s="2"/>
      <c r="L12" s="8" t="s">
        <v>25</v>
      </c>
      <c r="M12" s="47">
        <v>3.8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</row>
    <row r="13" spans="1:29" ht="14.4" customHeight="1" thickBot="1" x14ac:dyDescent="0.35">
      <c r="A13" s="2"/>
      <c r="B13" s="52" t="s">
        <v>132</v>
      </c>
      <c r="C13" s="40">
        <f>SUM(AircraftTable[Dual Received])</f>
        <v>100.4</v>
      </c>
      <c r="D13" s="2"/>
      <c r="E13" s="52" t="s">
        <v>225</v>
      </c>
      <c r="F13" s="40">
        <f>SUMIF(Aircraft!G:G,"Non-powered",Aircraft!N:N)</f>
        <v>4.9000000000000004</v>
      </c>
      <c r="G13" s="2"/>
      <c r="H13" s="149" t="s">
        <v>25</v>
      </c>
      <c r="I13" s="147">
        <v>3</v>
      </c>
      <c r="J13" s="148">
        <v>3.8</v>
      </c>
      <c r="K13" s="2"/>
      <c r="L13" s="8" t="s">
        <v>21</v>
      </c>
      <c r="M13" s="47">
        <v>6.3000000000000007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29" ht="14.4" customHeight="1" thickTop="1" x14ac:dyDescent="0.3">
      <c r="A14" s="2"/>
      <c r="B14" s="104" t="s">
        <v>149</v>
      </c>
      <c r="C14" s="105"/>
      <c r="D14" s="2"/>
      <c r="E14" s="104" t="s">
        <v>136</v>
      </c>
      <c r="F14" s="105"/>
      <c r="G14" s="53"/>
      <c r="H14" s="146" t="s">
        <v>156</v>
      </c>
      <c r="I14" s="147">
        <v>145</v>
      </c>
      <c r="J14" s="148">
        <v>177.79999999999998</v>
      </c>
      <c r="K14" s="2"/>
      <c r="L14" s="8" t="s">
        <v>13</v>
      </c>
      <c r="M14" s="47">
        <v>4.9000000000000004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29" ht="14.4" customHeight="1" x14ac:dyDescent="0.3">
      <c r="A15" s="2"/>
      <c r="B15" s="50" t="s">
        <v>150</v>
      </c>
      <c r="C15" s="37">
        <f ca="1">SUMIFS(MasterTable[Total
Time],MasterTable[Date],"&gt;="&amp;TODAY()-30,MasterTable[Date],"&lt;="&amp;TODAY())</f>
        <v>3</v>
      </c>
      <c r="D15" s="2"/>
      <c r="E15" s="50" t="s">
        <v>137</v>
      </c>
      <c r="F15" s="37">
        <f>SUMIF(Aircraft!H:H,"Airplane Single Engine Land",Aircraft!N:N)</f>
        <v>114.19999999999999</v>
      </c>
      <c r="G15" s="2"/>
      <c r="K15" s="2"/>
      <c r="L15" s="8" t="s">
        <v>71</v>
      </c>
      <c r="M15" s="47">
        <v>54.899999999999984</v>
      </c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</row>
    <row r="16" spans="1:29" ht="14.4" customHeight="1" x14ac:dyDescent="0.3">
      <c r="A16" s="2"/>
      <c r="B16" s="51" t="s">
        <v>151</v>
      </c>
      <c r="C16" s="38">
        <f ca="1">SUMIFS(MasterTable[Total
Time],MasterTable[Date],"&gt;="&amp;TODAY()-90,MasterTable[Date],"&lt;="&amp;TODAY())</f>
        <v>37.099999999999987</v>
      </c>
      <c r="D16" s="2"/>
      <c r="E16" s="51" t="s">
        <v>138</v>
      </c>
      <c r="F16" s="38">
        <f>SUMIF(Aircraft!H:H,"Airplane Multi Engine Land",Aircraft!N:N)</f>
        <v>54.899999999999984</v>
      </c>
      <c r="G16" s="2"/>
      <c r="K16" s="2"/>
      <c r="L16" s="8" t="s">
        <v>31</v>
      </c>
      <c r="M16" s="47">
        <v>51.400000000000013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 ht="14.4" customHeight="1" x14ac:dyDescent="0.3">
      <c r="A17" s="2"/>
      <c r="B17" s="51" t="s">
        <v>152</v>
      </c>
      <c r="C17" s="38">
        <f ca="1">SUMIFS(MasterTable[Total
Time],MasterTable[Date],"&gt;="&amp;TODAY()-183,MasterTable[Date],"&lt;="&amp;TODAY())</f>
        <v>58.09999999999998</v>
      </c>
      <c r="D17" s="2"/>
      <c r="E17" s="51" t="s">
        <v>139</v>
      </c>
      <c r="F17" s="38">
        <f>SUMIF(Aircraft!H:H,"Airplane Single Engine Sea",Aircraft!N:N)</f>
        <v>3.8</v>
      </c>
      <c r="G17" s="2"/>
      <c r="K17" s="2"/>
      <c r="L17" s="8" t="s">
        <v>156</v>
      </c>
      <c r="M17" s="47">
        <v>177.79999999999998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 ht="14.4" customHeight="1" x14ac:dyDescent="0.3">
      <c r="A18" s="2"/>
      <c r="B18" s="51" t="s">
        <v>153</v>
      </c>
      <c r="C18" s="38">
        <f ca="1">SUMIFS(MasterTable[Total
Time],MasterTable[Date],"&gt;="&amp;TODAY()-365,MasterTable[Date],"&lt;="&amp;TODAY())</f>
        <v>107.89999999999995</v>
      </c>
      <c r="D18" s="2"/>
      <c r="E18" s="51" t="s">
        <v>140</v>
      </c>
      <c r="F18" s="38">
        <f>SUMIF(Aircraft!H:H,"Glider",Aircraft!N:N)</f>
        <v>4.9000000000000004</v>
      </c>
      <c r="G18" s="2"/>
      <c r="K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29" ht="14.4" customHeight="1" thickBot="1" x14ac:dyDescent="0.35">
      <c r="A19" s="2"/>
      <c r="B19" s="52" t="s">
        <v>154</v>
      </c>
      <c r="C19" s="40">
        <f ca="1">SUMIFS(MasterTable[Total
Time],MasterTable[Date],"&gt;="&amp;TODAY()-730,MasterTable[Date],"&lt;="&amp;TODAY())</f>
        <v>114.49999999999994</v>
      </c>
      <c r="D19" s="2"/>
      <c r="E19" s="52" t="s">
        <v>148</v>
      </c>
      <c r="F19" s="40">
        <f>SUMIF(Aircraft!H:H,"Weight Shift Control",Aircraft!N:N)</f>
        <v>0</v>
      </c>
      <c r="G19" s="32"/>
      <c r="K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29" ht="14.4" customHeight="1" thickTop="1" x14ac:dyDescent="0.3">
      <c r="A20" s="2"/>
      <c r="B20" s="107" t="s">
        <v>238</v>
      </c>
      <c r="C20" s="108"/>
      <c r="D20" s="2"/>
      <c r="E20" s="106"/>
      <c r="F20" s="106"/>
      <c r="G20" s="2"/>
      <c r="K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29" ht="14.4" customHeight="1" x14ac:dyDescent="0.3">
      <c r="A21" s="2"/>
      <c r="B21" s="86" t="s">
        <v>172</v>
      </c>
      <c r="C21" s="87">
        <f>COUNTA(_xlfn.UNIQUE(AircraftTable[TypeCode]))</f>
        <v>6</v>
      </c>
      <c r="D21" s="80"/>
      <c r="E21" s="92"/>
      <c r="F21" s="93"/>
      <c r="G21" s="2"/>
      <c r="K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29" ht="14.4" customHeight="1" x14ac:dyDescent="0.3">
      <c r="A22" s="2"/>
      <c r="B22" s="86" t="s">
        <v>239</v>
      </c>
      <c r="C22" s="87" cm="1">
        <f t="array" ref="C22">COUNTA(_xlfn.UNIQUE(_xlfn._xlws.FILTER(AircraftTable[TypeCode],AircraftTable[Flights] &gt;= 3)))</f>
        <v>6</v>
      </c>
      <c r="D22" s="80"/>
      <c r="E22" s="92"/>
      <c r="F22" s="93"/>
      <c r="G22" s="2"/>
      <c r="K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29" ht="14.4" customHeight="1" thickBot="1" x14ac:dyDescent="0.35">
      <c r="A23" s="2"/>
      <c r="B23" s="52" t="s">
        <v>240</v>
      </c>
      <c r="C23" s="85" cm="1">
        <f t="array" ref="C23">COUNTA(_xlfn.UNIQUE(_xlfn._xlws.FILTER(AircraftTable[TypeCode],AircraftTable[Total Time] &gt;= 20)))</f>
        <v>3</v>
      </c>
      <c r="D23" s="2"/>
      <c r="E23" s="2"/>
      <c r="F23" s="94"/>
      <c r="G23" s="2"/>
      <c r="K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29" ht="15" thickTop="1" x14ac:dyDescent="0.3">
      <c r="A24" s="2"/>
      <c r="D24" s="2"/>
      <c r="E24" s="2"/>
      <c r="F24" s="94"/>
      <c r="G24" s="2"/>
      <c r="K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29" x14ac:dyDescent="0.3">
      <c r="A25" s="2"/>
      <c r="D25" s="2"/>
      <c r="E25" s="2"/>
      <c r="F25" s="94"/>
      <c r="G25" s="2"/>
      <c r="K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29" x14ac:dyDescent="0.3">
      <c r="A26" s="2"/>
      <c r="D26" s="2"/>
      <c r="E26" s="2"/>
      <c r="F26" s="94"/>
      <c r="G26" s="2"/>
      <c r="K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29" x14ac:dyDescent="0.3">
      <c r="A27" s="2"/>
      <c r="D27" s="2"/>
      <c r="E27" s="2"/>
      <c r="F27" s="2"/>
      <c r="G27" s="2"/>
      <c r="K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29" x14ac:dyDescent="0.3">
      <c r="A28" s="2"/>
      <c r="D28" s="2"/>
      <c r="E28" s="2"/>
      <c r="F28" s="2"/>
      <c r="G28" s="2"/>
      <c r="K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29" x14ac:dyDescent="0.3">
      <c r="A29" s="2"/>
      <c r="D29" s="2"/>
      <c r="E29" s="2"/>
      <c r="F29" s="2"/>
      <c r="G29" s="2"/>
      <c r="K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</row>
    <row r="30" spans="1:29" x14ac:dyDescent="0.3">
      <c r="A30" s="2"/>
      <c r="D30" s="2"/>
      <c r="E30" s="2"/>
      <c r="F30" s="2"/>
      <c r="G30" s="2"/>
      <c r="K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 x14ac:dyDescent="0.3">
      <c r="A31" s="2"/>
      <c r="D31" s="2"/>
      <c r="E31" s="2"/>
      <c r="F31" s="2"/>
      <c r="G31" s="2"/>
      <c r="K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 x14ac:dyDescent="0.3">
      <c r="A32" s="2"/>
      <c r="D32" s="2"/>
      <c r="E32" s="2"/>
      <c r="F32" s="2"/>
      <c r="G32" s="2"/>
      <c r="K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29" x14ac:dyDescent="0.3">
      <c r="A33" s="2"/>
      <c r="D33" s="2"/>
      <c r="E33" s="2"/>
      <c r="F33" s="2"/>
      <c r="G33" s="2"/>
      <c r="K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:29" x14ac:dyDescent="0.3">
      <c r="A34" s="2"/>
      <c r="D34" s="2"/>
      <c r="E34" s="2"/>
      <c r="F34" s="2"/>
      <c r="G34" s="2"/>
      <c r="K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</row>
    <row r="35" spans="1:29" x14ac:dyDescent="0.3">
      <c r="A35" s="2"/>
      <c r="D35" s="2"/>
      <c r="E35" s="2"/>
      <c r="F35" s="2"/>
      <c r="G35" s="2"/>
      <c r="K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</row>
    <row r="36" spans="1:29" x14ac:dyDescent="0.3">
      <c r="A36" s="2"/>
      <c r="D36" s="2"/>
      <c r="E36" s="2"/>
      <c r="F36" s="2"/>
      <c r="G36" s="2"/>
      <c r="K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</row>
    <row r="37" spans="1:29" x14ac:dyDescent="0.3">
      <c r="A37" s="2"/>
      <c r="D37" s="2"/>
      <c r="E37" s="2"/>
      <c r="F37" s="2"/>
      <c r="G37" s="2"/>
      <c r="K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</row>
    <row r="38" spans="1:29" x14ac:dyDescent="0.3">
      <c r="A38" s="2"/>
      <c r="D38" s="2"/>
      <c r="E38" s="2"/>
      <c r="F38" s="2"/>
      <c r="G38" s="2"/>
      <c r="K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</row>
    <row r="39" spans="1:29" x14ac:dyDescent="0.3">
      <c r="A39" s="2"/>
      <c r="B39" s="101"/>
      <c r="C39" s="101"/>
      <c r="D39" s="2"/>
      <c r="E39" s="2"/>
      <c r="F39" s="2"/>
      <c r="G39" s="2"/>
      <c r="K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</row>
    <row r="40" spans="1:29" x14ac:dyDescent="0.3">
      <c r="A40" s="2"/>
      <c r="D40" s="2"/>
      <c r="E40" s="2"/>
      <c r="F40" s="2"/>
      <c r="G40" s="2"/>
      <c r="K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 x14ac:dyDescent="0.3">
      <c r="A41" s="2"/>
      <c r="D41" s="2"/>
      <c r="E41" s="2"/>
      <c r="F41" s="2"/>
      <c r="G41" s="2"/>
      <c r="K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 x14ac:dyDescent="0.3">
      <c r="A42" s="2"/>
      <c r="D42" s="2"/>
      <c r="E42" s="2"/>
      <c r="F42" s="2"/>
      <c r="G42" s="2"/>
      <c r="K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 x14ac:dyDescent="0.3">
      <c r="A43" s="2"/>
      <c r="D43" s="2"/>
      <c r="E43" s="2"/>
      <c r="F43" s="2"/>
      <c r="G43" s="2"/>
      <c r="K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x14ac:dyDescent="0.3">
      <c r="A44" s="2"/>
      <c r="D44" s="2"/>
      <c r="E44" s="2"/>
      <c r="F44" s="2"/>
      <c r="G44" s="2"/>
      <c r="K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x14ac:dyDescent="0.3">
      <c r="A45" s="2"/>
      <c r="D45" s="2"/>
      <c r="E45" s="2"/>
      <c r="F45" s="2"/>
      <c r="G45" s="2"/>
      <c r="K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x14ac:dyDescent="0.3">
      <c r="A46" s="2"/>
      <c r="D46" s="2"/>
      <c r="E46" s="2"/>
      <c r="F46" s="2"/>
      <c r="G46" s="2"/>
      <c r="K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x14ac:dyDescent="0.3">
      <c r="A47" s="2"/>
      <c r="D47" s="2"/>
      <c r="E47" s="2"/>
      <c r="F47" s="2"/>
      <c r="G47" s="2"/>
      <c r="K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x14ac:dyDescent="0.3">
      <c r="A48" s="2"/>
      <c r="D48" s="2"/>
      <c r="E48" s="2"/>
      <c r="F48" s="2"/>
      <c r="G48" s="2"/>
      <c r="K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x14ac:dyDescent="0.3">
      <c r="A49" s="2"/>
      <c r="D49" s="2"/>
      <c r="E49" s="2"/>
      <c r="F49" s="2"/>
      <c r="G49" s="2"/>
      <c r="K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x14ac:dyDescent="0.3">
      <c r="A50" s="2"/>
      <c r="D50" s="2"/>
      <c r="E50" s="2"/>
      <c r="F50" s="2"/>
      <c r="G50" s="2"/>
      <c r="K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x14ac:dyDescent="0.3">
      <c r="A51" s="2"/>
      <c r="D51" s="2"/>
      <c r="E51" s="2"/>
      <c r="F51" s="2"/>
      <c r="G51" s="2"/>
      <c r="K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x14ac:dyDescent="0.3">
      <c r="A52" s="2"/>
      <c r="D52" s="2"/>
      <c r="E52" s="2"/>
      <c r="F52" s="2"/>
      <c r="G52" s="2"/>
      <c r="K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x14ac:dyDescent="0.3">
      <c r="A53" s="2"/>
      <c r="D53" s="2"/>
      <c r="E53" s="2"/>
      <c r="F53" s="2"/>
      <c r="G53" s="2"/>
      <c r="K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x14ac:dyDescent="0.3">
      <c r="A54" s="2"/>
      <c r="D54" s="2"/>
      <c r="E54" s="2"/>
      <c r="F54" s="2"/>
      <c r="G54" s="2"/>
      <c r="K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x14ac:dyDescent="0.3">
      <c r="A55" s="2"/>
      <c r="D55" s="2"/>
      <c r="E55" s="2"/>
      <c r="F55" s="2"/>
      <c r="G55" s="2"/>
      <c r="K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x14ac:dyDescent="0.3">
      <c r="A56" s="2"/>
      <c r="D56" s="2"/>
      <c r="E56" s="2"/>
      <c r="F56" s="2"/>
      <c r="G56" s="2"/>
      <c r="K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x14ac:dyDescent="0.3">
      <c r="A57" s="2"/>
      <c r="D57" s="2"/>
      <c r="E57" s="2"/>
      <c r="F57" s="2"/>
      <c r="G57" s="2"/>
      <c r="K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x14ac:dyDescent="0.3">
      <c r="A58" s="2"/>
      <c r="D58" s="2"/>
      <c r="E58" s="2"/>
      <c r="F58" s="2"/>
      <c r="G58" s="2"/>
      <c r="K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x14ac:dyDescent="0.3">
      <c r="A59" s="2"/>
      <c r="D59" s="2"/>
      <c r="E59" s="2"/>
      <c r="F59" s="2"/>
      <c r="G59" s="2"/>
      <c r="K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x14ac:dyDescent="0.3">
      <c r="A60" s="2"/>
      <c r="D60" s="2"/>
      <c r="E60" s="2"/>
      <c r="F60" s="2"/>
      <c r="G60" s="2"/>
      <c r="K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x14ac:dyDescent="0.3">
      <c r="A61" s="2"/>
      <c r="D61" s="2"/>
      <c r="E61" s="2"/>
      <c r="F61" s="2"/>
      <c r="G61" s="2"/>
      <c r="K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x14ac:dyDescent="0.3">
      <c r="A62" s="2"/>
      <c r="D62" s="2"/>
      <c r="E62" s="2"/>
      <c r="F62" s="2"/>
      <c r="G62" s="2"/>
      <c r="K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x14ac:dyDescent="0.3">
      <c r="A63" s="2"/>
      <c r="D63" s="2"/>
      <c r="E63" s="2"/>
      <c r="F63" s="2"/>
      <c r="G63" s="2"/>
      <c r="K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x14ac:dyDescent="0.3">
      <c r="A64" s="2"/>
      <c r="D64" s="2"/>
      <c r="E64" s="2"/>
      <c r="F64" s="2"/>
      <c r="G64" s="2"/>
      <c r="K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x14ac:dyDescent="0.3">
      <c r="A65" s="2"/>
      <c r="D65" s="2"/>
      <c r="E65" s="2"/>
      <c r="F65" s="2"/>
      <c r="G65" s="2"/>
      <c r="K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x14ac:dyDescent="0.3">
      <c r="A66" s="2"/>
      <c r="D66" s="2"/>
      <c r="E66" s="2"/>
      <c r="F66" s="2"/>
      <c r="G66" s="2"/>
      <c r="K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x14ac:dyDescent="0.3">
      <c r="A67" s="2"/>
      <c r="D67" s="2"/>
      <c r="E67" s="2"/>
      <c r="F67" s="2"/>
      <c r="G67" s="2"/>
      <c r="K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x14ac:dyDescent="0.3">
      <c r="A68" s="2"/>
      <c r="D68" s="2"/>
      <c r="E68" s="2"/>
      <c r="F68" s="2"/>
      <c r="G68" s="2"/>
      <c r="K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x14ac:dyDescent="0.3">
      <c r="A69" s="2"/>
      <c r="D69" s="2"/>
      <c r="E69" s="2"/>
      <c r="F69" s="2"/>
      <c r="G69" s="2"/>
      <c r="K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x14ac:dyDescent="0.3">
      <c r="A70" s="2"/>
      <c r="D70" s="2"/>
      <c r="E70" s="2"/>
      <c r="F70" s="2"/>
      <c r="G70" s="2"/>
      <c r="K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x14ac:dyDescent="0.3">
      <c r="A71" s="2"/>
      <c r="D71" s="2"/>
      <c r="E71" s="2"/>
      <c r="F71" s="2"/>
      <c r="G71" s="2"/>
      <c r="K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x14ac:dyDescent="0.3">
      <c r="A72" s="2"/>
      <c r="D72" s="2"/>
      <c r="E72" s="2"/>
      <c r="F72" s="2"/>
      <c r="G72" s="2"/>
      <c r="K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x14ac:dyDescent="0.3">
      <c r="A73" s="2"/>
      <c r="D73" s="2"/>
      <c r="E73" s="2"/>
      <c r="F73" s="2"/>
      <c r="G73" s="2"/>
      <c r="K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x14ac:dyDescent="0.3">
      <c r="A74" s="2"/>
      <c r="D74" s="2"/>
      <c r="E74" s="2"/>
      <c r="F74" s="2"/>
      <c r="G74" s="2"/>
      <c r="K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x14ac:dyDescent="0.3">
      <c r="A75" s="2"/>
      <c r="D75" s="2"/>
      <c r="E75" s="2"/>
      <c r="F75" s="2"/>
      <c r="G75" s="2"/>
      <c r="K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x14ac:dyDescent="0.3">
      <c r="A76" s="2"/>
      <c r="D76" s="2"/>
      <c r="E76" s="2"/>
      <c r="F76" s="2"/>
      <c r="G76" s="2"/>
      <c r="K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x14ac:dyDescent="0.3">
      <c r="A77" s="2"/>
      <c r="D77" s="2"/>
      <c r="E77" s="2"/>
      <c r="F77" s="2"/>
      <c r="G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x14ac:dyDescent="0.3">
      <c r="A78" s="2"/>
      <c r="D78" s="2"/>
      <c r="E78" s="2"/>
      <c r="F78" s="2"/>
      <c r="G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x14ac:dyDescent="0.3">
      <c r="A79" s="2"/>
      <c r="D79" s="2"/>
      <c r="E79" s="2"/>
      <c r="F79" s="2"/>
      <c r="G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x14ac:dyDescent="0.3">
      <c r="A80" s="2"/>
      <c r="D80" s="2"/>
      <c r="E80" s="2"/>
      <c r="F80" s="2"/>
      <c r="G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x14ac:dyDescent="0.3">
      <c r="A81" s="2"/>
      <c r="D81" s="2"/>
      <c r="E81" s="2"/>
      <c r="F81" s="2"/>
      <c r="G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x14ac:dyDescent="0.3">
      <c r="A82" s="2"/>
      <c r="D82" s="2"/>
      <c r="E82" s="2"/>
      <c r="F82" s="2"/>
      <c r="G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x14ac:dyDescent="0.3">
      <c r="A83" s="2"/>
      <c r="D83" s="2"/>
      <c r="E83" s="2"/>
      <c r="F83" s="2"/>
      <c r="G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x14ac:dyDescent="0.3">
      <c r="A84" s="2"/>
      <c r="D84" s="2"/>
      <c r="E84" s="2"/>
      <c r="F84" s="2"/>
      <c r="G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x14ac:dyDescent="0.3">
      <c r="A85" s="2"/>
      <c r="D85" s="2"/>
      <c r="E85" s="2"/>
      <c r="F85" s="2"/>
      <c r="G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x14ac:dyDescent="0.3">
      <c r="A86" s="2"/>
      <c r="D86" s="2"/>
      <c r="E86" s="2"/>
      <c r="F86" s="2"/>
      <c r="G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x14ac:dyDescent="0.3">
      <c r="A87" s="2"/>
      <c r="D87" s="2"/>
      <c r="E87" s="2"/>
      <c r="F87" s="2"/>
      <c r="G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x14ac:dyDescent="0.3">
      <c r="A88" s="2"/>
      <c r="D88" s="2"/>
      <c r="E88" s="2"/>
      <c r="F88" s="2"/>
      <c r="G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x14ac:dyDescent="0.3">
      <c r="A89" s="2"/>
      <c r="D89" s="2"/>
      <c r="E89" s="2"/>
      <c r="F89" s="2"/>
      <c r="G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x14ac:dyDescent="0.3">
      <c r="A90" s="2"/>
      <c r="D90" s="2"/>
      <c r="E90" s="2"/>
      <c r="F90" s="2"/>
      <c r="G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x14ac:dyDescent="0.3">
      <c r="A91" s="2"/>
      <c r="D91" s="2"/>
      <c r="E91" s="2"/>
      <c r="F91" s="2"/>
      <c r="G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x14ac:dyDescent="0.3">
      <c r="A92" s="2"/>
      <c r="D92" s="2"/>
      <c r="E92" s="2"/>
      <c r="F92" s="2"/>
      <c r="G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x14ac:dyDescent="0.3">
      <c r="A93" s="2"/>
      <c r="D93" s="2"/>
      <c r="E93" s="2"/>
      <c r="F93" s="2"/>
      <c r="G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x14ac:dyDescent="0.3">
      <c r="A94" s="2"/>
      <c r="D94" s="2"/>
      <c r="E94" s="2"/>
      <c r="F94" s="2"/>
      <c r="G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x14ac:dyDescent="0.3">
      <c r="A95" s="2"/>
      <c r="D95" s="2"/>
      <c r="E95" s="2"/>
      <c r="F95" s="2"/>
      <c r="G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x14ac:dyDescent="0.3">
      <c r="A96" s="2"/>
      <c r="D96" s="2"/>
      <c r="E96" s="2"/>
      <c r="F96" s="2"/>
      <c r="G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x14ac:dyDescent="0.3">
      <c r="A97" s="2"/>
      <c r="D97" s="2"/>
      <c r="E97" s="2"/>
      <c r="F97" s="2"/>
      <c r="G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x14ac:dyDescent="0.3">
      <c r="A98" s="2"/>
      <c r="D98" s="2"/>
      <c r="E98" s="2"/>
      <c r="F98" s="2"/>
      <c r="G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x14ac:dyDescent="0.3">
      <c r="A99" s="2"/>
      <c r="D99" s="2"/>
      <c r="E99" s="2"/>
      <c r="F99" s="2"/>
      <c r="G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x14ac:dyDescent="0.3">
      <c r="A100" s="2"/>
      <c r="D100" s="2"/>
      <c r="E100" s="2"/>
      <c r="F100" s="2"/>
      <c r="G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x14ac:dyDescent="0.3"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</sheetData>
  <sheetProtection selectLockedCells="1" pivotTables="0"/>
  <mergeCells count="8">
    <mergeCell ref="B39:C39"/>
    <mergeCell ref="H2:J2"/>
    <mergeCell ref="B2:C2"/>
    <mergeCell ref="E14:F14"/>
    <mergeCell ref="E2:F2"/>
    <mergeCell ref="B14:C14"/>
    <mergeCell ref="E20:F20"/>
    <mergeCell ref="B20:C20"/>
  </mergeCells>
  <pageMargins left="0.7" right="0.7" top="0.75" bottom="0.75" header="0.3" footer="0.3"/>
  <pageSetup orientation="portrait" horizontalDpi="1200" verticalDpi="1200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7DF7E-0A01-4F86-BE72-D252BBEDB89E}">
  <sheetPr codeName="Sheet3">
    <tabColor theme="5" tint="-0.249977111117893"/>
  </sheetPr>
  <dimension ref="B1:S56"/>
  <sheetViews>
    <sheetView workbookViewId="0">
      <selection activeCell="P4" sqref="P4"/>
    </sheetView>
  </sheetViews>
  <sheetFormatPr defaultRowHeight="14.4" x14ac:dyDescent="0.3"/>
  <cols>
    <col min="1" max="1" width="4.77734375" style="2" customWidth="1"/>
    <col min="2" max="2" width="9.33203125" style="2" bestFit="1" customWidth="1"/>
    <col min="3" max="3" width="8.88671875" style="2"/>
    <col min="4" max="4" width="10.33203125" style="2" bestFit="1" customWidth="1"/>
    <col min="5" max="5" width="4.77734375" style="2" customWidth="1"/>
    <col min="6" max="7" width="8.88671875" style="2"/>
    <col min="8" max="8" width="10.33203125" style="2" bestFit="1" customWidth="1"/>
    <col min="9" max="9" width="4.77734375" style="2" customWidth="1"/>
    <col min="10" max="11" width="8.88671875" style="2"/>
    <col min="12" max="12" width="9.33203125" style="2" bestFit="1" customWidth="1"/>
    <col min="13" max="13" width="4.77734375" style="2" customWidth="1"/>
    <col min="14" max="14" width="8.88671875" style="2"/>
    <col min="15" max="15" width="12.33203125" style="2" customWidth="1"/>
    <col min="16" max="16" width="10.21875" style="2" customWidth="1"/>
    <col min="17" max="17" width="4.77734375" style="2" customWidth="1"/>
    <col min="18" max="16384" width="8.88671875" style="2"/>
  </cols>
  <sheetData>
    <row r="1" spans="2:19" ht="15" customHeight="1" thickBot="1" x14ac:dyDescent="0.35"/>
    <row r="2" spans="2:19" ht="15" customHeight="1" thickBot="1" x14ac:dyDescent="0.35">
      <c r="B2" s="109" t="s">
        <v>169</v>
      </c>
      <c r="C2" s="111"/>
      <c r="D2" s="110"/>
      <c r="F2" s="109" t="s">
        <v>171</v>
      </c>
      <c r="G2" s="111"/>
      <c r="H2" s="110"/>
      <c r="J2" s="109" t="s">
        <v>107</v>
      </c>
      <c r="K2" s="111"/>
      <c r="L2" s="110"/>
      <c r="N2" s="109" t="s">
        <v>108</v>
      </c>
      <c r="O2" s="111"/>
      <c r="P2" s="110"/>
    </row>
    <row r="3" spans="2:19" ht="15" customHeight="1" x14ac:dyDescent="0.3">
      <c r="B3" s="23" t="s">
        <v>105</v>
      </c>
      <c r="D3" s="24">
        <f ca="1">D4-TODAY()</f>
        <v>704</v>
      </c>
      <c r="F3" s="23" t="s">
        <v>105</v>
      </c>
      <c r="H3" s="24">
        <f ca="1">H4-TODAY()</f>
        <v>124</v>
      </c>
      <c r="J3" s="23" t="s">
        <v>105</v>
      </c>
      <c r="L3" s="24">
        <f ca="1">L4-TODAY()</f>
        <v>461</v>
      </c>
      <c r="N3" s="77" t="s">
        <v>113</v>
      </c>
      <c r="O3" s="78"/>
      <c r="P3" s="79">
        <v>2</v>
      </c>
    </row>
    <row r="4" spans="2:19" ht="15" customHeight="1" thickBot="1" x14ac:dyDescent="0.35">
      <c r="B4" s="25" t="s">
        <v>104</v>
      </c>
      <c r="C4" s="26"/>
      <c r="D4" s="73">
        <f>EOMONTH(EDATE(INDEX(MasterTable[Date],MIN(MATCH("*TRUE*",MasterTable[Flight Review
(FAA)],0),MATCH("*TRUE*",MasterTable[Checkride
(FAA)],0),MATCH("*TRUE*",MasterTable[Checkride
(MIL)],0))),24),0)</f>
        <v>47026</v>
      </c>
      <c r="E4" s="31"/>
      <c r="F4" s="25" t="s">
        <v>104</v>
      </c>
      <c r="G4" s="26"/>
      <c r="H4" s="73" cm="1">
        <f t="array" ref="H4">EOMONTH(_xlfn.LET(
    _xlpm.dates,_xlfn._xlws.SORT(_xlfn.UNIQUE(_xlfn._xlws.FILTER(MasterTable[Date],MasterTable[Date]&lt;&gt;"")),,-1),
    _xlpm.apprTotals,_xlfn.SCAN(0,_xlpm.dates,_xlfn.LAMBDA(_xlpm.a,_xlpm.d,_xlpm.a+SUMIF(MasterTable[Date],_xlpm.d,MasterTable[APPR]))),
    _xlpm.holdTotals,_xlfn.SCAN(0,_xlpm.dates,_xlfn.LAMBDA(_xlpm.a,_xlpm.d,_xlpm.a+SUMIF(MasterTable[Date],_xlpm.d,MasterTable[Holds]))),
    _xlpm.qualifyingDate,IFERROR(INDEX(_xlpm.dates,_xlfn.XMATCH(1,(_xlpm.apprTotals&gt;=6)*(_xlpm.holdTotals&gt;=1))),0),
    _xlpm.ipcDate,IFERROR(MAX(_xlfn._xlws.FILTER(
        MasterTable[Date],
        ISNUMBER(SEARCH("TRUE",MasterTable[IPC 
(FAA)]&amp;""))
    )),0),
    MAX(_xlpm.qualifyingDate,_xlpm.ipcDate)
), 6)</f>
        <v>46446</v>
      </c>
      <c r="J4" s="25" t="s">
        <v>104</v>
      </c>
      <c r="K4" s="26"/>
      <c r="L4" s="75">
        <v>46783</v>
      </c>
      <c r="N4" s="23" t="s">
        <v>114</v>
      </c>
      <c r="P4" s="76">
        <v>46201</v>
      </c>
    </row>
    <row r="5" spans="2:19" ht="15" customHeight="1" thickBot="1" x14ac:dyDescent="0.35">
      <c r="N5" s="113" t="s">
        <v>234</v>
      </c>
      <c r="O5" s="114"/>
      <c r="P5" s="84" t="s">
        <v>235</v>
      </c>
    </row>
    <row r="6" spans="2:19" ht="15" customHeight="1" x14ac:dyDescent="0.3">
      <c r="B6" s="109" t="s">
        <v>109</v>
      </c>
      <c r="C6" s="111"/>
      <c r="D6" s="110"/>
      <c r="F6" s="109" t="s">
        <v>111</v>
      </c>
      <c r="G6" s="111"/>
      <c r="H6" s="110"/>
      <c r="J6" s="109" t="s">
        <v>110</v>
      </c>
      <c r="K6" s="111"/>
      <c r="L6" s="110"/>
      <c r="N6" s="23" t="s">
        <v>117</v>
      </c>
      <c r="P6" s="24">
        <f ca="1">P7-TODAY()</f>
        <v>246</v>
      </c>
    </row>
    <row r="7" spans="2:19" ht="15" customHeight="1" x14ac:dyDescent="0.3">
      <c r="B7" s="23" t="s">
        <v>105</v>
      </c>
      <c r="D7" s="24">
        <f ca="1">D8-TODAY()</f>
        <v>-93</v>
      </c>
      <c r="F7" s="23" t="s">
        <v>105</v>
      </c>
      <c r="H7" s="24">
        <f ca="1">H8-TODAY()</f>
        <v>84</v>
      </c>
      <c r="J7" s="23" t="s">
        <v>105</v>
      </c>
      <c r="L7" s="24">
        <f ca="1">L8-TODAY()</f>
        <v>-869</v>
      </c>
      <c r="N7" s="23" t="s">
        <v>115</v>
      </c>
      <c r="P7" s="74">
        <f>IF(P5="Under 40",EOMONTH(EDATE(P4,12),0),EOMONTH(EDATE(P4,6),0))</f>
        <v>46568</v>
      </c>
    </row>
    <row r="8" spans="2:19" ht="15" customHeight="1" thickBot="1" x14ac:dyDescent="0.35">
      <c r="B8" s="25" t="s">
        <v>104</v>
      </c>
      <c r="C8" s="26"/>
      <c r="D8" s="73" cm="1">
        <f t="array" ref="D8">_xlfn.LET(
    _xlpm.dates,_xlfn._xlws.SORT(_xlfn.UNIQUE(_xlfn._xlws.FILTER(MasterTable[Date],MasterTable[Date]&lt;&gt;"")),,-1),
    _xlpm.singleEngine,_xlfn.XLOOKUP(
        MasterTable[Aircraft ID],
        AircraftTable[Aircraft ID],
        AircraftTable[aircraftClass (FAA)],
        ""
    ),
    _xlpm.totals,_xlfn.SCAN(
        0,
        _xlpm.dates,
        _xlfn.LAMBDA(_xlpm.a,_xlpm.d,
            _xlpm.a+SUMPRODUCT(
                (MasterTable[Date]=_xlpm.d)*
                (_xlpm.singleEngine="Airplane Single Engine Land")*
                MasterTable[Landings
Total]
            )
        )
    ),
    IFERROR(INDEX(_xlpm.dates,_xlfn.XMATCH(TRUE,_xlpm.totals&gt;=3)),"No 3 landings found")
) + 90</f>
        <v>46229</v>
      </c>
      <c r="F8" s="25" t="s">
        <v>104</v>
      </c>
      <c r="G8" s="26"/>
      <c r="H8" s="73" cm="1">
        <f t="array" ref="H8">_xlfn.LET(
    _xlpm.dates,_xlfn._xlws.SORT(_xlfn.UNIQUE(_xlfn._xlws.FILTER(MasterTable[Date],MasterTable[Date]&lt;&gt;"")),,-1),
    _xlpm.singleEngine,_xlfn.XLOOKUP(
        MasterTable[Aircraft ID],
        AircraftTable[Aircraft ID],
        AircraftTable[aircraftClass (FAA)],
        ""
    ),
    _xlpm.totals,_xlfn.SCAN(
        0,
        _xlpm.dates,
        _xlfn.LAMBDA(_xlpm.a,_xlpm.d,
            _xlpm.a+SUMPRODUCT(
                (MasterTable[Date]=_xlpm.d)*
                (_xlpm.singleEngine="Airplane Multi Engine Land")*
                MasterTable[Landings
Total]
            )
        )
    ),
    IFERROR(INDEX(_xlpm.dates,_xlfn.XMATCH(TRUE,_xlpm.totals&gt;=3)),"No 3 landings found")
) + 90</f>
        <v>46406</v>
      </c>
      <c r="J8" s="25" t="s">
        <v>104</v>
      </c>
      <c r="K8" s="26"/>
      <c r="L8" s="73" cm="1">
        <f t="array" ref="L8">_xlfn.LET(
    _xlpm.dates,_xlfn._xlws.SORT(_xlfn.UNIQUE(_xlfn._xlws.FILTER(MasterTable[Date],MasterTable[Date]&lt;&gt;"")),,-1),
    _xlpm.gearType,_xlfn.XLOOKUP(
        MasterTable[Aircraft ID],
        AircraftTable[Aircraft ID],
        AircraftTable[GearType],
        ""
    ),
    _xlpm.totals,_xlfn.SCAN(
        0,
        _xlpm.dates,
        _xlfn.LAMBDA(_xlpm.a,_xlpm.d,
            _xlpm.a+SUMPRODUCT(
                (MasterTable[Date]=_xlpm.d)*
                ISNUMBER(SEARCH("tailwheel",_xlpm.gearType))*
                MasterTable[Landings
Total]
            )
        )
    ),
    IFERROR(INDEX(_xlpm.dates,_xlfn.XMATCH(TRUE,_xlpm.totals&gt;=3)),"No 3 landings found")
)</f>
        <v>45453</v>
      </c>
      <c r="N8" s="23" t="s">
        <v>118</v>
      </c>
      <c r="P8" s="24">
        <f ca="1">P9-TODAY()</f>
        <v>246</v>
      </c>
    </row>
    <row r="9" spans="2:19" ht="15" customHeight="1" thickBot="1" x14ac:dyDescent="0.35">
      <c r="N9" s="23" t="s">
        <v>116</v>
      </c>
      <c r="P9" s="74">
        <f>EOMONTH(EDATE(P4,12),0)</f>
        <v>46568</v>
      </c>
    </row>
    <row r="10" spans="2:19" ht="15" customHeight="1" x14ac:dyDescent="0.3">
      <c r="B10" s="109" t="s">
        <v>170</v>
      </c>
      <c r="C10" s="111"/>
      <c r="D10" s="110"/>
      <c r="F10" s="109" t="s">
        <v>112</v>
      </c>
      <c r="G10" s="111"/>
      <c r="H10" s="110"/>
      <c r="J10" s="112"/>
      <c r="K10" s="112"/>
      <c r="L10" s="112"/>
      <c r="N10" s="23" t="s">
        <v>119</v>
      </c>
      <c r="P10" s="24">
        <f ca="1">P11-TODAY()</f>
        <v>1707</v>
      </c>
    </row>
    <row r="11" spans="2:19" ht="15" customHeight="1" thickBot="1" x14ac:dyDescent="0.35">
      <c r="B11" s="23" t="s">
        <v>105</v>
      </c>
      <c r="D11" s="24">
        <f ca="1">D12-TODAY()</f>
        <v>-175</v>
      </c>
      <c r="F11" s="23" t="s">
        <v>105</v>
      </c>
      <c r="H11" s="24">
        <f ca="1">H12-TODAY()</f>
        <v>27</v>
      </c>
      <c r="J11" s="112"/>
      <c r="K11" s="112"/>
      <c r="L11" s="112"/>
      <c r="N11" s="25" t="s">
        <v>120</v>
      </c>
      <c r="O11" s="26"/>
      <c r="P11" s="73">
        <f>IF(P5="Under 40",EOMONTH(EDATE(P4,60),0),EOMONTH(EDATE(P4,24),0))</f>
        <v>48029</v>
      </c>
    </row>
    <row r="12" spans="2:19" ht="15" customHeight="1" thickBot="1" x14ac:dyDescent="0.35">
      <c r="B12" s="25" t="s">
        <v>104</v>
      </c>
      <c r="C12" s="26"/>
      <c r="D12" s="73" cm="1">
        <f t="array" ref="D12">_xlfn.LET(
    _xlpm.dates,_xlfn._xlws.SORT(_xlfn.UNIQUE(_xlfn._xlws.FILTER(MasterTable[Date],MasterTable[Date]&lt;&gt;"")),,-1),
    _xlpm.singleEngine,_xlfn.XLOOKUP(
        MasterTable[Aircraft ID],
        AircraftTable[Aircraft ID],
        AircraftTable[aircraftClass (FAA)],
        ""
    ),
    _xlpm.totals,_xlfn.SCAN(
        0,
        _xlpm.dates,
        _xlfn.LAMBDA(_xlpm.a,_xlpm.d,
            _xlpm.a+SUMPRODUCT(
                (MasterTable[Date]=_xlpm.d)*
                (_xlpm.singleEngine="Airplane Single Engine Land")*
                MasterTable[Landings
Night]
            )
        )
    ),
    IFERROR(INDEX(_xlpm.dates,_xlfn.XMATCH(TRUE,_xlpm.totals&gt;=3)),"No 3 landings found")
) + 90</f>
        <v>46147</v>
      </c>
      <c r="F12" s="25" t="s">
        <v>104</v>
      </c>
      <c r="G12" s="26"/>
      <c r="H12" s="73" cm="1">
        <f t="array" ref="H12">_xlfn.LET(
    _xlpm.dates,_xlfn._xlws.SORT(_xlfn.UNIQUE(_xlfn._xlws.FILTER(MasterTable[Date],MasterTable[Date]&lt;&gt;"")),,-1),
    _xlpm.singleEngine,_xlfn.XLOOKUP(
        MasterTable[Aircraft ID],
        AircraftTable[Aircraft ID],
        AircraftTable[aircraftClass (FAA)],
        ""
    ),
    _xlpm.totals,_xlfn.SCAN(
        0,
        _xlpm.dates,
        _xlfn.LAMBDA(_xlpm.a,_xlpm.d,
            _xlpm.a+SUMPRODUCT(
                (MasterTable[Date]=_xlpm.d)*
                (_xlpm.singleEngine="Airplane Multi Engine Land")*
                MasterTable[Landings
Night]
            )
        )
    ),
    IFERROR(INDEX(_xlpm.dates,_xlfn.XMATCH(TRUE,_xlpm.totals&gt;=3)),"No 3 landings found")
) + 90</f>
        <v>46349</v>
      </c>
    </row>
    <row r="13" spans="2:19" ht="15" thickBot="1" x14ac:dyDescent="0.35"/>
    <row r="14" spans="2:19" x14ac:dyDescent="0.3">
      <c r="R14" s="109" t="s">
        <v>149</v>
      </c>
      <c r="S14" s="110"/>
    </row>
    <row r="15" spans="2:19" x14ac:dyDescent="0.3">
      <c r="R15" s="43" t="s">
        <v>150</v>
      </c>
      <c r="S15" s="141">
        <f ca="1">SUMIFS(MasterTable[Total
Time],MasterTable[Date],"&gt;="&amp;TODAY()-30,MasterTable[Date],"&lt;="&amp;TODAY())</f>
        <v>3</v>
      </c>
    </row>
    <row r="16" spans="2:19" x14ac:dyDescent="0.3">
      <c r="B16" s="36"/>
      <c r="R16" s="44" t="s">
        <v>151</v>
      </c>
      <c r="S16" s="142">
        <f ca="1">SUMIFS(MasterTable[Total
Time],MasterTable[Date],"&gt;="&amp;TODAY()-90,MasterTable[Date],"&lt;="&amp;TODAY())</f>
        <v>37.099999999999987</v>
      </c>
    </row>
    <row r="17" spans="2:19" x14ac:dyDescent="0.3">
      <c r="R17" s="44" t="s">
        <v>152</v>
      </c>
      <c r="S17" s="142">
        <f ca="1">SUMIFS(MasterTable[Total
Time],MasterTable[Date],"&gt;="&amp;TODAY()-183,MasterTable[Date],"&lt;="&amp;TODAY())</f>
        <v>58.09999999999998</v>
      </c>
    </row>
    <row r="18" spans="2:19" x14ac:dyDescent="0.3">
      <c r="R18" s="44" t="s">
        <v>153</v>
      </c>
      <c r="S18" s="142">
        <f ca="1">SUMIFS(MasterTable[Total
Time],MasterTable[Date],"&gt;="&amp;TODAY()-365,MasterTable[Date],"&lt;="&amp;TODAY())</f>
        <v>107.89999999999995</v>
      </c>
    </row>
    <row r="19" spans="2:19" ht="15" thickBot="1" x14ac:dyDescent="0.35">
      <c r="B19" s="41"/>
      <c r="R19" s="45" t="s">
        <v>154</v>
      </c>
      <c r="S19" s="143">
        <f ca="1">SUMIFS(MasterTable[Total
Time],MasterTable[Date],"&gt;="&amp;TODAY()-730,MasterTable[Date],"&lt;="&amp;TODAY())</f>
        <v>114.49999999999994</v>
      </c>
    </row>
    <row r="33" spans="2:3" x14ac:dyDescent="0.3">
      <c r="B33" s="42">
        <f ca="1">EOMONTH(TODAY(),-24)+1</f>
        <v>45597</v>
      </c>
      <c r="C33" s="32">
        <f ca="1">SUMIFS(MasterTable[Total
Time],MasterTable[Date],"&gt;="&amp;B33,MasterTable[Date],"&lt;"&amp;EDATE(B33,1))</f>
        <v>0</v>
      </c>
    </row>
    <row r="34" spans="2:3" x14ac:dyDescent="0.3">
      <c r="B34" s="42">
        <f ca="1">EDATE(B33,1)</f>
        <v>45627</v>
      </c>
      <c r="C34" s="32">
        <f ca="1">SUMIFS(MasterTable[Total
Time],MasterTable[Date],"&gt;="&amp;B34,MasterTable[Date],"&lt;"&amp;EDATE(B34,1))</f>
        <v>0</v>
      </c>
    </row>
    <row r="35" spans="2:3" x14ac:dyDescent="0.3">
      <c r="B35" s="42">
        <f t="shared" ref="B35:B56" ca="1" si="0">EDATE(B34,1)</f>
        <v>45658</v>
      </c>
      <c r="C35" s="32">
        <f ca="1">SUMIFS(MasterTable[Total
Time],MasterTable[Date],"&gt;="&amp;B35,MasterTable[Date],"&lt;"&amp;EDATE(B35,1))</f>
        <v>0</v>
      </c>
    </row>
    <row r="36" spans="2:3" x14ac:dyDescent="0.3">
      <c r="B36" s="42">
        <f t="shared" ca="1" si="0"/>
        <v>45689</v>
      </c>
      <c r="C36" s="32">
        <f ca="1">SUMIFS(MasterTable[Total
Time],MasterTable[Date],"&gt;="&amp;B36,MasterTable[Date],"&lt;"&amp;EDATE(B36,1))</f>
        <v>0</v>
      </c>
    </row>
    <row r="37" spans="2:3" x14ac:dyDescent="0.3">
      <c r="B37" s="42">
        <f t="shared" ca="1" si="0"/>
        <v>45717</v>
      </c>
      <c r="C37" s="32">
        <f ca="1">SUMIFS(MasterTable[Total
Time],MasterTable[Date],"&gt;="&amp;B37,MasterTable[Date],"&lt;"&amp;EDATE(B37,1))</f>
        <v>4.5999999999999996</v>
      </c>
    </row>
    <row r="38" spans="2:3" x14ac:dyDescent="0.3">
      <c r="B38" s="42">
        <f t="shared" ca="1" si="0"/>
        <v>45748</v>
      </c>
      <c r="C38" s="32">
        <f ca="1">SUMIFS(MasterTable[Total
Time],MasterTable[Date],"&gt;="&amp;B38,MasterTable[Date],"&lt;"&amp;EDATE(B38,1))</f>
        <v>0</v>
      </c>
    </row>
    <row r="39" spans="2:3" x14ac:dyDescent="0.3">
      <c r="B39" s="42">
        <f t="shared" ca="1" si="0"/>
        <v>45778</v>
      </c>
      <c r="C39" s="32">
        <f ca="1">SUMIFS(MasterTable[Total
Time],MasterTable[Date],"&gt;="&amp;B39,MasterTable[Date],"&lt;"&amp;EDATE(B39,1))</f>
        <v>0</v>
      </c>
    </row>
    <row r="40" spans="2:3" x14ac:dyDescent="0.3">
      <c r="B40" s="42">
        <f t="shared" ca="1" si="0"/>
        <v>45809</v>
      </c>
      <c r="C40" s="32">
        <f ca="1">SUMIFS(MasterTable[Total
Time],MasterTable[Date],"&gt;="&amp;B40,MasterTable[Date],"&lt;"&amp;EDATE(B40,1))</f>
        <v>2</v>
      </c>
    </row>
    <row r="41" spans="2:3" x14ac:dyDescent="0.3">
      <c r="B41" s="42">
        <f t="shared" ca="1" si="0"/>
        <v>45839</v>
      </c>
      <c r="C41" s="32">
        <f ca="1">SUMIFS(MasterTable[Total
Time],MasterTable[Date],"&gt;="&amp;B41,MasterTable[Date],"&lt;"&amp;EDATE(B41,1))</f>
        <v>0</v>
      </c>
    </row>
    <row r="42" spans="2:3" x14ac:dyDescent="0.3">
      <c r="B42" s="42">
        <f t="shared" ca="1" si="0"/>
        <v>45870</v>
      </c>
      <c r="C42" s="32">
        <f ca="1">SUMIFS(MasterTable[Total
Time],MasterTable[Date],"&gt;="&amp;B42,MasterTable[Date],"&lt;"&amp;EDATE(B42,1))</f>
        <v>0</v>
      </c>
    </row>
    <row r="43" spans="2:3" x14ac:dyDescent="0.3">
      <c r="B43" s="42">
        <f t="shared" ca="1" si="0"/>
        <v>45901</v>
      </c>
      <c r="C43" s="32">
        <f ca="1">SUMIFS(MasterTable[Total
Time],MasterTable[Date],"&gt;="&amp;B43,MasterTable[Date],"&lt;"&amp;EDATE(B43,1))</f>
        <v>0</v>
      </c>
    </row>
    <row r="44" spans="2:3" x14ac:dyDescent="0.3">
      <c r="B44" s="42">
        <f t="shared" ca="1" si="0"/>
        <v>45931</v>
      </c>
      <c r="C44" s="32">
        <f ca="1">SUMIFS(MasterTable[Total
Time],MasterTable[Date],"&gt;="&amp;B44,MasterTable[Date],"&lt;"&amp;EDATE(B44,1))</f>
        <v>0</v>
      </c>
    </row>
    <row r="45" spans="2:3" x14ac:dyDescent="0.3">
      <c r="B45" s="42">
        <f t="shared" ca="1" si="0"/>
        <v>45962</v>
      </c>
      <c r="C45" s="32">
        <f ca="1">SUMIFS(MasterTable[Total
Time],MasterTable[Date],"&gt;="&amp;B45,MasterTable[Date],"&lt;"&amp;EDATE(B45,1))</f>
        <v>0</v>
      </c>
    </row>
    <row r="46" spans="2:3" x14ac:dyDescent="0.3">
      <c r="B46" s="42">
        <f t="shared" ca="1" si="0"/>
        <v>45992</v>
      </c>
      <c r="C46" s="32">
        <f ca="1">SUMIFS(MasterTable[Total
Time],MasterTable[Date],"&gt;="&amp;B46,MasterTable[Date],"&lt;"&amp;EDATE(B46,1))</f>
        <v>15.2</v>
      </c>
    </row>
    <row r="47" spans="2:3" x14ac:dyDescent="0.3">
      <c r="B47" s="42">
        <f t="shared" ca="1" si="0"/>
        <v>46023</v>
      </c>
      <c r="C47" s="32">
        <f ca="1">SUMIFS(MasterTable[Total
Time],MasterTable[Date],"&gt;="&amp;B47,MasterTable[Date],"&lt;"&amp;EDATE(B47,1))</f>
        <v>15.6</v>
      </c>
    </row>
    <row r="48" spans="2:3" x14ac:dyDescent="0.3">
      <c r="B48" s="42">
        <f t="shared" ca="1" si="0"/>
        <v>46054</v>
      </c>
      <c r="C48" s="32">
        <f ca="1">SUMIFS(MasterTable[Total
Time],MasterTable[Date],"&gt;="&amp;B48,MasterTable[Date],"&lt;"&amp;EDATE(B48,1))</f>
        <v>19</v>
      </c>
    </row>
    <row r="49" spans="2:3" x14ac:dyDescent="0.3">
      <c r="B49" s="42">
        <f ca="1">EDATE(B48,1)</f>
        <v>46082</v>
      </c>
      <c r="C49" s="32">
        <f ca="1">SUMIFS(MasterTable[Total
Time],MasterTable[Date],"&gt;="&amp;B49,MasterTable[Date],"&lt;"&amp;EDATE(B49,1))</f>
        <v>0</v>
      </c>
    </row>
    <row r="50" spans="2:3" x14ac:dyDescent="0.3">
      <c r="B50" s="42">
        <f t="shared" ca="1" si="0"/>
        <v>46113</v>
      </c>
      <c r="C50" s="32">
        <f ca="1">SUMIFS(MasterTable[Total
Time],MasterTable[Date],"&gt;="&amp;B50,MasterTable[Date],"&lt;"&amp;EDATE(B50,1))</f>
        <v>3.1999999999999997</v>
      </c>
    </row>
    <row r="51" spans="2:3" x14ac:dyDescent="0.3">
      <c r="B51" s="42">
        <f t="shared" ca="1" si="0"/>
        <v>46143</v>
      </c>
      <c r="C51" s="32">
        <f ca="1">SUMIFS(MasterTable[Total
Time],MasterTable[Date],"&gt;="&amp;B51,MasterTable[Date],"&lt;"&amp;EDATE(B51,1))</f>
        <v>0</v>
      </c>
    </row>
    <row r="52" spans="2:3" x14ac:dyDescent="0.3">
      <c r="B52" s="42">
        <f t="shared" ca="1" si="0"/>
        <v>46174</v>
      </c>
      <c r="C52" s="32">
        <f ca="1">SUMIFS(MasterTable[Total
Time],MasterTable[Date],"&gt;="&amp;B52,MasterTable[Date],"&lt;"&amp;EDATE(B52,1))</f>
        <v>4</v>
      </c>
    </row>
    <row r="53" spans="2:3" x14ac:dyDescent="0.3">
      <c r="B53" s="42">
        <f t="shared" ca="1" si="0"/>
        <v>46204</v>
      </c>
      <c r="C53" s="32">
        <f ca="1">SUMIFS(MasterTable[Total
Time],MasterTable[Date],"&gt;="&amp;B53,MasterTable[Date],"&lt;"&amp;EDATE(B53,1))</f>
        <v>17</v>
      </c>
    </row>
    <row r="54" spans="2:3" x14ac:dyDescent="0.3">
      <c r="B54" s="42">
        <f t="shared" ca="1" si="0"/>
        <v>46235</v>
      </c>
      <c r="C54" s="32">
        <f ca="1">SUMIFS(MasterTable[Total
Time],MasterTable[Date],"&gt;="&amp;B54,MasterTable[Date],"&lt;"&amp;EDATE(B54,1))</f>
        <v>18.599999999999998</v>
      </c>
    </row>
    <row r="55" spans="2:3" x14ac:dyDescent="0.3">
      <c r="B55" s="42">
        <f t="shared" ca="1" si="0"/>
        <v>46266</v>
      </c>
      <c r="C55" s="32">
        <f ca="1">SUMIFS(MasterTable[Total
Time],MasterTable[Date],"&gt;="&amp;B55,MasterTable[Date],"&lt;"&amp;EDATE(B55,1))</f>
        <v>12.299999999999999</v>
      </c>
    </row>
    <row r="56" spans="2:3" x14ac:dyDescent="0.3">
      <c r="B56" s="42">
        <f t="shared" ca="1" si="0"/>
        <v>46296</v>
      </c>
      <c r="C56" s="32">
        <f ca="1">SUMIFS(MasterTable[Total
Time],MasterTable[Date],"&gt;="&amp;B56,MasterTable[Date],"&lt;"&amp;EDATE(B56,1))</f>
        <v>3</v>
      </c>
    </row>
  </sheetData>
  <sheetProtection algorithmName="SHA-512" hashValue="Jyzpupi096e8TjRfdWnDl+/oXZRVGAuXhUA/DorpHfhhsSb6ZXZf9VrwObule9NOu0fRUqh1O4WDCS1k7teIfw==" saltValue="zx53c9XzCIo461oukkG2kg==" spinCount="100000" sheet="1" objects="1" scenarios="1" selectLockedCells="1"/>
  <mergeCells count="13">
    <mergeCell ref="R14:S14"/>
    <mergeCell ref="N2:P2"/>
    <mergeCell ref="B6:D6"/>
    <mergeCell ref="J6:L6"/>
    <mergeCell ref="F6:H6"/>
    <mergeCell ref="B10:D10"/>
    <mergeCell ref="F10:H10"/>
    <mergeCell ref="B2:D2"/>
    <mergeCell ref="F2:H2"/>
    <mergeCell ref="J2:L2"/>
    <mergeCell ref="J10:L10"/>
    <mergeCell ref="J11:L11"/>
    <mergeCell ref="N5:O5"/>
  </mergeCells>
  <conditionalFormatting sqref="D3">
    <cfRule type="cellIs" dxfId="17" priority="17" operator="greaterThan">
      <formula>0</formula>
    </cfRule>
    <cfRule type="cellIs" dxfId="16" priority="18" operator="lessThan">
      <formula>0</formula>
    </cfRule>
  </conditionalFormatting>
  <conditionalFormatting sqref="H3">
    <cfRule type="cellIs" dxfId="15" priority="15" operator="greaterThan">
      <formula>0</formula>
    </cfRule>
    <cfRule type="cellIs" dxfId="14" priority="16" operator="lessThan">
      <formula>0</formula>
    </cfRule>
  </conditionalFormatting>
  <conditionalFormatting sqref="L3">
    <cfRule type="cellIs" dxfId="13" priority="13" operator="greaterThan">
      <formula>0</formula>
    </cfRule>
    <cfRule type="cellIs" dxfId="12" priority="14" operator="lessThan">
      <formula>0</formula>
    </cfRule>
  </conditionalFormatting>
  <conditionalFormatting sqref="D7">
    <cfRule type="cellIs" dxfId="11" priority="9" operator="greaterThan">
      <formula>0</formula>
    </cfRule>
    <cfRule type="cellIs" dxfId="10" priority="10" operator="lessThan">
      <formula>0</formula>
    </cfRule>
  </conditionalFormatting>
  <conditionalFormatting sqref="L7">
    <cfRule type="cellIs" dxfId="9" priority="7" operator="greaterThan">
      <formula>0</formula>
    </cfRule>
    <cfRule type="cellIs" dxfId="8" priority="8" operator="lessThan">
      <formula>0</formula>
    </cfRule>
  </conditionalFormatting>
  <conditionalFormatting sqref="H7">
    <cfRule type="cellIs" dxfId="7" priority="5" operator="greaterThan">
      <formula>0</formula>
    </cfRule>
    <cfRule type="cellIs" dxfId="6" priority="6" operator="lessThan">
      <formula>0</formula>
    </cfRule>
  </conditionalFormatting>
  <conditionalFormatting sqref="D11">
    <cfRule type="cellIs" dxfId="5" priority="3" operator="greaterThan">
      <formula>0</formula>
    </cfRule>
    <cfRule type="cellIs" dxfId="4" priority="4" operator="lessThan">
      <formula>0</formula>
    </cfRule>
  </conditionalFormatting>
  <conditionalFormatting sqref="H11">
    <cfRule type="cellIs" dxfId="3" priority="1" operator="greaterThan">
      <formula>0</formula>
    </cfRule>
    <cfRule type="cellIs" dxfId="2" priority="2" operator="lessThan">
      <formula>0</formula>
    </cfRule>
  </conditionalFormatting>
  <conditionalFormatting sqref="P6 P8 P10">
    <cfRule type="cellIs" dxfId="1" priority="11" operator="greaterThan">
      <formula>0</formula>
    </cfRule>
    <cfRule type="cellIs" dxfId="0" priority="12" operator="lessThan">
      <formula>0</formula>
    </cfRule>
  </conditionalFormatting>
  <dataValidations count="1">
    <dataValidation type="list" allowBlank="1" showInputMessage="1" showErrorMessage="1" sqref="P5" xr:uid="{00527E12-F444-41B8-8B3B-FC56B9C97F3D}">
      <formula1>"Under 40, Over 40"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DD01-E5E2-45D3-884E-E6EFD9C5BCDB}">
  <sheetPr codeName="Sheet2">
    <tabColor theme="3" tint="0.249977111117893"/>
  </sheetPr>
  <dimension ref="A1:AL7"/>
  <sheetViews>
    <sheetView zoomScale="85" zoomScaleNormal="85" workbookViewId="0">
      <selection activeCell="J14" sqref="J14"/>
    </sheetView>
  </sheetViews>
  <sheetFormatPr defaultRowHeight="14.4" x14ac:dyDescent="0.3"/>
  <cols>
    <col min="1" max="1" width="11.21875" style="8" bestFit="1" customWidth="1"/>
    <col min="2" max="2" width="11.44140625" style="8" bestFit="1" customWidth="1"/>
    <col min="3" max="3" width="6.88671875" style="8" bestFit="1" customWidth="1"/>
    <col min="4" max="4" width="17.5546875" style="8" bestFit="1" customWidth="1"/>
    <col min="5" max="5" width="24.21875" style="8" bestFit="1" customWidth="1"/>
    <col min="6" max="6" width="18.109375" style="8" bestFit="1" customWidth="1"/>
    <col min="7" max="7" width="12.5546875" style="8" bestFit="1" customWidth="1"/>
    <col min="8" max="8" width="25.21875" style="8" bestFit="1" customWidth="1"/>
    <col min="9" max="9" width="15.44140625" style="8" customWidth="1"/>
    <col min="10" max="10" width="10.44140625" style="8" customWidth="1"/>
    <col min="11" max="11" width="21.88671875" style="8" customWidth="1"/>
    <col min="12" max="12" width="17.5546875" style="8" customWidth="1"/>
    <col min="13" max="13" width="7.44140625" style="33" hidden="1" customWidth="1"/>
    <col min="14" max="16" width="8.88671875" style="34" hidden="1" customWidth="1"/>
    <col min="17" max="38" width="8.88671875" style="33" hidden="1" customWidth="1"/>
    <col min="39" max="16384" width="8.88671875" style="8"/>
  </cols>
  <sheetData>
    <row r="1" spans="1:38" x14ac:dyDescent="0.3">
      <c r="A1" s="8" t="s">
        <v>87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77</v>
      </c>
      <c r="J1" s="8" t="s">
        <v>7</v>
      </c>
      <c r="K1" s="8" t="s">
        <v>8</v>
      </c>
      <c r="L1" s="8" t="s">
        <v>9</v>
      </c>
      <c r="M1" s="33" t="s">
        <v>123</v>
      </c>
      <c r="N1" s="34" t="s">
        <v>122</v>
      </c>
      <c r="O1" s="34" t="s">
        <v>39</v>
      </c>
      <c r="P1" s="34" t="s">
        <v>124</v>
      </c>
      <c r="Q1" s="33" t="s">
        <v>40</v>
      </c>
      <c r="R1" s="33" t="s">
        <v>42</v>
      </c>
      <c r="S1" s="33" t="s">
        <v>41</v>
      </c>
      <c r="T1" s="33" t="s">
        <v>125</v>
      </c>
      <c r="U1" s="33" t="s">
        <v>126</v>
      </c>
      <c r="V1" s="33" t="s">
        <v>133</v>
      </c>
      <c r="W1" s="33" t="s">
        <v>134</v>
      </c>
      <c r="X1" s="33" t="s">
        <v>128</v>
      </c>
      <c r="Y1" s="33" t="s">
        <v>132</v>
      </c>
      <c r="Z1" s="33" t="s">
        <v>76</v>
      </c>
      <c r="AA1" s="33" t="s">
        <v>130</v>
      </c>
      <c r="AB1" s="33" t="s">
        <v>131</v>
      </c>
      <c r="AC1" s="33" t="s">
        <v>135</v>
      </c>
      <c r="AD1" s="35" t="s">
        <v>43</v>
      </c>
      <c r="AE1" s="33" t="s">
        <v>101</v>
      </c>
      <c r="AF1" s="35" t="s">
        <v>78</v>
      </c>
      <c r="AG1" s="35" t="s">
        <v>79</v>
      </c>
      <c r="AH1" s="35" t="s">
        <v>80</v>
      </c>
      <c r="AI1" s="35" t="s">
        <v>81</v>
      </c>
      <c r="AJ1" s="35" t="s">
        <v>82</v>
      </c>
      <c r="AK1" s="35" t="s">
        <v>83</v>
      </c>
      <c r="AL1" s="35" t="s">
        <v>84</v>
      </c>
    </row>
    <row r="2" spans="1:38" x14ac:dyDescent="0.3">
      <c r="A2" s="8" t="s">
        <v>15</v>
      </c>
      <c r="B2" s="8" t="s">
        <v>13</v>
      </c>
      <c r="D2" s="8" t="s">
        <v>14</v>
      </c>
      <c r="E2" s="8" t="s">
        <v>13</v>
      </c>
      <c r="F2" s="8" t="s">
        <v>230</v>
      </c>
      <c r="G2" s="8" t="s">
        <v>225</v>
      </c>
      <c r="H2" s="8" t="s">
        <v>157</v>
      </c>
      <c r="M2" s="33">
        <f>COUNTIF(MasterTable[Aircraft ID],Aircraft!A:A)</f>
        <v>4</v>
      </c>
      <c r="N2" s="34">
        <f>SUMIF(MasterTable[Aircraft ID],Aircraft!A:A,MasterTable[Total
Time])</f>
        <v>4.9000000000000004</v>
      </c>
      <c r="O2" s="34">
        <f>SUMIF(MasterTable[Aircraft ID],Aircraft!A:A,MasterTable[PIC])</f>
        <v>4.9000000000000004</v>
      </c>
      <c r="P2" s="34">
        <f>SUMIF(MasterTable[Aircraft ID],Aircraft!A:A,MasterTable[PRI 
(Mil)])</f>
        <v>0</v>
      </c>
      <c r="Q2" s="33">
        <f>SUMIF(MasterTable[Aircraft ID],Aircraft!A:A,MasterTable[SIC])</f>
        <v>0</v>
      </c>
      <c r="R2" s="33">
        <f>SUMIF(MasterTable[Aircraft ID],Aircraft!A:A,MasterTable[Solo])</f>
        <v>0</v>
      </c>
      <c r="S2" s="33">
        <f>SUMIF(MasterTable[Aircraft ID],Aircraft!A:A,MasterTable[Night])</f>
        <v>2.2999999999999998</v>
      </c>
      <c r="T2" s="33">
        <f>SUMIF(MasterTable[Aircraft ID],Aircraft!A:A,MasterTable[Dual
Given])</f>
        <v>0.8</v>
      </c>
      <c r="U2" s="33">
        <f>SUMIF(MasterTable[Aircraft ID],Aircraft!A:A,MasterTable[INST
(Mil)])</f>
        <v>0</v>
      </c>
      <c r="V2" s="33">
        <f>SUMIF(MasterTable[Aircraft ID],Aircraft!A:A,MasterTable[Actual
Instrument])</f>
        <v>0</v>
      </c>
      <c r="W2" s="33">
        <f>SUMIF(MasterTable[Aircraft ID],Aircraft!A:A,MasterTable[Simulated
Instrument])</f>
        <v>0</v>
      </c>
      <c r="X2" s="33">
        <f>SUMIF(MasterTable[Aircraft ID],Aircraft!A:A,MasterTable[Cross
Country])</f>
        <v>0</v>
      </c>
      <c r="Y2" s="33">
        <f>SUMIF(MasterTable[Aircraft ID],Aircraft!A:A,MasterTable[Dual
Received])</f>
        <v>1.8</v>
      </c>
      <c r="Z2" s="33">
        <f>SUMIF(MasterTable[Aircraft ID],Aircraft!A:A,MasterTable[Formation])</f>
        <v>0</v>
      </c>
      <c r="AA2" s="33">
        <f>SUMIF(MasterTable[Aircraft ID],Aircraft!A:A,MasterTable[Landings
Day])</f>
        <v>4</v>
      </c>
      <c r="AB2" s="33">
        <f>SUMIF(MasterTable[Aircraft ID],Aircraft!A:A,MasterTable[Landings
Night])</f>
        <v>0</v>
      </c>
      <c r="AC2" s="33">
        <f>SUMIF(MasterTable[Aircraft ID],Aircraft!A:A,MasterTable[Landings
Total])</f>
        <v>4</v>
      </c>
      <c r="AD2" s="33">
        <f>SUMIF(MasterTable[Aircraft ID],Aircraft!A:A,MasterTable[Holds])</f>
        <v>0</v>
      </c>
      <c r="AE2" s="33">
        <f>SUMIF(MasterTable[Aircraft ID],Aircraft!$A:$A,Flights!AE:AE)</f>
        <v>0</v>
      </c>
      <c r="AF2" s="33">
        <f>SUMIF(MasterTable[Aircraft ID],Aircraft!$A:$A,MasterTable[ILS])</f>
        <v>0</v>
      </c>
      <c r="AG2" s="33">
        <f>SUMIF(MasterTable[Aircraft ID],Aircraft!$A:$A,MasterTable[LOC])</f>
        <v>0</v>
      </c>
      <c r="AH2" s="33">
        <f>SUMIF(MasterTable[Aircraft ID],Aircraft!$A:$A,MasterTable[VOR/
TCN])</f>
        <v>0</v>
      </c>
      <c r="AI2" s="33">
        <f>SUMIF(MasterTable[Aircraft ID],Aircraft!$A:$A,MasterTable[RNAV])</f>
        <v>0</v>
      </c>
      <c r="AJ2" s="33">
        <f>SUMIF(MasterTable[Aircraft ID],Aircraft!$A:$A,MasterTable[ASR])</f>
        <v>0</v>
      </c>
      <c r="AK2" s="33">
        <f>SUMIF(MasterTable[Aircraft ID],Aircraft!$A:$A,MasterTable[PAR])</f>
        <v>0</v>
      </c>
      <c r="AL2" s="33">
        <f>SUMIF(MasterTable[Aircraft ID],Aircraft!$A:$A,MasterTable[CIRCLE])</f>
        <v>0</v>
      </c>
    </row>
    <row r="3" spans="1:38" x14ac:dyDescent="0.3">
      <c r="A3" s="8" t="s">
        <v>20</v>
      </c>
      <c r="B3" s="8" t="s">
        <v>21</v>
      </c>
      <c r="D3" s="8" t="s">
        <v>22</v>
      </c>
      <c r="E3" s="8" t="s">
        <v>23</v>
      </c>
      <c r="F3" s="8" t="s">
        <v>227</v>
      </c>
      <c r="G3" s="8" t="s">
        <v>12</v>
      </c>
      <c r="H3" s="8" t="s">
        <v>213</v>
      </c>
      <c r="M3" s="33">
        <f>COUNTIF(MasterTable[Aircraft ID],Aircraft!A:A)</f>
        <v>7</v>
      </c>
      <c r="N3" s="34">
        <f>SUMIF(MasterTable[Aircraft ID],Aircraft!A:A,MasterTable[Total
Time])</f>
        <v>6.3000000000000007</v>
      </c>
      <c r="O3" s="34">
        <f>SUMIF(MasterTable[Aircraft ID],Aircraft!A:A,MasterTable[PIC])</f>
        <v>6.3000000000000007</v>
      </c>
      <c r="P3" s="34">
        <f>SUMIF(MasterTable[Aircraft ID],Aircraft!A:A,MasterTable[PRI 
(Mil)])</f>
        <v>0</v>
      </c>
      <c r="Q3" s="33">
        <f>SUMIF(MasterTable[Aircraft ID],Aircraft!A:A,MasterTable[SIC])</f>
        <v>0</v>
      </c>
      <c r="R3" s="33">
        <f>SUMIF(MasterTable[Aircraft ID],Aircraft!A:A,MasterTable[Solo])</f>
        <v>0</v>
      </c>
      <c r="S3" s="33">
        <f>SUMIF(MasterTable[Aircraft ID],Aircraft!A:A,MasterTable[Night])</f>
        <v>0</v>
      </c>
      <c r="T3" s="33">
        <f>SUMIF(MasterTable[Aircraft ID],Aircraft!A:A,MasterTable[Dual
Given])</f>
        <v>0</v>
      </c>
      <c r="U3" s="33">
        <f>SUMIF(MasterTable[Aircraft ID],Aircraft!A:A,MasterTable[INST
(Mil)])</f>
        <v>0</v>
      </c>
      <c r="V3" s="33">
        <f>SUMIF(MasterTable[Aircraft ID],Aircraft!A:A,MasterTable[Actual
Instrument])</f>
        <v>0</v>
      </c>
      <c r="W3" s="33">
        <f>SUMIF(MasterTable[Aircraft ID],Aircraft!A:A,MasterTable[Simulated
Instrument])</f>
        <v>0</v>
      </c>
      <c r="X3" s="33">
        <f>SUMIF(MasterTable[Aircraft ID],Aircraft!A:A,MasterTable[Cross
Country])</f>
        <v>3.4</v>
      </c>
      <c r="Y3" s="33">
        <f>SUMIF(MasterTable[Aircraft ID],Aircraft!A:A,MasterTable[Dual
Received])</f>
        <v>0</v>
      </c>
      <c r="Z3" s="33">
        <f>SUMIF(MasterTable[Aircraft ID],Aircraft!A:A,MasterTable[Formation])</f>
        <v>3.2</v>
      </c>
      <c r="AA3" s="33">
        <f>SUMIF(MasterTable[Aircraft ID],Aircraft!A:A,MasterTable[Landings
Day])</f>
        <v>8</v>
      </c>
      <c r="AB3" s="33">
        <f>SUMIF(MasterTable[Aircraft ID],Aircraft!A:A,MasterTable[Landings
Night])</f>
        <v>0</v>
      </c>
      <c r="AC3" s="33">
        <f>SUMIF(MasterTable[Aircraft ID],Aircraft!A:A,MasterTable[Landings
Total])</f>
        <v>8</v>
      </c>
      <c r="AD3" s="33">
        <f>SUMIF(MasterTable[Aircraft ID],Aircraft!A:A,MasterTable[Holds])</f>
        <v>0</v>
      </c>
      <c r="AE3" s="33">
        <f>SUMIF(MasterTable[Aircraft ID],Aircraft!$A:$A,Flights!AE:AE)</f>
        <v>0</v>
      </c>
      <c r="AF3" s="33">
        <f>SUMIF(MasterTable[Aircraft ID],Aircraft!$A:$A,MasterTable[ILS])</f>
        <v>0</v>
      </c>
      <c r="AG3" s="33">
        <f>SUMIF(MasterTable[Aircraft ID],Aircraft!$A:$A,MasterTable[LOC])</f>
        <v>0</v>
      </c>
      <c r="AH3" s="33">
        <f>SUMIF(MasterTable[Aircraft ID],Aircraft!$A:$A,MasterTable[VOR/
TCN])</f>
        <v>0</v>
      </c>
      <c r="AI3" s="33">
        <f>SUMIF(MasterTable[Aircraft ID],Aircraft!$A:$A,MasterTable[RNAV])</f>
        <v>0</v>
      </c>
      <c r="AJ3" s="33">
        <f>SUMIF(MasterTable[Aircraft ID],Aircraft!$A:$A,MasterTable[ASR])</f>
        <v>0</v>
      </c>
      <c r="AK3" s="33">
        <f>SUMIF(MasterTable[Aircraft ID],Aircraft!$A:$A,MasterTable[PAR])</f>
        <v>0</v>
      </c>
      <c r="AL3" s="33">
        <f>SUMIF(MasterTable[Aircraft ID],Aircraft!$A:$A,MasterTable[CIRCLE])</f>
        <v>0</v>
      </c>
    </row>
    <row r="4" spans="1:38" x14ac:dyDescent="0.3">
      <c r="A4" s="8" t="s">
        <v>24</v>
      </c>
      <c r="B4" s="8" t="s">
        <v>25</v>
      </c>
      <c r="D4" s="8" t="s">
        <v>26</v>
      </c>
      <c r="E4" s="8" t="s">
        <v>27</v>
      </c>
      <c r="F4" s="8" t="s">
        <v>232</v>
      </c>
      <c r="G4" s="8" t="s">
        <v>28</v>
      </c>
      <c r="H4" s="8" t="s">
        <v>216</v>
      </c>
      <c r="M4" s="33">
        <f>COUNTIF(MasterTable[Aircraft ID],Aircraft!A:A)</f>
        <v>3</v>
      </c>
      <c r="N4" s="34">
        <f>SUMIF(MasterTable[Aircraft ID],Aircraft!A:A,MasterTable[Total
Time])</f>
        <v>3.8</v>
      </c>
      <c r="O4" s="34">
        <f>SUMIF(MasterTable[Aircraft ID],Aircraft!A:A,MasterTable[PIC])</f>
        <v>0</v>
      </c>
      <c r="P4" s="34">
        <f>SUMIF(MasterTable[Aircraft ID],Aircraft!A:A,MasterTable[PRI 
(Mil)])</f>
        <v>0</v>
      </c>
      <c r="Q4" s="33">
        <f>SUMIF(MasterTable[Aircraft ID],Aircraft!A:A,MasterTable[SIC])</f>
        <v>3.8</v>
      </c>
      <c r="R4" s="33">
        <f>SUMIF(MasterTable[Aircraft ID],Aircraft!A:A,MasterTable[Solo])</f>
        <v>0</v>
      </c>
      <c r="S4" s="33">
        <f>SUMIF(MasterTable[Aircraft ID],Aircraft!A:A,MasterTable[Night])</f>
        <v>1.5</v>
      </c>
      <c r="T4" s="33">
        <f>SUMIF(MasterTable[Aircraft ID],Aircraft!A:A,MasterTable[Dual
Given])</f>
        <v>0</v>
      </c>
      <c r="U4" s="33">
        <f>SUMIF(MasterTable[Aircraft ID],Aircraft!A:A,MasterTable[INST
(Mil)])</f>
        <v>0</v>
      </c>
      <c r="V4" s="33">
        <f>SUMIF(MasterTable[Aircraft ID],Aircraft!A:A,MasterTable[Actual
Instrument])</f>
        <v>0</v>
      </c>
      <c r="W4" s="33">
        <f>SUMIF(MasterTable[Aircraft ID],Aircraft!A:A,MasterTable[Simulated
Instrument])</f>
        <v>0</v>
      </c>
      <c r="X4" s="33">
        <f>SUMIF(MasterTable[Aircraft ID],Aircraft!A:A,MasterTable[Cross
Country])</f>
        <v>0</v>
      </c>
      <c r="Y4" s="33">
        <f>SUMIF(MasterTable[Aircraft ID],Aircraft!A:A,MasterTable[Dual
Received])</f>
        <v>0</v>
      </c>
      <c r="Z4" s="33">
        <f>SUMIF(MasterTable[Aircraft ID],Aircraft!A:A,MasterTable[Formation])</f>
        <v>0</v>
      </c>
      <c r="AA4" s="33">
        <f>SUMIF(MasterTable[Aircraft ID],Aircraft!A:A,MasterTable[Landings
Day])</f>
        <v>5</v>
      </c>
      <c r="AB4" s="33">
        <f>SUMIF(MasterTable[Aircraft ID],Aircraft!A:A,MasterTable[Landings
Night])</f>
        <v>1</v>
      </c>
      <c r="AC4" s="33">
        <f>SUMIF(MasterTable[Aircraft ID],Aircraft!A:A,MasterTable[Landings
Total])</f>
        <v>6</v>
      </c>
      <c r="AD4" s="33">
        <f>SUMIF(MasterTable[Aircraft ID],Aircraft!A:A,MasterTable[Holds])</f>
        <v>0</v>
      </c>
      <c r="AE4" s="33">
        <f>SUMIF(MasterTable[Aircraft ID],Aircraft!$A:$A,Flights!AE:AE)</f>
        <v>0</v>
      </c>
      <c r="AF4" s="33">
        <f>SUMIF(MasterTable[Aircraft ID],Aircraft!$A:$A,MasterTable[ILS])</f>
        <v>0</v>
      </c>
      <c r="AG4" s="33">
        <f>SUMIF(MasterTable[Aircraft ID],Aircraft!$A:$A,MasterTable[LOC])</f>
        <v>0</v>
      </c>
      <c r="AH4" s="33">
        <f>SUMIF(MasterTable[Aircraft ID],Aircraft!$A:$A,MasterTable[VOR/
TCN])</f>
        <v>0</v>
      </c>
      <c r="AI4" s="33">
        <f>SUMIF(MasterTable[Aircraft ID],Aircraft!$A:$A,MasterTable[RNAV])</f>
        <v>0</v>
      </c>
      <c r="AJ4" s="33">
        <f>SUMIF(MasterTable[Aircraft ID],Aircraft!$A:$A,MasterTable[ASR])</f>
        <v>0</v>
      </c>
      <c r="AK4" s="33">
        <f>SUMIF(MasterTable[Aircraft ID],Aircraft!$A:$A,MasterTable[PAR])</f>
        <v>0</v>
      </c>
      <c r="AL4" s="33">
        <f>SUMIF(MasterTable[Aircraft ID],Aircraft!$A:$A,MasterTable[CIRCLE])</f>
        <v>0</v>
      </c>
    </row>
    <row r="5" spans="1:38" x14ac:dyDescent="0.3">
      <c r="A5" s="8" t="s">
        <v>29</v>
      </c>
      <c r="B5" s="8" t="s">
        <v>10</v>
      </c>
      <c r="C5" s="8">
        <v>1966</v>
      </c>
      <c r="D5" s="8" t="s">
        <v>11</v>
      </c>
      <c r="E5" s="8" t="s">
        <v>30</v>
      </c>
      <c r="F5" s="8" t="s">
        <v>226</v>
      </c>
      <c r="G5" s="8" t="s">
        <v>12</v>
      </c>
      <c r="H5" s="8" t="s">
        <v>213</v>
      </c>
      <c r="M5" s="33">
        <f>COUNTIF(MasterTable[Aircraft ID],Aircraft!A:A)</f>
        <v>45</v>
      </c>
      <c r="N5" s="34">
        <f>SUMIF(MasterTable[Aircraft ID],Aircraft!A:A,MasterTable[Total
Time])</f>
        <v>56.499999999999979</v>
      </c>
      <c r="O5" s="34">
        <f>SUMIF(MasterTable[Aircraft ID],Aircraft!A:A,MasterTable[PIC])</f>
        <v>50.299999999999983</v>
      </c>
      <c r="P5" s="34">
        <f>SUMIF(MasterTable[Aircraft ID],Aircraft!A:A,MasterTable[PRI 
(Mil)])</f>
        <v>0</v>
      </c>
      <c r="Q5" s="33">
        <f>SUMIF(MasterTable[Aircraft ID],Aircraft!A:A,MasterTable[SIC])</f>
        <v>6.2</v>
      </c>
      <c r="R5" s="33">
        <f>SUMIF(MasterTable[Aircraft ID],Aircraft!A:A,MasterTable[Solo])</f>
        <v>0</v>
      </c>
      <c r="S5" s="33">
        <f>SUMIF(MasterTable[Aircraft ID],Aircraft!A:A,MasterTable[Night])</f>
        <v>0</v>
      </c>
      <c r="T5" s="33">
        <f>SUMIF(MasterTable[Aircraft ID],Aircraft!A:A,MasterTable[Dual
Given])</f>
        <v>5.4</v>
      </c>
      <c r="U5" s="33">
        <f>SUMIF(MasterTable[Aircraft ID],Aircraft!A:A,MasterTable[INST
(Mil)])</f>
        <v>0</v>
      </c>
      <c r="V5" s="33">
        <f>SUMIF(MasterTable[Aircraft ID],Aircraft!A:A,MasterTable[Actual
Instrument])</f>
        <v>0</v>
      </c>
      <c r="W5" s="33">
        <f>SUMIF(MasterTable[Aircraft ID],Aircraft!A:A,MasterTable[Simulated
Instrument])</f>
        <v>0</v>
      </c>
      <c r="X5" s="33">
        <f>SUMIF(MasterTable[Aircraft ID],Aircraft!A:A,MasterTable[Cross
Country])</f>
        <v>30.599999999999998</v>
      </c>
      <c r="Y5" s="33">
        <f>SUMIF(MasterTable[Aircraft ID],Aircraft!A:A,MasterTable[Dual
Received])</f>
        <v>0</v>
      </c>
      <c r="Z5" s="33">
        <f>SUMIF(MasterTable[Aircraft ID],Aircraft!A:A,MasterTable[Formation])</f>
        <v>14.500000000000002</v>
      </c>
      <c r="AA5" s="33">
        <f>SUMIF(MasterTable[Aircraft ID],Aircraft!A:A,MasterTable[Landings
Day])</f>
        <v>68</v>
      </c>
      <c r="AB5" s="33">
        <f>SUMIF(MasterTable[Aircraft ID],Aircraft!A:A,MasterTable[Landings
Night])</f>
        <v>0</v>
      </c>
      <c r="AC5" s="33">
        <f>SUMIF(MasterTable[Aircraft ID],Aircraft!A:A,MasterTable[Landings
Total])</f>
        <v>68</v>
      </c>
      <c r="AD5" s="33">
        <f>SUMIF(MasterTable[Aircraft ID],Aircraft!A:A,MasterTable[Holds])</f>
        <v>0</v>
      </c>
      <c r="AE5" s="33">
        <f>SUMIF(MasterTable[Aircraft ID],Aircraft!$A:$A,Flights!AE:AE)</f>
        <v>0</v>
      </c>
      <c r="AF5" s="33">
        <f>SUMIF(MasterTable[Aircraft ID],Aircraft!$A:$A,MasterTable[ILS])</f>
        <v>0</v>
      </c>
      <c r="AG5" s="33">
        <f>SUMIF(MasterTable[Aircraft ID],Aircraft!$A:$A,MasterTable[LOC])</f>
        <v>0</v>
      </c>
      <c r="AH5" s="33">
        <f>SUMIF(MasterTable[Aircraft ID],Aircraft!$A:$A,MasterTable[VOR/
TCN])</f>
        <v>0</v>
      </c>
      <c r="AI5" s="33">
        <f>SUMIF(MasterTable[Aircraft ID],Aircraft!$A:$A,MasterTable[RNAV])</f>
        <v>0</v>
      </c>
      <c r="AJ5" s="33">
        <f>SUMIF(MasterTable[Aircraft ID],Aircraft!$A:$A,MasterTable[ASR])</f>
        <v>0</v>
      </c>
      <c r="AK5" s="33">
        <f>SUMIF(MasterTable[Aircraft ID],Aircraft!$A:$A,MasterTable[PAR])</f>
        <v>0</v>
      </c>
      <c r="AL5" s="33">
        <f>SUMIF(MasterTable[Aircraft ID],Aircraft!$A:$A,MasterTable[CIRCLE])</f>
        <v>0</v>
      </c>
    </row>
    <row r="6" spans="1:38" x14ac:dyDescent="0.3">
      <c r="A6" s="8" t="s">
        <v>121</v>
      </c>
      <c r="B6" s="8" t="s">
        <v>31</v>
      </c>
      <c r="D6" s="8" t="s">
        <v>17</v>
      </c>
      <c r="E6" s="8" t="s">
        <v>32</v>
      </c>
      <c r="F6" s="8" t="s">
        <v>229</v>
      </c>
      <c r="G6" s="8" t="s">
        <v>18</v>
      </c>
      <c r="H6" s="8" t="s">
        <v>213</v>
      </c>
      <c r="I6" s="8" t="b">
        <v>1</v>
      </c>
      <c r="K6" s="8" t="b">
        <v>1</v>
      </c>
      <c r="L6" s="8" t="b">
        <v>1</v>
      </c>
      <c r="M6" s="33">
        <f>COUNTIF(MasterTable[Aircraft ID],Aircraft!A:A)</f>
        <v>35</v>
      </c>
      <c r="N6" s="34">
        <f>SUMIF(MasterTable[Aircraft ID],Aircraft!A:A,MasterTable[Total
Time])</f>
        <v>51.400000000000013</v>
      </c>
      <c r="O6" s="34">
        <f>SUMIF(MasterTable[Aircraft ID],Aircraft!A:A,MasterTable[PIC])</f>
        <v>51.400000000000013</v>
      </c>
      <c r="P6" s="34">
        <f>SUMIF(MasterTable[Aircraft ID],Aircraft!A:A,MasterTable[PRI 
(Mil)])</f>
        <v>51.400000000000013</v>
      </c>
      <c r="Q6" s="33">
        <f>SUMIF(MasterTable[Aircraft ID],Aircraft!A:A,MasterTable[SIC])</f>
        <v>0</v>
      </c>
      <c r="R6" s="33">
        <f>SUMIF(MasterTable[Aircraft ID],Aircraft!A:A,MasterTable[Solo])</f>
        <v>0</v>
      </c>
      <c r="S6" s="33">
        <f>SUMIF(MasterTable[Aircraft ID],Aircraft!A:A,MasterTable[Night])</f>
        <v>1.1000000000000001</v>
      </c>
      <c r="T6" s="33">
        <f>SUMIF(MasterTable[Aircraft ID],Aircraft!A:A,MasterTable[Dual
Given])</f>
        <v>0</v>
      </c>
      <c r="U6" s="33">
        <f>SUMIF(MasterTable[Aircraft ID],Aircraft!A:A,MasterTable[INST
(Mil)])</f>
        <v>0</v>
      </c>
      <c r="V6" s="33">
        <f>SUMIF(MasterTable[Aircraft ID],Aircraft!A:A,MasterTable[Actual
Instrument])</f>
        <v>1.6</v>
      </c>
      <c r="W6" s="33">
        <f>SUMIF(MasterTable[Aircraft ID],Aircraft!A:A,MasterTable[Simulated
Instrument])</f>
        <v>12.9</v>
      </c>
      <c r="X6" s="33">
        <f>SUMIF(MasterTable[Aircraft ID],Aircraft!A:A,MasterTable[Cross
Country])</f>
        <v>11.6</v>
      </c>
      <c r="Y6" s="33">
        <f>SUMIF(MasterTable[Aircraft ID],Aircraft!A:A,MasterTable[Dual
Received])</f>
        <v>48.500000000000007</v>
      </c>
      <c r="Z6" s="33">
        <f>SUMIF(MasterTable[Aircraft ID],Aircraft!A:A,MasterTable[Formation])</f>
        <v>3.1999999999999997</v>
      </c>
      <c r="AA6" s="33">
        <f>SUMIF(MasterTable[Aircraft ID],Aircraft!A:A,MasterTable[Landings
Day])</f>
        <v>150</v>
      </c>
      <c r="AB6" s="33">
        <f>SUMIF(MasterTable[Aircraft ID],Aircraft!A:A,MasterTable[Landings
Night])</f>
        <v>6</v>
      </c>
      <c r="AC6" s="33">
        <f>SUMIF(MasterTable[Aircraft ID],Aircraft!A:A,MasterTable[Landings
Total])</f>
        <v>156</v>
      </c>
      <c r="AD6" s="33">
        <f>SUMIF(MasterTable[Aircraft ID],Aircraft!A:A,MasterTable[Holds])</f>
        <v>7</v>
      </c>
      <c r="AE6" s="33">
        <f>SUMIF(MasterTable[Aircraft ID],Aircraft!$A:$A,Flights!AE:AE)</f>
        <v>20</v>
      </c>
      <c r="AF6" s="33">
        <f>SUMIF(MasterTable[Aircraft ID],Aircraft!$A:$A,MasterTable[ILS])</f>
        <v>7</v>
      </c>
      <c r="AG6" s="33">
        <f>SUMIF(MasterTable[Aircraft ID],Aircraft!$A:$A,MasterTable[LOC])</f>
        <v>3</v>
      </c>
      <c r="AH6" s="33">
        <f>SUMIF(MasterTable[Aircraft ID],Aircraft!$A:$A,MasterTable[VOR/
TCN])</f>
        <v>5</v>
      </c>
      <c r="AI6" s="33">
        <f>SUMIF(MasterTable[Aircraft ID],Aircraft!$A:$A,MasterTable[RNAV])</f>
        <v>4</v>
      </c>
      <c r="AJ6" s="33">
        <f>SUMIF(MasterTable[Aircraft ID],Aircraft!$A:$A,MasterTable[ASR])</f>
        <v>0</v>
      </c>
      <c r="AK6" s="33">
        <f>SUMIF(MasterTable[Aircraft ID],Aircraft!$A:$A,MasterTable[PAR])</f>
        <v>1</v>
      </c>
      <c r="AL6" s="33">
        <f>SUMIF(MasterTable[Aircraft ID],Aircraft!$A:$A,MasterTable[CIRCLE])</f>
        <v>1</v>
      </c>
    </row>
    <row r="7" spans="1:38" x14ac:dyDescent="0.3">
      <c r="A7" s="8" t="s">
        <v>71</v>
      </c>
      <c r="B7" s="8" t="s">
        <v>71</v>
      </c>
      <c r="D7" s="8" t="s">
        <v>33</v>
      </c>
      <c r="E7" s="8" t="s">
        <v>72</v>
      </c>
      <c r="F7" s="8" t="s">
        <v>229</v>
      </c>
      <c r="G7" s="8" t="s">
        <v>34</v>
      </c>
      <c r="H7" s="8" t="s">
        <v>214</v>
      </c>
      <c r="L7" s="8" t="b">
        <v>1</v>
      </c>
      <c r="M7" s="33">
        <f>COUNTIF(MasterTable[Aircraft ID],Aircraft!A:A)</f>
        <v>51</v>
      </c>
      <c r="N7" s="34">
        <f>SUMIF(MasterTable[Aircraft ID],Aircraft!A:A,MasterTable[Total
Time])</f>
        <v>54.899999999999984</v>
      </c>
      <c r="O7" s="34">
        <f>SUMIF(MasterTable[Aircraft ID],Aircraft!A:A,MasterTable[PIC])</f>
        <v>4.8</v>
      </c>
      <c r="P7" s="34">
        <f>SUMIF(MasterTable[Aircraft ID],Aircraft!A:A,MasterTable[PRI 
(Mil)])</f>
        <v>54.899999999999984</v>
      </c>
      <c r="Q7" s="33">
        <f>SUMIF(MasterTable[Aircraft ID],Aircraft!A:A,MasterTable[SIC])</f>
        <v>0</v>
      </c>
      <c r="R7" s="33">
        <f>SUMIF(MasterTable[Aircraft ID],Aircraft!A:A,MasterTable[Solo])</f>
        <v>0</v>
      </c>
      <c r="S7" s="33">
        <f>SUMIF(MasterTable[Aircraft ID],Aircraft!A:A,MasterTable[Night])</f>
        <v>2.2999999999999998</v>
      </c>
      <c r="T7" s="33">
        <f>SUMIF(MasterTable[Aircraft ID],Aircraft!A:A,MasterTable[Dual
Given])</f>
        <v>0</v>
      </c>
      <c r="U7" s="33">
        <f>SUMIF(MasterTable[Aircraft ID],Aircraft!A:A,MasterTable[INST
(Mil)])</f>
        <v>0</v>
      </c>
      <c r="V7" s="33">
        <f>SUMIF(MasterTable[Aircraft ID],Aircraft!A:A,MasterTable[Actual
Instrument])</f>
        <v>1.1000000000000001</v>
      </c>
      <c r="W7" s="33">
        <f>SUMIF(MasterTable[Aircraft ID],Aircraft!A:A,MasterTable[Simulated
Instrument])</f>
        <v>12.700000000000001</v>
      </c>
      <c r="X7" s="33">
        <f>SUMIF(MasterTable[Aircraft ID],Aircraft!A:A,MasterTable[Cross
Country])</f>
        <v>13.900000000000002</v>
      </c>
      <c r="Y7" s="33">
        <f>SUMIF(MasterTable[Aircraft ID],Aircraft!A:A,MasterTable[Dual
Received])</f>
        <v>50.099999999999994</v>
      </c>
      <c r="Z7" s="33">
        <f>SUMIF(MasterTable[Aircraft ID],Aircraft!A:A,MasterTable[Formation])</f>
        <v>18.899999999999995</v>
      </c>
      <c r="AA7" s="33">
        <f>SUMIF(MasterTable[Aircraft ID],Aircraft!A:A,MasterTable[Landings
Day])</f>
        <v>110</v>
      </c>
      <c r="AB7" s="33">
        <f>SUMIF(MasterTable[Aircraft ID],Aircraft!A:A,MasterTable[Landings
Night])</f>
        <v>9</v>
      </c>
      <c r="AC7" s="33">
        <f>SUMIF(MasterTable[Aircraft ID],Aircraft!A:A,MasterTable[Landings
Total])</f>
        <v>119</v>
      </c>
      <c r="AD7" s="33">
        <f>SUMIF(MasterTable[Aircraft ID],Aircraft!A:A,MasterTable[Holds])</f>
        <v>9</v>
      </c>
      <c r="AE7" s="33">
        <f>SUMIF(MasterTable[Aircraft ID],Aircraft!$A:$A,Flights!AE:AE)</f>
        <v>42</v>
      </c>
      <c r="AF7" s="33">
        <f>SUMIF(MasterTable[Aircraft ID],Aircraft!$A:$A,MasterTable[ILS])</f>
        <v>21</v>
      </c>
      <c r="AG7" s="33">
        <f>SUMIF(MasterTable[Aircraft ID],Aircraft!$A:$A,MasterTable[LOC])</f>
        <v>6</v>
      </c>
      <c r="AH7" s="33">
        <f>SUMIF(MasterTable[Aircraft ID],Aircraft!$A:$A,MasterTable[VOR/
TCN])</f>
        <v>6</v>
      </c>
      <c r="AI7" s="33">
        <f>SUMIF(MasterTable[Aircraft ID],Aircraft!$A:$A,MasterTable[RNAV])</f>
        <v>6</v>
      </c>
      <c r="AJ7" s="33">
        <f>SUMIF(MasterTable[Aircraft ID],Aircraft!$A:$A,MasterTable[ASR])</f>
        <v>2</v>
      </c>
      <c r="AK7" s="33">
        <f>SUMIF(MasterTable[Aircraft ID],Aircraft!$A:$A,MasterTable[PAR])</f>
        <v>1</v>
      </c>
      <c r="AL7" s="33">
        <f>SUMIF(MasterTable[Aircraft ID],Aircraft!$A:$A,MasterTable[CIRCLE])</f>
        <v>0</v>
      </c>
    </row>
  </sheetData>
  <phoneticPr fontId="18" type="noConversion"/>
  <dataValidations count="2">
    <dataValidation type="list" allowBlank="1" showInputMessage="1" showErrorMessage="1" sqref="H1:H1048576" xr:uid="{7ECBAE94-D199-4814-87A8-391DDAB6EE12}">
      <formula1>INDIRECT("Setup[AircraftClass]")</formula1>
    </dataValidation>
    <dataValidation type="list" allowBlank="1" showInputMessage="1" showErrorMessage="1" sqref="G1:G1048576" xr:uid="{80B23A7C-367C-40D3-B889-4E26D00857D1}">
      <formula1>INDIRECT("Setup[Engine Type]")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8C6C8E7-BB95-4B32-B9F8-0E5E38A848D4}">
          <x14:formula1>
            <xm:f>Setup!$B$3:$B$10</xm:f>
          </x14:formula1>
          <xm:sqref>F1:F1048576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AF7AE-143D-492C-878D-EC531597EDF6}">
  <sheetPr codeName="Sheet6">
    <tabColor theme="0" tint="-4.9989318521683403E-2"/>
  </sheetPr>
  <dimension ref="A1:AG64"/>
  <sheetViews>
    <sheetView workbookViewId="0">
      <selection activeCell="F26" sqref="F26"/>
    </sheetView>
  </sheetViews>
  <sheetFormatPr defaultRowHeight="13.8" x14ac:dyDescent="0.3"/>
  <cols>
    <col min="1" max="10" width="8.88671875" style="55"/>
    <col min="11" max="11" width="8.88671875" style="55" customWidth="1"/>
    <col min="12" max="12" width="8.88671875" style="55"/>
    <col min="13" max="13" width="12.109375" style="55" customWidth="1"/>
    <col min="14" max="16384" width="8.88671875" style="55"/>
  </cols>
  <sheetData>
    <row r="1" spans="1:33" ht="14.4" customHeight="1" thickBot="1" x14ac:dyDescent="0.35">
      <c r="A1" s="68"/>
      <c r="B1" s="124" t="s">
        <v>172</v>
      </c>
      <c r="C1" s="124" t="s">
        <v>173</v>
      </c>
      <c r="D1" s="124" t="s">
        <v>42</v>
      </c>
      <c r="E1" s="124" t="s">
        <v>174</v>
      </c>
      <c r="F1" s="124" t="s">
        <v>175</v>
      </c>
      <c r="G1" s="124" t="s">
        <v>176</v>
      </c>
      <c r="H1" s="124" t="s">
        <v>177</v>
      </c>
      <c r="I1" s="124" t="s">
        <v>162</v>
      </c>
      <c r="J1" s="124" t="s">
        <v>178</v>
      </c>
      <c r="K1" s="124" t="s">
        <v>188</v>
      </c>
      <c r="L1" s="124" t="s">
        <v>179</v>
      </c>
      <c r="M1" s="136" t="s">
        <v>189</v>
      </c>
      <c r="N1" s="133" t="s">
        <v>190</v>
      </c>
      <c r="O1" s="134"/>
      <c r="P1" s="134"/>
      <c r="Q1" s="134"/>
      <c r="R1" s="135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</row>
    <row r="2" spans="1:33" ht="34.200000000000003" customHeight="1" x14ac:dyDescent="0.3">
      <c r="A2" s="68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37"/>
      <c r="N2" s="58"/>
      <c r="O2" s="59" t="s">
        <v>123</v>
      </c>
      <c r="P2" s="59" t="s">
        <v>191</v>
      </c>
      <c r="Q2" s="60" t="s">
        <v>192</v>
      </c>
      <c r="R2" s="61" t="s">
        <v>193</v>
      </c>
      <c r="S2" s="69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</row>
    <row r="3" spans="1:33" x14ac:dyDescent="0.3">
      <c r="A3" s="118" t="s">
        <v>180</v>
      </c>
      <c r="B3" s="119">
        <f>SUMIF(AircraftTable[aircraftClass (FAA)],"Airplane*",AircraftTable[Total Time])</f>
        <v>172.89999999999998</v>
      </c>
      <c r="C3" s="120">
        <f>SUMIF(AircraftTable[aircraftClass (FAA)],"Airplane*",AircraftTable[Dual Received])</f>
        <v>98.6</v>
      </c>
      <c r="D3" s="120">
        <f>SUMIF(AircraftTable[aircraftClass (FAA)],"Airplane*",AircraftTable[Solo])</f>
        <v>0</v>
      </c>
      <c r="E3" s="89">
        <f>SUMIF(AircraftTable[aircraftClass (FAA)],"Airplane*",AircraftTable[PIC])</f>
        <v>112.8</v>
      </c>
      <c r="F3" s="120">
        <f>SUMIFS(MasterTable[Dual
Received], MasterTable[ClassCheck], "Airplane*", MasterTable[Cross
Country], "&gt;0")</f>
        <v>25.5</v>
      </c>
      <c r="G3" s="120">
        <f>SUMIFS(MasterTable[Solo], MasterTable[ClassCheck], "Airplane*", MasterTable[Cross
Country], "&gt;0")</f>
        <v>0</v>
      </c>
      <c r="H3" s="56">
        <f>SUMIFS(MasterTable[PIC], MasterTable[ClassCheck], "Airplane*", MasterTable[Cross
Country], "&gt;0")</f>
        <v>45.599999999999994</v>
      </c>
      <c r="I3" s="120">
        <f>SUMIF(AircraftTable[aircraftClass (FAA)],"Airplane*",AircraftTable[Sim Inst]) + SUMIF(AircraftTable[aircraftClass (FAA)],"Airplane*",AircraftTable[Actual Inst])</f>
        <v>28.3</v>
      </c>
      <c r="J3" s="120">
        <f>SUMIFS(MasterTable[Dual
Received], MasterTable[ClassCheck], "Airplane*", MasterTable[Night], "&gt;0")</f>
        <v>3.4</v>
      </c>
      <c r="K3" s="120">
        <f>SUMIFS(MasterTable[Landings
Night], MasterTable[ClassCheck], "Airplane*")</f>
        <v>16</v>
      </c>
      <c r="L3" s="89">
        <f>SUMIFS(MasterTable[Night], MasterTable[ClassCheck], "Airplane*", MasterTable[PIC], "&gt;0")</f>
        <v>1.1000000000000001</v>
      </c>
      <c r="M3" s="71">
        <f>SUMIFS(MasterTable[Landings
Night], MasterTable[ClassCheck], "Airplane*", MasterTable[PIC], "&gt;0")</f>
        <v>6</v>
      </c>
      <c r="N3" s="62" t="s">
        <v>183</v>
      </c>
      <c r="O3" s="82">
        <f>SUMIF(AircraftTable[aircraftClass (FAA)],"Glider*",AircraftTable[Flights])</f>
        <v>4</v>
      </c>
      <c r="P3" s="63" t="s">
        <v>221</v>
      </c>
      <c r="Q3" s="63" t="s">
        <v>221</v>
      </c>
      <c r="R3" s="64" t="s">
        <v>221</v>
      </c>
      <c r="S3" s="69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</row>
    <row r="4" spans="1:33" ht="14.4" thickBot="1" x14ac:dyDescent="0.35">
      <c r="A4" s="118"/>
      <c r="B4" s="119"/>
      <c r="C4" s="120"/>
      <c r="D4" s="120"/>
      <c r="E4" s="56">
        <f>SUMIF(AircraftTable[aircraftClass (FAA)],"Airplane*",AircraftTable[SIC])</f>
        <v>10</v>
      </c>
      <c r="F4" s="120"/>
      <c r="G4" s="120"/>
      <c r="H4" s="56">
        <f>SUMIFS(MasterTable[SIC], MasterTable[ClassCheck], "Airplane*", MasterTable[Cross
Country], "&gt;0")</f>
        <v>0</v>
      </c>
      <c r="I4" s="120"/>
      <c r="J4" s="120"/>
      <c r="K4" s="120"/>
      <c r="L4" s="56">
        <f>SUMIFS(MasterTable[Night], MasterTable[ClassCheck], "Airplane*", MasterTable[SIC], "&gt;0")</f>
        <v>1.5</v>
      </c>
      <c r="M4" s="71">
        <f>SUMIFS(MasterTable[Landings
Night], MasterTable[ClassCheck], "Airplane*", MasterTable[SIC], "&gt;0")</f>
        <v>1</v>
      </c>
      <c r="N4" s="57" t="s">
        <v>184</v>
      </c>
      <c r="O4" s="83">
        <f>SUMIF(AircraftTable[aircraftClass (FAA)],"Ligher*",AircraftTable[Flights])</f>
        <v>0</v>
      </c>
      <c r="P4" s="65" t="s">
        <v>221</v>
      </c>
      <c r="Q4" s="65" t="s">
        <v>221</v>
      </c>
      <c r="R4" s="66" t="s">
        <v>221</v>
      </c>
      <c r="S4" s="69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</row>
    <row r="5" spans="1:33" ht="14.4" thickBot="1" x14ac:dyDescent="0.35">
      <c r="A5" s="118" t="s">
        <v>181</v>
      </c>
      <c r="B5" s="120">
        <f>SUMIF(AircraftTable[aircraftClass (FAA)],"Rotorcraft*",AircraftTable[Total Time])</f>
        <v>0</v>
      </c>
      <c r="C5" s="120">
        <f>SUMIF(AircraftTable[aircraftClass (FAA)],"Rotorcraft*",AircraftTable[Dual Received])</f>
        <v>0</v>
      </c>
      <c r="D5" s="120">
        <f>SUMIF(AircraftTable[aircraftClass (FAA)],"Rotorcraft*",AircraftTable[Solo])</f>
        <v>0</v>
      </c>
      <c r="E5" s="56">
        <f>SUMIF(AircraftTable[aircraftClass (FAA)],"Rotorcraft*",AircraftTable[PIC])</f>
        <v>0</v>
      </c>
      <c r="F5" s="120">
        <f>SUMIFS(MasterTable[Dual
Received], MasterTable[ClassCheck], "Rotorcraft*", MasterTable[Cross
Country], "&gt;0")</f>
        <v>0</v>
      </c>
      <c r="G5" s="120">
        <f>SUMIFS(MasterTable[Solo], MasterTable[ClassCheck], "Rotorcraft*", MasterTable[Cross
Country], "&gt;0")</f>
        <v>0</v>
      </c>
      <c r="H5" s="56">
        <f>SUMIFS(MasterTable[PIC], MasterTable[ClassCheck], "Rotorcraft*", MasterTable[Cross
Country], "&gt;0")</f>
        <v>0</v>
      </c>
      <c r="I5" s="120">
        <f>SUMIF(AircraftTable[aircraftClass (FAA)],"Rotorcraft*",AircraftTable[Sim Inst]) + SUMIF(AircraftTable[aircraftClass (FAA)],"Rotorcraft*",AircraftTable[Actual Inst])</f>
        <v>0</v>
      </c>
      <c r="J5" s="115">
        <f>SUMIFS(MasterTable[Dual
Received], MasterTable[ClassCheck], "Rotorcraft*", MasterTable[Night], "&gt;0")</f>
        <v>0</v>
      </c>
      <c r="K5" s="115">
        <f>SUMIFS(MasterTable[Landings
Night], MasterTable[ClassCheck], "Rotorcraft*")</f>
        <v>0</v>
      </c>
      <c r="L5" s="56">
        <f>SUMIFS(MasterTable[Night], MasterTable[ClassCheck], "Rotorcraft*", MasterTable[PIC], "&gt;0")</f>
        <v>0</v>
      </c>
      <c r="M5" s="71">
        <f>SUMIFS(MasterTable[Landings
Night], MasterTable[ClassCheck], "Rotorcraft*", MasterTable[PIC], "&gt;0")</f>
        <v>0</v>
      </c>
      <c r="N5" s="126" t="s">
        <v>194</v>
      </c>
      <c r="O5" s="127"/>
      <c r="P5" s="127"/>
      <c r="Q5" s="127"/>
      <c r="R5" s="12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</row>
    <row r="6" spans="1:33" x14ac:dyDescent="0.3">
      <c r="A6" s="118"/>
      <c r="B6" s="120"/>
      <c r="C6" s="120"/>
      <c r="D6" s="120"/>
      <c r="E6" s="56">
        <f>SUMIF(AircraftTable[aircraftClass (FAA)],"Rotorcraft*",AircraftTable[SIC])</f>
        <v>0</v>
      </c>
      <c r="F6" s="120"/>
      <c r="G6" s="120"/>
      <c r="H6" s="56">
        <f>SUMIFS(MasterTable[SIC], MasterTable[ClassCheck], "Rotorcraft*", MasterTable[Cross
Country], "&gt;0")</f>
        <v>0</v>
      </c>
      <c r="I6" s="120"/>
      <c r="J6" s="116"/>
      <c r="K6" s="116"/>
      <c r="L6" s="56">
        <f>SUMIFS(MasterTable[Night], MasterTable[ClassCheck], "Rotorcraft*", MasterTable[SIC], "&gt;0")</f>
        <v>0</v>
      </c>
      <c r="M6" s="71">
        <f>SUMIFS(MasterTable[Landings
Night], MasterTable[ClassCheck], "Rotorcraft*", MasterTable[SIC], "&gt;0")</f>
        <v>0</v>
      </c>
      <c r="N6" s="129" t="s">
        <v>195</v>
      </c>
      <c r="O6" s="59" t="s">
        <v>197</v>
      </c>
      <c r="P6" s="59" t="s">
        <v>198</v>
      </c>
      <c r="Q6" s="59" t="s">
        <v>199</v>
      </c>
      <c r="R6" s="67" t="s">
        <v>200</v>
      </c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</row>
    <row r="7" spans="1:33" x14ac:dyDescent="0.3">
      <c r="A7" s="118" t="s">
        <v>182</v>
      </c>
      <c r="B7" s="120">
        <f>SUMIF(AircraftTable[aircraftClass (FAA)],"Powered Lift*",AircraftTable[Total Time])</f>
        <v>0</v>
      </c>
      <c r="C7" s="120">
        <f>SUMIF(AircraftTable[aircraftClass (FAA)],"Powered*",AircraftTable[Dual Received])</f>
        <v>0</v>
      </c>
      <c r="D7" s="120">
        <f>SUMIF(AircraftTable[aircraftClass (FAA)],"Powered*",AircraftTable[Solo])</f>
        <v>0</v>
      </c>
      <c r="E7" s="56">
        <f>SUMIF(AircraftTable[aircraftClass (FAA)],"Powered*",AircraftTable[PIC])</f>
        <v>0</v>
      </c>
      <c r="F7" s="120">
        <f>SUMIFS(MasterTable[Dual
Received], MasterTable[ClassCheck], "Powered*", MasterTable[Cross
Country], "&gt;0")</f>
        <v>0</v>
      </c>
      <c r="G7" s="120">
        <f>SUMIFS(MasterTable[Solo], MasterTable[ClassCheck], "Powered*", MasterTable[Cross
Country], "&gt;0")</f>
        <v>0</v>
      </c>
      <c r="H7" s="56">
        <f>SUMIFS(MasterTable[PIC], MasterTable[ClassCheck], "Powered*", MasterTable[Cross
Country], "&gt;0")</f>
        <v>0</v>
      </c>
      <c r="I7" s="120">
        <f>SUMIF(AircraftTable[aircraftClass (FAA)],"Powered*",AircraftTable[Sim Inst]) + SUMIF(AircraftTable[aircraftClass (FAA)],"Powered*",AircraftTable[Actual Inst])</f>
        <v>0</v>
      </c>
      <c r="J7" s="115">
        <f>SUMIFS(MasterTable[Dual
Received], MasterTable[ClassCheck], "Powered*", MasterTable[Night], "&gt;0")</f>
        <v>0</v>
      </c>
      <c r="K7" s="115">
        <f>SUMIFS(MasterTable[Landings
Night], MasterTable[ClassCheck], "Powered*")</f>
        <v>0</v>
      </c>
      <c r="L7" s="56">
        <f>SUMIFS(MasterTable[Night], MasterTable[ClassCheck], "Powered*", MasterTable[PIC], "&gt;0")</f>
        <v>0</v>
      </c>
      <c r="M7" s="71">
        <f>SUMIFS(MasterTable[Landings
Night], MasterTable[ClassCheck], "Powered*", MasterTable[PIC], "&gt;0")</f>
        <v>0</v>
      </c>
      <c r="N7" s="130"/>
      <c r="O7" s="81">
        <f>SUMIF(AircraftTable[aircraftClass (FAA)],"Airplane Single Engine Land",AircraftTable[PIC])</f>
        <v>108</v>
      </c>
      <c r="P7" s="63">
        <f>SUMIF(AircraftTable[aircraftClass (FAA)],"Airplane Multi Engine Land",AircraftTable[PIC])</f>
        <v>4.8</v>
      </c>
      <c r="Q7" s="63">
        <f>SUMIF(AircraftTable[aircraftClass (FAA)],"Airplane Single Engine Sea",AircraftTable[PIC])</f>
        <v>0</v>
      </c>
      <c r="R7" s="64">
        <f>SUMIF(AircraftTable[aircraftClass (FAA)],"Airplane Multi Engine Sea",AircraftTable[PIC])</f>
        <v>0</v>
      </c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</row>
    <row r="8" spans="1:33" x14ac:dyDescent="0.3">
      <c r="A8" s="118"/>
      <c r="B8" s="120"/>
      <c r="C8" s="120"/>
      <c r="D8" s="120"/>
      <c r="E8" s="56">
        <f>SUMIF(AircraftTable[aircraftClass (FAA)],"Powered*",AircraftTable[SIC])</f>
        <v>0</v>
      </c>
      <c r="F8" s="120"/>
      <c r="G8" s="120"/>
      <c r="H8" s="56">
        <f>SUMIFS(MasterTable[SIC], MasterTable[ClassCheck], "Powered*", MasterTable[Cross
Country], "&gt;0")</f>
        <v>0</v>
      </c>
      <c r="I8" s="120"/>
      <c r="J8" s="116"/>
      <c r="K8" s="116"/>
      <c r="L8" s="56">
        <f>SUMIFS(MasterTable[Night], MasterTable[ClassCheck], "Powered*", MasterTable[SIC], "&gt;0")</f>
        <v>0</v>
      </c>
      <c r="M8" s="71">
        <f>SUMIFS(MasterTable[Landings
Night], MasterTable[ClassCheck], "Powered*", MasterTable[SIC], "&gt;0")</f>
        <v>0</v>
      </c>
      <c r="N8" s="130"/>
      <c r="O8" s="63">
        <f>SUMIF(AircraftTable[aircraftClass (FAA)],"Airplane Single Engine Land",AircraftTable[SIC])</f>
        <v>6.2</v>
      </c>
      <c r="P8" s="63">
        <f>SUMIF(AircraftTable[aircraftClass (FAA)],"Airplane Multi Engine Land",AircraftTable[SIC])</f>
        <v>0</v>
      </c>
      <c r="Q8" s="63">
        <f>SUMIF(AircraftTable[aircraftClass (FAA)],"Airplane Single Engine Sea",AircraftTable[SIC])</f>
        <v>3.8</v>
      </c>
      <c r="R8" s="64">
        <f>SUMIF(AircraftTable[aircraftClass (FAA)],"Airplane Multi Engine Sea",AircraftTable[SIC])</f>
        <v>0</v>
      </c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</row>
    <row r="9" spans="1:33" x14ac:dyDescent="0.3">
      <c r="A9" s="118" t="s">
        <v>183</v>
      </c>
      <c r="B9" s="120">
        <f>SUMIF(AircraftTable[aircraftClass (FAA)],"Glider*",AircraftTable[Total Time])</f>
        <v>4.9000000000000004</v>
      </c>
      <c r="C9" s="120">
        <f>SUMIF(AircraftTable[aircraftClass (FAA)],"Glider*",AircraftTable[Dual Received])</f>
        <v>1.8</v>
      </c>
      <c r="D9" s="120">
        <f>SUMIF(AircraftTable[aircraftClass (FAA)],"Glider*",AircraftTable[Solo])</f>
        <v>0</v>
      </c>
      <c r="E9" s="56">
        <f>SUMIF(AircraftTable[aircraftClass (FAA)],"Glider*",AircraftTable[PIC])</f>
        <v>4.9000000000000004</v>
      </c>
      <c r="F9" s="120">
        <f>SUMIFS(MasterTable[Dual
Received], MasterTable[ClassCheck], "Glider*", MasterTable[Cross
Country], "&gt;0")</f>
        <v>0</v>
      </c>
      <c r="G9" s="120">
        <f>SUMIFS(MasterTable[Solo], MasterTable[ClassCheck], "Glider*", MasterTable[Cross
Country], "&gt;0")</f>
        <v>0</v>
      </c>
      <c r="H9" s="70"/>
      <c r="I9" s="120">
        <f>SUMIF(AircraftTable[aircraftClass (FAA)],"Glider*",AircraftTable[Sim Inst]) + SUMIF(AircraftTable[aircraftClass (FAA)],"Glider*",AircraftTable[Actual Inst])</f>
        <v>0</v>
      </c>
      <c r="J9" s="121"/>
      <c r="K9" s="121"/>
      <c r="L9" s="121"/>
      <c r="M9" s="122"/>
      <c r="N9" s="130" t="s">
        <v>181</v>
      </c>
      <c r="O9" s="131" t="s">
        <v>201</v>
      </c>
      <c r="P9" s="131"/>
      <c r="Q9" s="131" t="s">
        <v>204</v>
      </c>
      <c r="R9" s="132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</row>
    <row r="10" spans="1:33" x14ac:dyDescent="0.3">
      <c r="A10" s="118"/>
      <c r="B10" s="120"/>
      <c r="C10" s="120"/>
      <c r="D10" s="120"/>
      <c r="E10" s="56">
        <f>SUMIF(AircraftTable[aircraftClass (FAA)],"Glider*",AircraftTable[SIC])</f>
        <v>0</v>
      </c>
      <c r="F10" s="120"/>
      <c r="G10" s="120"/>
      <c r="H10" s="70"/>
      <c r="I10" s="120"/>
      <c r="J10" s="121"/>
      <c r="K10" s="121"/>
      <c r="L10" s="121"/>
      <c r="M10" s="122"/>
      <c r="N10" s="130"/>
      <c r="O10" s="131">
        <f>SUMIF(AircraftTable[aircraftClass (FAA)],"Rotorcraft Helicopter",AircraftTable[Total Time])</f>
        <v>0</v>
      </c>
      <c r="P10" s="131"/>
      <c r="Q10" s="131">
        <f>SUMIF(AircraftTable[aircraftClass (FAA)],"Rotorcraft Gyroplane",AircraftTable[Total Time])</f>
        <v>0</v>
      </c>
      <c r="R10" s="132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</row>
    <row r="11" spans="1:33" x14ac:dyDescent="0.3">
      <c r="A11" s="118" t="s">
        <v>184</v>
      </c>
      <c r="B11" s="120">
        <f>SUMIF(AircraftTable[aircraftClass (FAA)],"Lighter*",AircraftTable[Total Time])</f>
        <v>0</v>
      </c>
      <c r="C11" s="120">
        <f>SUMIF(AircraftTable[aircraftClass (FAA)],"Lighter*",AircraftTable[Dual Received])</f>
        <v>0</v>
      </c>
      <c r="D11" s="120">
        <f>SUMIF(AircraftTable[aircraftClass (FAA)],"Lighter*",AircraftTable[Solo])</f>
        <v>0</v>
      </c>
      <c r="E11" s="56">
        <f>SUMIF(AircraftTable[aircraftClass (FAA)],"Lighter*",AircraftTable[PIC])</f>
        <v>0</v>
      </c>
      <c r="F11" s="120">
        <f>SUMIFS(MasterTable[Dual
Received], MasterTable[ClassCheck], "Lighter*", MasterTable[Cross
Country], "&gt;0")</f>
        <v>0</v>
      </c>
      <c r="G11" s="115">
        <f>SUMIFS(MasterTable[Solo], MasterTable[ClassCheck], "Glider*", MasterTable[Cross
Country], "&gt;0")</f>
        <v>0</v>
      </c>
      <c r="H11" s="56">
        <f>SUMIFS(MasterTable[PIC], MasterTable[ClassCheck], "Lighter*", MasterTable[Cross
Country], "&gt;0")</f>
        <v>0</v>
      </c>
      <c r="I11" s="120">
        <f>SUMIF(AircraftTable[aircraftClass (FAA)],"Lighter*",AircraftTable[Sim Inst]) + SUMIF(AircraftTable[aircraftClass (FAA)],"Lighter*",AircraftTable[Actual Inst])</f>
        <v>0</v>
      </c>
      <c r="J11" s="120">
        <f>SUMIFS(MasterTable[Dual
Received], MasterTable[ClassCheck], "Lighter*", MasterTable[Night], "&gt;0")</f>
        <v>0</v>
      </c>
      <c r="K11" s="120">
        <f>SUMIFS(MasterTable[Landings
Night], MasterTable[ClassCheck], "Lighter*")</f>
        <v>0</v>
      </c>
      <c r="L11" s="56">
        <f>SUMIFS(MasterTable[Night], MasterTable[ClassCheck], "Lighter*", MasterTable[PIC], "&gt;0")</f>
        <v>0</v>
      </c>
      <c r="M11" s="71">
        <f>SUMIFS(MasterTable[Landings
Night], MasterTable[ClassCheck], "Lighter*", MasterTable[PIC], "&gt;0")</f>
        <v>0</v>
      </c>
      <c r="N11" s="130" t="s">
        <v>196</v>
      </c>
      <c r="O11" s="131" t="s">
        <v>202</v>
      </c>
      <c r="P11" s="131"/>
      <c r="Q11" s="131" t="s">
        <v>203</v>
      </c>
      <c r="R11" s="132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</row>
    <row r="12" spans="1:33" x14ac:dyDescent="0.3">
      <c r="A12" s="118"/>
      <c r="B12" s="120"/>
      <c r="C12" s="120"/>
      <c r="D12" s="120"/>
      <c r="E12" s="56">
        <f>SUMIF(AircraftTable[aircraftClass (FAA)],"Lighter*",AircraftTable[SIC])</f>
        <v>0</v>
      </c>
      <c r="F12" s="120"/>
      <c r="G12" s="116"/>
      <c r="H12" s="56">
        <f>SUMIFS(MasterTable[SIC], MasterTable[ClassCheck], "Lighter*", MasterTable[Cross
Country], "&gt;0")</f>
        <v>0</v>
      </c>
      <c r="I12" s="120"/>
      <c r="J12" s="120"/>
      <c r="K12" s="120"/>
      <c r="L12" s="56">
        <f>SUMIFS(MasterTable[Night], MasterTable[ClassCheck], "Lighter*", MasterTable[SIC], "&gt;0")</f>
        <v>0</v>
      </c>
      <c r="M12" s="71">
        <f>SUMIFS(MasterTable[Landings
Night], MasterTable[ClassCheck], "Lighter*", MasterTable[SIC], "&gt;0")</f>
        <v>0</v>
      </c>
      <c r="N12" s="130"/>
      <c r="O12" s="131">
        <f>SUMIF(AircraftTable[aircraftClass (FAA)],"Lighter-than-Air Balloon",AircraftTable[Total Time])</f>
        <v>0</v>
      </c>
      <c r="P12" s="131"/>
      <c r="Q12" s="131">
        <f>SUMIF(AircraftTable[aircraftClass (FAA)],"Lighter-than-Air Airship",AircraftTable[Total Time])</f>
        <v>0</v>
      </c>
      <c r="R12" s="132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</row>
    <row r="13" spans="1:33" x14ac:dyDescent="0.3">
      <c r="A13" s="118" t="s">
        <v>185</v>
      </c>
      <c r="B13" s="120" t="s">
        <v>221</v>
      </c>
      <c r="C13" s="120" t="s">
        <v>221</v>
      </c>
      <c r="D13" s="121"/>
      <c r="E13" s="121"/>
      <c r="F13" s="121"/>
      <c r="G13" s="121"/>
      <c r="H13" s="121"/>
      <c r="I13" s="120" t="s">
        <v>221</v>
      </c>
      <c r="J13" s="120" t="s">
        <v>221</v>
      </c>
      <c r="K13" s="120" t="s">
        <v>221</v>
      </c>
      <c r="L13" s="120" t="s">
        <v>221</v>
      </c>
      <c r="M13" s="123" t="s">
        <v>221</v>
      </c>
      <c r="N13" s="130" t="s">
        <v>185</v>
      </c>
      <c r="O13" s="63" t="s">
        <v>205</v>
      </c>
      <c r="P13" s="63" t="s">
        <v>206</v>
      </c>
      <c r="Q13" s="131" t="s">
        <v>201</v>
      </c>
      <c r="R13" s="132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</row>
    <row r="14" spans="1:33" x14ac:dyDescent="0.3">
      <c r="A14" s="118"/>
      <c r="B14" s="120"/>
      <c r="C14" s="120"/>
      <c r="D14" s="121"/>
      <c r="E14" s="121"/>
      <c r="F14" s="121"/>
      <c r="G14" s="121"/>
      <c r="H14" s="121"/>
      <c r="I14" s="120"/>
      <c r="J14" s="120"/>
      <c r="K14" s="120"/>
      <c r="L14" s="120"/>
      <c r="M14" s="123"/>
      <c r="N14" s="130"/>
      <c r="O14" s="63" t="s">
        <v>221</v>
      </c>
      <c r="P14" s="63" t="s">
        <v>221</v>
      </c>
      <c r="Q14" s="131" t="s">
        <v>221</v>
      </c>
      <c r="R14" s="132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</row>
    <row r="15" spans="1:33" x14ac:dyDescent="0.3">
      <c r="A15" s="118" t="s">
        <v>186</v>
      </c>
      <c r="B15" s="120" t="s">
        <v>221</v>
      </c>
      <c r="C15" s="120" t="s">
        <v>221</v>
      </c>
      <c r="D15" s="121"/>
      <c r="E15" s="121"/>
      <c r="F15" s="121"/>
      <c r="G15" s="121"/>
      <c r="H15" s="121"/>
      <c r="I15" s="120" t="s">
        <v>221</v>
      </c>
      <c r="J15" s="120" t="s">
        <v>221</v>
      </c>
      <c r="K15" s="121"/>
      <c r="L15" s="120" t="s">
        <v>221</v>
      </c>
      <c r="M15" s="122"/>
      <c r="N15" s="130" t="s">
        <v>186</v>
      </c>
      <c r="O15" s="131" t="s">
        <v>221</v>
      </c>
      <c r="P15" s="131" t="s">
        <v>221</v>
      </c>
      <c r="Q15" s="131" t="s">
        <v>221</v>
      </c>
      <c r="R15" s="132" t="s">
        <v>221</v>
      </c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</row>
    <row r="16" spans="1:33" x14ac:dyDescent="0.3">
      <c r="A16" s="118"/>
      <c r="B16" s="120"/>
      <c r="C16" s="120"/>
      <c r="D16" s="121"/>
      <c r="E16" s="121"/>
      <c r="F16" s="121"/>
      <c r="G16" s="121"/>
      <c r="H16" s="121"/>
      <c r="I16" s="120"/>
      <c r="J16" s="120"/>
      <c r="K16" s="121"/>
      <c r="L16" s="120"/>
      <c r="M16" s="122"/>
      <c r="N16" s="130"/>
      <c r="O16" s="131"/>
      <c r="P16" s="131"/>
      <c r="Q16" s="131"/>
      <c r="R16" s="132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</row>
    <row r="17" spans="1:33" x14ac:dyDescent="0.3">
      <c r="A17" s="118" t="s">
        <v>187</v>
      </c>
      <c r="B17" s="120" t="s">
        <v>221</v>
      </c>
      <c r="C17" s="120" t="s">
        <v>221</v>
      </c>
      <c r="D17" s="121"/>
      <c r="E17" s="121"/>
      <c r="F17" s="121"/>
      <c r="G17" s="121"/>
      <c r="H17" s="121"/>
      <c r="I17" s="120" t="s">
        <v>221</v>
      </c>
      <c r="J17" s="121"/>
      <c r="K17" s="121"/>
      <c r="L17" s="121"/>
      <c r="M17" s="122"/>
      <c r="N17" s="130" t="s">
        <v>187</v>
      </c>
      <c r="O17" s="131" t="s">
        <v>221</v>
      </c>
      <c r="P17" s="131" t="s">
        <v>221</v>
      </c>
      <c r="Q17" s="131" t="s">
        <v>221</v>
      </c>
      <c r="R17" s="132" t="s">
        <v>221</v>
      </c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</row>
    <row r="18" spans="1:33" ht="15" customHeight="1" thickBot="1" x14ac:dyDescent="0.35">
      <c r="A18" s="118"/>
      <c r="B18" s="120"/>
      <c r="C18" s="120"/>
      <c r="D18" s="121"/>
      <c r="E18" s="121"/>
      <c r="F18" s="121"/>
      <c r="G18" s="121"/>
      <c r="H18" s="121"/>
      <c r="I18" s="120"/>
      <c r="J18" s="121"/>
      <c r="K18" s="121"/>
      <c r="L18" s="121"/>
      <c r="M18" s="122"/>
      <c r="N18" s="138"/>
      <c r="O18" s="139"/>
      <c r="P18" s="139"/>
      <c r="Q18" s="139"/>
      <c r="R18" s="140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</row>
    <row r="19" spans="1:33" x14ac:dyDescent="0.3">
      <c r="A19" s="68"/>
      <c r="B19" s="117" t="s">
        <v>222</v>
      </c>
      <c r="C19" s="117"/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</row>
    <row r="20" spans="1:33" x14ac:dyDescent="0.3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</row>
    <row r="21" spans="1:33" x14ac:dyDescent="0.3">
      <c r="A21" s="68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</row>
    <row r="22" spans="1:33" x14ac:dyDescent="0.3">
      <c r="A22" s="68"/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</row>
    <row r="23" spans="1:33" x14ac:dyDescent="0.3">
      <c r="A23" s="68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</row>
    <row r="24" spans="1:33" x14ac:dyDescent="0.3">
      <c r="A24" s="68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</row>
    <row r="25" spans="1:33" x14ac:dyDescent="0.3">
      <c r="A25" s="68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</row>
    <row r="26" spans="1:33" x14ac:dyDescent="0.3">
      <c r="A26" s="68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</row>
    <row r="27" spans="1:33" x14ac:dyDescent="0.3">
      <c r="A27" s="68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</row>
    <row r="28" spans="1:33" x14ac:dyDescent="0.3">
      <c r="A28" s="68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</row>
    <row r="29" spans="1:33" x14ac:dyDescent="0.3">
      <c r="A29" s="68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</row>
    <row r="30" spans="1:33" x14ac:dyDescent="0.3">
      <c r="A30" s="68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</row>
    <row r="31" spans="1:33" x14ac:dyDescent="0.3">
      <c r="A31" s="68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</row>
    <row r="32" spans="1:33" x14ac:dyDescent="0.3">
      <c r="A32" s="68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</row>
    <row r="33" spans="1:33" x14ac:dyDescent="0.3">
      <c r="A33" s="68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</row>
    <row r="34" spans="1:33" x14ac:dyDescent="0.3">
      <c r="A34" s="68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</row>
    <row r="35" spans="1:33" x14ac:dyDescent="0.3">
      <c r="A35" s="68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</row>
    <row r="36" spans="1:33" x14ac:dyDescent="0.3">
      <c r="A36" s="68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</row>
    <row r="37" spans="1:33" x14ac:dyDescent="0.3">
      <c r="A37" s="68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</row>
    <row r="38" spans="1:33" x14ac:dyDescent="0.3">
      <c r="A38" s="68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</row>
    <row r="39" spans="1:33" x14ac:dyDescent="0.3">
      <c r="A39" s="68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</row>
    <row r="40" spans="1:33" x14ac:dyDescent="0.3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</row>
    <row r="41" spans="1:33" x14ac:dyDescent="0.3">
      <c r="A41" s="68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</row>
    <row r="42" spans="1:33" x14ac:dyDescent="0.3">
      <c r="A42" s="68"/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</row>
    <row r="43" spans="1:33" x14ac:dyDescent="0.3">
      <c r="A43" s="68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</row>
    <row r="44" spans="1:33" x14ac:dyDescent="0.3">
      <c r="A44" s="68"/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</row>
    <row r="45" spans="1:33" x14ac:dyDescent="0.3">
      <c r="A45" s="68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</row>
    <row r="46" spans="1:33" x14ac:dyDescent="0.3">
      <c r="A46" s="68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</row>
    <row r="47" spans="1:33" x14ac:dyDescent="0.3">
      <c r="A47" s="68"/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</row>
    <row r="48" spans="1:33" x14ac:dyDescent="0.3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</row>
    <row r="49" spans="1:33" x14ac:dyDescent="0.3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</row>
    <row r="50" spans="1:33" x14ac:dyDescent="0.3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</row>
    <row r="51" spans="1:33" x14ac:dyDescent="0.3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</row>
    <row r="52" spans="1:33" x14ac:dyDescent="0.3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</row>
    <row r="53" spans="1:33" x14ac:dyDescent="0.3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</row>
    <row r="54" spans="1:33" x14ac:dyDescent="0.3">
      <c r="A54" s="68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</row>
    <row r="55" spans="1:33" x14ac:dyDescent="0.3">
      <c r="A55" s="68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</row>
    <row r="56" spans="1:33" x14ac:dyDescent="0.3">
      <c r="A56" s="68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</row>
    <row r="57" spans="1:33" x14ac:dyDescent="0.3">
      <c r="A57" s="68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</row>
    <row r="58" spans="1:33" x14ac:dyDescent="0.3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</row>
    <row r="59" spans="1:33" x14ac:dyDescent="0.3">
      <c r="A59" s="68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</row>
    <row r="60" spans="1:33" x14ac:dyDescent="0.3">
      <c r="A60" s="68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</row>
    <row r="61" spans="1:33" x14ac:dyDescent="0.3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</row>
    <row r="62" spans="1:33" x14ac:dyDescent="0.3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</row>
    <row r="63" spans="1:33" x14ac:dyDescent="0.3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</row>
    <row r="64" spans="1:33" x14ac:dyDescent="0.3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</sheetData>
  <mergeCells count="125">
    <mergeCell ref="Q12:R12"/>
    <mergeCell ref="N13:N14"/>
    <mergeCell ref="N15:N16"/>
    <mergeCell ref="N17:N18"/>
    <mergeCell ref="N11:N12"/>
    <mergeCell ref="N9:N10"/>
    <mergeCell ref="O9:P9"/>
    <mergeCell ref="O10:P10"/>
    <mergeCell ref="O17:O18"/>
    <mergeCell ref="P17:P18"/>
    <mergeCell ref="Q17:Q18"/>
    <mergeCell ref="R17:R18"/>
    <mergeCell ref="Q13:R13"/>
    <mergeCell ref="Q14:R14"/>
    <mergeCell ref="O15:O16"/>
    <mergeCell ref="P15:P16"/>
    <mergeCell ref="Q15:Q16"/>
    <mergeCell ref="R15:R16"/>
    <mergeCell ref="B1:B2"/>
    <mergeCell ref="C1:C2"/>
    <mergeCell ref="N1:R1"/>
    <mergeCell ref="M1:M2"/>
    <mergeCell ref="L1:L2"/>
    <mergeCell ref="K1:K2"/>
    <mergeCell ref="J1:J2"/>
    <mergeCell ref="I1:I2"/>
    <mergeCell ref="H1:H2"/>
    <mergeCell ref="K17:K18"/>
    <mergeCell ref="L17:L18"/>
    <mergeCell ref="M17:M18"/>
    <mergeCell ref="L13:L14"/>
    <mergeCell ref="G1:G2"/>
    <mergeCell ref="F1:F2"/>
    <mergeCell ref="E1:E2"/>
    <mergeCell ref="D1:D2"/>
    <mergeCell ref="N5:R5"/>
    <mergeCell ref="N6:N8"/>
    <mergeCell ref="K11:K12"/>
    <mergeCell ref="J11:J12"/>
    <mergeCell ref="F11:F12"/>
    <mergeCell ref="G5:G6"/>
    <mergeCell ref="G7:G8"/>
    <mergeCell ref="G9:G10"/>
    <mergeCell ref="G11:G12"/>
    <mergeCell ref="I5:I6"/>
    <mergeCell ref="I7:I8"/>
    <mergeCell ref="Q9:R9"/>
    <mergeCell ref="Q10:R10"/>
    <mergeCell ref="O11:P11"/>
    <mergeCell ref="Q11:R11"/>
    <mergeCell ref="O12:P12"/>
    <mergeCell ref="M9:M10"/>
    <mergeCell ref="D13:D14"/>
    <mergeCell ref="E13:E14"/>
    <mergeCell ref="E15:E16"/>
    <mergeCell ref="E17:E18"/>
    <mergeCell ref="D15:D16"/>
    <mergeCell ref="D17:D18"/>
    <mergeCell ref="F13:F14"/>
    <mergeCell ref="G13:G14"/>
    <mergeCell ref="H13:H14"/>
    <mergeCell ref="I13:I14"/>
    <mergeCell ref="I15:I16"/>
    <mergeCell ref="I17:I18"/>
    <mergeCell ref="J9:J10"/>
    <mergeCell ref="K9:K10"/>
    <mergeCell ref="L9:L10"/>
    <mergeCell ref="J13:J14"/>
    <mergeCell ref="K13:K14"/>
    <mergeCell ref="M13:M14"/>
    <mergeCell ref="M15:M16"/>
    <mergeCell ref="L15:L16"/>
    <mergeCell ref="K15:K16"/>
    <mergeCell ref="J15:J16"/>
    <mergeCell ref="J17:J18"/>
    <mergeCell ref="C11:C12"/>
    <mergeCell ref="B9:B10"/>
    <mergeCell ref="J5:J6"/>
    <mergeCell ref="J7:J8"/>
    <mergeCell ref="B17:B18"/>
    <mergeCell ref="C17:C18"/>
    <mergeCell ref="C15:C16"/>
    <mergeCell ref="C13:C14"/>
    <mergeCell ref="B11:B12"/>
    <mergeCell ref="B13:B14"/>
    <mergeCell ref="B15:B16"/>
    <mergeCell ref="H15:H16"/>
    <mergeCell ref="G15:G16"/>
    <mergeCell ref="F15:F16"/>
    <mergeCell ref="F17:F18"/>
    <mergeCell ref="G17:G18"/>
    <mergeCell ref="H17:H18"/>
    <mergeCell ref="F9:F10"/>
    <mergeCell ref="D3:D4"/>
    <mergeCell ref="F3:F4"/>
    <mergeCell ref="G3:G4"/>
    <mergeCell ref="I3:I4"/>
    <mergeCell ref="J3:J4"/>
    <mergeCell ref="I9:I10"/>
    <mergeCell ref="I11:I12"/>
    <mergeCell ref="D11:D12"/>
    <mergeCell ref="K5:K6"/>
    <mergeCell ref="K7:K8"/>
    <mergeCell ref="B19:R19"/>
    <mergeCell ref="A15:A16"/>
    <mergeCell ref="A17:A18"/>
    <mergeCell ref="B3:B4"/>
    <mergeCell ref="B5:B6"/>
    <mergeCell ref="B7:B8"/>
    <mergeCell ref="C3:C4"/>
    <mergeCell ref="A3:A4"/>
    <mergeCell ref="A5:A6"/>
    <mergeCell ref="A7:A8"/>
    <mergeCell ref="A9:A10"/>
    <mergeCell ref="A11:A12"/>
    <mergeCell ref="A13:A14"/>
    <mergeCell ref="K3:K4"/>
    <mergeCell ref="C5:C6"/>
    <mergeCell ref="D5:D6"/>
    <mergeCell ref="D7:D8"/>
    <mergeCell ref="C7:C8"/>
    <mergeCell ref="C9:C10"/>
    <mergeCell ref="D9:D10"/>
    <mergeCell ref="F7:F8"/>
    <mergeCell ref="F5:F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59891-0ADE-4759-9CE3-97D4CC4028C5}">
  <sheetPr codeName="Sheet4">
    <tabColor theme="0" tint="-0.499984740745262"/>
  </sheetPr>
  <dimension ref="A1:D13"/>
  <sheetViews>
    <sheetView workbookViewId="0"/>
  </sheetViews>
  <sheetFormatPr defaultRowHeight="14.4" x14ac:dyDescent="0.3"/>
  <cols>
    <col min="2" max="2" width="21.109375" customWidth="1"/>
    <col min="3" max="3" width="18.6640625" customWidth="1"/>
    <col min="4" max="4" width="27.6640625" customWidth="1"/>
  </cols>
  <sheetData>
    <row r="1" spans="1:4" x14ac:dyDescent="0.3"/>
    <row r="2" spans="1:4" x14ac:dyDescent="0.3">
      <c r="B2" t="s">
        <v>207</v>
      </c>
      <c r="C2" t="s">
        <v>208</v>
      </c>
      <c r="D2" t="s">
        <v>209</v>
      </c>
    </row>
    <row r="3" spans="1:4" x14ac:dyDescent="0.3">
      <c r="B3" t="s">
        <v>226</v>
      </c>
      <c r="C3" t="s">
        <v>12</v>
      </c>
      <c r="D3" t="s">
        <v>213</v>
      </c>
    </row>
    <row r="4" spans="1:4" x14ac:dyDescent="0.3">
      <c r="B4" t="s">
        <v>227</v>
      </c>
      <c r="C4" t="s">
        <v>18</v>
      </c>
      <c r="D4" t="s">
        <v>214</v>
      </c>
    </row>
    <row r="5" spans="1:4" x14ac:dyDescent="0.3">
      <c r="B5" t="s">
        <v>229</v>
      </c>
      <c r="C5" t="s">
        <v>16</v>
      </c>
      <c r="D5" t="s">
        <v>216</v>
      </c>
    </row>
    <row r="6" spans="1:4" x14ac:dyDescent="0.3">
      <c r="B6" t="s">
        <v>228</v>
      </c>
      <c r="C6" t="s">
        <v>34</v>
      </c>
      <c r="D6" t="s">
        <v>215</v>
      </c>
    </row>
    <row r="7" spans="1:4" x14ac:dyDescent="0.3">
      <c r="B7" t="s">
        <v>230</v>
      </c>
      <c r="C7" t="s">
        <v>19</v>
      </c>
      <c r="D7" t="s">
        <v>157</v>
      </c>
    </row>
    <row r="8" spans="1:4" x14ac:dyDescent="0.3">
      <c r="B8" t="s">
        <v>233</v>
      </c>
      <c r="C8" t="s">
        <v>225</v>
      </c>
      <c r="D8" t="s">
        <v>210</v>
      </c>
    </row>
    <row r="9" spans="1:4" x14ac:dyDescent="0.3">
      <c r="B9" t="s">
        <v>231</v>
      </c>
      <c r="C9" t="s">
        <v>224</v>
      </c>
      <c r="D9" t="s">
        <v>219</v>
      </c>
    </row>
    <row r="10" spans="1:4" x14ac:dyDescent="0.3">
      <c r="B10" t="s">
        <v>232</v>
      </c>
      <c r="C10" t="s">
        <v>28</v>
      </c>
      <c r="D10" t="s">
        <v>220</v>
      </c>
    </row>
    <row r="11" spans="1:4" x14ac:dyDescent="0.3">
      <c r="D11" t="s">
        <v>211</v>
      </c>
    </row>
    <row r="12" spans="1:4" x14ac:dyDescent="0.3">
      <c r="D12" t="s">
        <v>212</v>
      </c>
    </row>
    <row r="13" spans="1:4" x14ac:dyDescent="0.3">
      <c r="D13" t="s">
        <v>182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Flights</vt:lpstr>
      <vt:lpstr>Totals</vt:lpstr>
      <vt:lpstr>Currencies</vt:lpstr>
      <vt:lpstr>Aircraft</vt:lpstr>
      <vt:lpstr>FAA 8710-1</vt:lpstr>
      <vt:lpstr>Setup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O'Dell</dc:creator>
  <cp:lastModifiedBy>John O'Dell</cp:lastModifiedBy>
  <dcterms:created xsi:type="dcterms:W3CDTF">2026-09-26T20:39:03Z</dcterms:created>
  <dcterms:modified xsi:type="dcterms:W3CDTF">2026-10-28T02:33:05Z</dcterms:modified>
</cp:coreProperties>
</file>