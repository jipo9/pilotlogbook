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Git\pilotlogbook\"/>
    </mc:Choice>
  </mc:AlternateContent>
  <xr:revisionPtr revIDLastSave="0" documentId="8_{BE1B57E6-3056-4F61-B843-2E5E97CD4521}" xr6:coauthVersionLast="47" xr6:coauthVersionMax="47" xr10:uidLastSave="{00000000-0000-0000-0000-000000000000}"/>
  <bookViews>
    <workbookView xWindow="-108" yWindow="-108" windowWidth="23256" windowHeight="13896" xr2:uid="{9803C3A4-5341-4E18-9433-3DEC959F397C}"/>
  </bookViews>
  <sheets>
    <sheet name="Flights" sheetId="1" r:id="rId1"/>
    <sheet name="Totals" sheetId="7" r:id="rId2"/>
    <sheet name="Currencies" sheetId="3" r:id="rId3"/>
    <sheet name="Aircraft" sheetId="2" r:id="rId4"/>
    <sheet name="FAA 8710-1" sheetId="6" r:id="rId5"/>
    <sheet name="Setup" sheetId="8" r:id="rId6"/>
  </sheets>
  <definedNames>
    <definedName name="_xleta.ISBLANK" hidden="1" xlm="1">#NAME?</definedName>
    <definedName name="_xleta.RECEIVED" hidden="1" xlm="1">#NAME?</definedName>
    <definedName name="_xleta.SINGLE" hidden="1" xlm="1">#NAME?</definedName>
    <definedName name="_xleta.TIME" hidden="1" xlm="1">#NAME?</definedName>
    <definedName name="_xlpm.a" hidden="1" xlm="1">#NAME?</definedName>
    <definedName name="_xlpm.apprTotals" hidden="1" xlm="1">#NAME?</definedName>
    <definedName name="_xlpm.b" hidden="1" xlm="1">#NAME?</definedName>
    <definedName name="_xlpm.d" hidden="1" xlm="1">#NAME?</definedName>
    <definedName name="_xlpm.dates" hidden="1" xlm="1">#NAME?</definedName>
    <definedName name="_xlpm.gearType" hidden="1" xlm="1">#NAME?</definedName>
    <definedName name="_xlpm.holdTotals" hidden="1" xlm="1">#NAME?</definedName>
    <definedName name="_xlpm.ipcDate" hidden="1" xlm="1">#NAME?</definedName>
    <definedName name="_xlpm.mEngine" hidden="1" xlm="1">#NAME?</definedName>
    <definedName name="_xlpm.muEngine" hidden="1" xlm="1">#NAME?</definedName>
    <definedName name="_xlpm.mulEngine" hidden="1" xlm="1">#NAME?</definedName>
    <definedName name="_xlpm.multEngine" hidden="1" xlm="1">#NAME?</definedName>
    <definedName name="_xlpm.multiEngine" hidden="1" xlm="1">#NAME?</definedName>
    <definedName name="_xlpm.qualifyingDate" hidden="1" xlm="1">#NAME?</definedName>
    <definedName name="_xlpm.singleEngine" hidden="1" xlm="1">#NAME?</definedName>
    <definedName name="_xlpm.totals" hidden="1" xlm="1">#NAME?</definedName>
  </definedNames>
  <calcPr calcId="191029" calcMode="manual"/>
  <pivotCaches>
    <pivotCache cacheId="66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A4" i="1" l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G5" i="6" s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5" i="1"/>
  <c r="AR6" i="1"/>
  <c r="AR4" i="1"/>
  <c r="I11" i="6"/>
  <c r="I7" i="6"/>
  <c r="I5" i="6"/>
  <c r="AE4" i="1"/>
  <c r="AS4" i="1" s="1"/>
  <c r="AT4" i="1"/>
  <c r="AE5" i="1"/>
  <c r="AS5" i="1"/>
  <c r="AT5" i="1"/>
  <c r="AE6" i="1"/>
  <c r="AS6" i="1"/>
  <c r="AT6" i="1"/>
  <c r="AE7" i="1"/>
  <c r="AS7" i="1"/>
  <c r="AT7" i="1"/>
  <c r="AE8" i="1"/>
  <c r="AS8" i="1"/>
  <c r="AT8" i="1"/>
  <c r="AE9" i="1"/>
  <c r="AS9" i="1"/>
  <c r="AT9" i="1"/>
  <c r="AE10" i="1"/>
  <c r="AS10" i="1" s="1"/>
  <c r="AT10" i="1"/>
  <c r="AE11" i="1"/>
  <c r="AS11" i="1"/>
  <c r="AT11" i="1"/>
  <c r="C21" i="7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P11" i="3"/>
  <c r="P7" i="3"/>
  <c r="E12" i="6"/>
  <c r="E11" i="6"/>
  <c r="E8" i="6"/>
  <c r="E7" i="6"/>
  <c r="E6" i="6"/>
  <c r="E5" i="6"/>
  <c r="Q12" i="6"/>
  <c r="O12" i="6"/>
  <c r="Q10" i="6"/>
  <c r="O10" i="6"/>
  <c r="R7" i="6"/>
  <c r="R8" i="6"/>
  <c r="O4" i="6"/>
  <c r="D11" i="6"/>
  <c r="D7" i="6"/>
  <c r="D5" i="6"/>
  <c r="C11" i="6"/>
  <c r="C7" i="6"/>
  <c r="C5" i="6"/>
  <c r="B11" i="6"/>
  <c r="B7" i="6"/>
  <c r="B5" i="6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H12" i="3" a="1"/>
  <c r="H11" i="3" s="1"/>
  <c r="H8" i="3" a="1"/>
  <c r="D12" i="3" a="1"/>
  <c r="D11" i="3" s="1"/>
  <c r="D8" i="3" a="1"/>
  <c r="D7" i="3" s="1"/>
  <c r="AC7" i="2"/>
  <c r="AC5" i="2"/>
  <c r="AC8" i="2"/>
  <c r="AC2" i="2"/>
  <c r="D4" i="3"/>
  <c r="D3" i="3" s="1"/>
  <c r="AE12" i="1"/>
  <c r="AS12" i="1" s="1"/>
  <c r="AT12" i="1"/>
  <c r="AE13" i="1"/>
  <c r="AS13" i="1" s="1"/>
  <c r="AT13" i="1"/>
  <c r="AE14" i="1"/>
  <c r="AS14" i="1" s="1"/>
  <c r="AT14" i="1"/>
  <c r="AE15" i="1"/>
  <c r="AS15" i="1" s="1"/>
  <c r="AT15" i="1"/>
  <c r="AE31" i="2"/>
  <c r="AF2" i="2"/>
  <c r="AF3" i="2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G2" i="2"/>
  <c r="AG3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H2" i="2"/>
  <c r="AH3" i="2"/>
  <c r="AH4" i="2"/>
  <c r="AH5" i="2"/>
  <c r="AH6" i="2"/>
  <c r="AH7" i="2"/>
  <c r="AH8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I2" i="2"/>
  <c r="AI3" i="2"/>
  <c r="AI4" i="2"/>
  <c r="AI5" i="2"/>
  <c r="AI6" i="2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J2" i="2"/>
  <c r="AJ3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K2" i="2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L2" i="2"/>
  <c r="AL3" i="2"/>
  <c r="AL4" i="2"/>
  <c r="AL5" i="2"/>
  <c r="AL6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D2" i="2"/>
  <c r="AD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A2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Z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Y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W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U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T2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N2" i="2"/>
  <c r="N3" i="2"/>
  <c r="N4" i="2"/>
  <c r="N5" i="2"/>
  <c r="N6" i="2"/>
  <c r="N7" i="2"/>
  <c r="N8" i="2"/>
  <c r="F19" i="7" s="1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F12" i="7" s="1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F11" i="7" s="1"/>
  <c r="C19" i="7"/>
  <c r="C18" i="7"/>
  <c r="C17" i="7"/>
  <c r="C16" i="7"/>
  <c r="C15" i="7"/>
  <c r="S19" i="3"/>
  <c r="S18" i="3"/>
  <c r="S17" i="3"/>
  <c r="S16" i="3"/>
  <c r="S15" i="3"/>
  <c r="B33" i="3"/>
  <c r="AE16" i="1"/>
  <c r="AT16" i="1"/>
  <c r="AE17" i="1"/>
  <c r="AS17" i="1" s="1"/>
  <c r="AT17" i="1"/>
  <c r="AE18" i="1"/>
  <c r="AS18" i="1" s="1"/>
  <c r="AT18" i="1"/>
  <c r="AE19" i="1"/>
  <c r="AS19" i="1" s="1"/>
  <c r="AT19" i="1"/>
  <c r="AE20" i="1"/>
  <c r="AS20" i="1" s="1"/>
  <c r="AT20" i="1"/>
  <c r="AE21" i="1"/>
  <c r="AS21" i="1" s="1"/>
  <c r="AT21" i="1"/>
  <c r="AE22" i="1"/>
  <c r="AS22" i="1" s="1"/>
  <c r="AT22" i="1"/>
  <c r="AE23" i="1"/>
  <c r="AT23" i="1"/>
  <c r="AE24" i="1"/>
  <c r="AS24" i="1" s="1"/>
  <c r="AT24" i="1"/>
  <c r="AE25" i="1"/>
  <c r="AS25" i="1" s="1"/>
  <c r="AT25" i="1"/>
  <c r="AE26" i="1"/>
  <c r="AS26" i="1" s="1"/>
  <c r="AT26" i="1"/>
  <c r="AE27" i="1"/>
  <c r="AS27" i="1" s="1"/>
  <c r="AT27" i="1"/>
  <c r="AE28" i="1"/>
  <c r="AS28" i="1" s="1"/>
  <c r="AT28" i="1"/>
  <c r="AE29" i="1"/>
  <c r="AS29" i="1" s="1"/>
  <c r="AT29" i="1"/>
  <c r="AE30" i="1"/>
  <c r="AS30" i="1" s="1"/>
  <c r="AT30" i="1"/>
  <c r="AE31" i="1"/>
  <c r="AS31" i="1" s="1"/>
  <c r="AT31" i="1"/>
  <c r="AE32" i="1"/>
  <c r="AS32" i="1" s="1"/>
  <c r="AT32" i="1"/>
  <c r="AE33" i="1"/>
  <c r="AS33" i="1" s="1"/>
  <c r="AT33" i="1"/>
  <c r="AE34" i="1"/>
  <c r="AS34" i="1" s="1"/>
  <c r="AT34" i="1"/>
  <c r="AE35" i="1"/>
  <c r="AS35" i="1" s="1"/>
  <c r="AT35" i="1"/>
  <c r="AE36" i="1"/>
  <c r="AS36" i="1" s="1"/>
  <c r="AT36" i="1"/>
  <c r="AE37" i="1"/>
  <c r="AS37" i="1" s="1"/>
  <c r="AT37" i="1"/>
  <c r="AE38" i="1"/>
  <c r="AS38" i="1" s="1"/>
  <c r="AT38" i="1"/>
  <c r="AE39" i="1"/>
  <c r="AS39" i="1" s="1"/>
  <c r="AT39" i="1"/>
  <c r="AE40" i="1"/>
  <c r="AS40" i="1" s="1"/>
  <c r="AT40" i="1"/>
  <c r="AE41" i="1"/>
  <c r="AS41" i="1" s="1"/>
  <c r="AT41" i="1"/>
  <c r="AE42" i="1"/>
  <c r="AS42" i="1" s="1"/>
  <c r="AT42" i="1"/>
  <c r="AE43" i="1"/>
  <c r="AS43" i="1" s="1"/>
  <c r="AT43" i="1"/>
  <c r="P10" i="3"/>
  <c r="P9" i="3"/>
  <c r="P8" i="3" s="1"/>
  <c r="P6" i="3"/>
  <c r="L3" i="3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65" i="1"/>
  <c r="AT166" i="1"/>
  <c r="AT167" i="1"/>
  <c r="AT168" i="1"/>
  <c r="AT169" i="1"/>
  <c r="AT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220" i="1"/>
  <c r="AT221" i="1"/>
  <c r="AT222" i="1"/>
  <c r="AT223" i="1"/>
  <c r="AT224" i="1"/>
  <c r="AT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75" i="1"/>
  <c r="AT276" i="1"/>
  <c r="AT277" i="1"/>
  <c r="AT278" i="1"/>
  <c r="AT279" i="1"/>
  <c r="AT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330" i="1"/>
  <c r="AT331" i="1"/>
  <c r="AT332" i="1"/>
  <c r="AT333" i="1"/>
  <c r="AT334" i="1"/>
  <c r="AT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85" i="1"/>
  <c r="AT386" i="1"/>
  <c r="AT387" i="1"/>
  <c r="AT388" i="1"/>
  <c r="AT389" i="1"/>
  <c r="AT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440" i="1"/>
  <c r="AT441" i="1"/>
  <c r="AT442" i="1"/>
  <c r="AT443" i="1"/>
  <c r="AT444" i="1"/>
  <c r="AT445" i="1"/>
  <c r="AT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96" i="1"/>
  <c r="AT497" i="1"/>
  <c r="AT498" i="1"/>
  <c r="AT499" i="1"/>
  <c r="AT500" i="1"/>
  <c r="AT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51" i="1"/>
  <c r="AT552" i="1"/>
  <c r="AT553" i="1"/>
  <c r="AT554" i="1"/>
  <c r="AT555" i="1"/>
  <c r="AT556" i="1"/>
  <c r="AT557" i="1"/>
  <c r="AT558" i="1"/>
  <c r="AT559" i="1"/>
  <c r="AT560" i="1"/>
  <c r="AT561" i="1"/>
  <c r="AT562" i="1"/>
  <c r="AT563" i="1"/>
  <c r="AT564" i="1"/>
  <c r="AT565" i="1"/>
  <c r="AT566" i="1"/>
  <c r="AT567" i="1"/>
  <c r="AT568" i="1"/>
  <c r="AT569" i="1"/>
  <c r="AT570" i="1"/>
  <c r="AT571" i="1"/>
  <c r="AT572" i="1"/>
  <c r="AT573" i="1"/>
  <c r="AT574" i="1"/>
  <c r="AT575" i="1"/>
  <c r="AT576" i="1"/>
  <c r="AT577" i="1"/>
  <c r="AT578" i="1"/>
  <c r="AT579" i="1"/>
  <c r="AT580" i="1"/>
  <c r="AT581" i="1"/>
  <c r="AT582" i="1"/>
  <c r="AT583" i="1"/>
  <c r="AT584" i="1"/>
  <c r="AT585" i="1"/>
  <c r="AT586" i="1"/>
  <c r="AT587" i="1"/>
  <c r="AT588" i="1"/>
  <c r="AT589" i="1"/>
  <c r="AT590" i="1"/>
  <c r="AT591" i="1"/>
  <c r="AT592" i="1"/>
  <c r="AT593" i="1"/>
  <c r="AT594" i="1"/>
  <c r="AT595" i="1"/>
  <c r="AT596" i="1"/>
  <c r="AT597" i="1"/>
  <c r="AT598" i="1"/>
  <c r="AT599" i="1"/>
  <c r="AT600" i="1"/>
  <c r="AT601" i="1"/>
  <c r="AT602" i="1"/>
  <c r="AT603" i="1"/>
  <c r="AT604" i="1"/>
  <c r="AT605" i="1"/>
  <c r="AT606" i="1"/>
  <c r="AT607" i="1"/>
  <c r="AT608" i="1"/>
  <c r="AT609" i="1"/>
  <c r="AT610" i="1"/>
  <c r="AT611" i="1"/>
  <c r="AT612" i="1"/>
  <c r="AT613" i="1"/>
  <c r="AT614" i="1"/>
  <c r="AT615" i="1"/>
  <c r="AT616" i="1"/>
  <c r="AT617" i="1"/>
  <c r="AT618" i="1"/>
  <c r="AT619" i="1"/>
  <c r="AT620" i="1"/>
  <c r="AT621" i="1"/>
  <c r="AT622" i="1"/>
  <c r="AT623" i="1"/>
  <c r="AT624" i="1"/>
  <c r="AT625" i="1"/>
  <c r="AT626" i="1"/>
  <c r="AT627" i="1"/>
  <c r="AT628" i="1"/>
  <c r="AT629" i="1"/>
  <c r="AT630" i="1"/>
  <c r="AT631" i="1"/>
  <c r="AT632" i="1"/>
  <c r="AT633" i="1"/>
  <c r="AT634" i="1"/>
  <c r="AT635" i="1"/>
  <c r="AT636" i="1"/>
  <c r="AT637" i="1"/>
  <c r="AT638" i="1"/>
  <c r="AT639" i="1"/>
  <c r="AT640" i="1"/>
  <c r="AT641" i="1"/>
  <c r="AT642" i="1"/>
  <c r="AT643" i="1"/>
  <c r="AT644" i="1"/>
  <c r="AT645" i="1"/>
  <c r="AT646" i="1"/>
  <c r="AT647" i="1"/>
  <c r="AT648" i="1"/>
  <c r="AT649" i="1"/>
  <c r="AT650" i="1"/>
  <c r="AT651" i="1"/>
  <c r="AT652" i="1"/>
  <c r="AT653" i="1"/>
  <c r="AT654" i="1"/>
  <c r="AT655" i="1"/>
  <c r="AT656" i="1"/>
  <c r="AT657" i="1"/>
  <c r="AT658" i="1"/>
  <c r="AT659" i="1"/>
  <c r="AT660" i="1"/>
  <c r="AT661" i="1"/>
  <c r="AT662" i="1"/>
  <c r="AT663" i="1"/>
  <c r="AT664" i="1"/>
  <c r="AT665" i="1"/>
  <c r="AT666" i="1"/>
  <c r="AT667" i="1"/>
  <c r="AT668" i="1"/>
  <c r="AT669" i="1"/>
  <c r="AT670" i="1"/>
  <c r="AT671" i="1"/>
  <c r="AT672" i="1"/>
  <c r="AT673" i="1"/>
  <c r="AT674" i="1"/>
  <c r="AT675" i="1"/>
  <c r="AT676" i="1"/>
  <c r="AT677" i="1"/>
  <c r="AT678" i="1"/>
  <c r="AT679" i="1"/>
  <c r="AT680" i="1"/>
  <c r="AT681" i="1"/>
  <c r="AT682" i="1"/>
  <c r="AT683" i="1"/>
  <c r="AT684" i="1"/>
  <c r="AT685" i="1"/>
  <c r="AT686" i="1"/>
  <c r="AT687" i="1"/>
  <c r="AT688" i="1"/>
  <c r="AT689" i="1"/>
  <c r="AT690" i="1"/>
  <c r="AT691" i="1"/>
  <c r="AT692" i="1"/>
  <c r="AT693" i="1"/>
  <c r="AT694" i="1"/>
  <c r="AT695" i="1"/>
  <c r="AT696" i="1"/>
  <c r="AT697" i="1"/>
  <c r="AT698" i="1"/>
  <c r="AT699" i="1"/>
  <c r="AT700" i="1"/>
  <c r="AT701" i="1"/>
  <c r="AT702" i="1"/>
  <c r="AT703" i="1"/>
  <c r="AT704" i="1"/>
  <c r="AT705" i="1"/>
  <c r="AT706" i="1"/>
  <c r="AT707" i="1"/>
  <c r="AT708" i="1"/>
  <c r="AT709" i="1"/>
  <c r="AT710" i="1"/>
  <c r="AT711" i="1"/>
  <c r="AT712" i="1"/>
  <c r="AT713" i="1"/>
  <c r="AT714" i="1"/>
  <c r="AT715" i="1"/>
  <c r="AT716" i="1"/>
  <c r="AT717" i="1"/>
  <c r="AT718" i="1"/>
  <c r="AT719" i="1"/>
  <c r="AT720" i="1"/>
  <c r="AT721" i="1"/>
  <c r="AT722" i="1"/>
  <c r="AT723" i="1"/>
  <c r="AT724" i="1"/>
  <c r="AT725" i="1"/>
  <c r="AT726" i="1"/>
  <c r="AT727" i="1"/>
  <c r="AT728" i="1"/>
  <c r="AT729" i="1"/>
  <c r="AT730" i="1"/>
  <c r="AT731" i="1"/>
  <c r="AT732" i="1"/>
  <c r="AT733" i="1"/>
  <c r="AT734" i="1"/>
  <c r="AT735" i="1"/>
  <c r="AT736" i="1"/>
  <c r="AT737" i="1"/>
  <c r="AT738" i="1"/>
  <c r="AT739" i="1"/>
  <c r="AT740" i="1"/>
  <c r="AT741" i="1"/>
  <c r="AT742" i="1"/>
  <c r="AT743" i="1"/>
  <c r="AT744" i="1"/>
  <c r="AT745" i="1"/>
  <c r="AT746" i="1"/>
  <c r="AT747" i="1"/>
  <c r="AT748" i="1"/>
  <c r="AT749" i="1"/>
  <c r="AT750" i="1"/>
  <c r="AT751" i="1"/>
  <c r="AT752" i="1"/>
  <c r="AT753" i="1"/>
  <c r="AT754" i="1"/>
  <c r="AT755" i="1"/>
  <c r="AT756" i="1"/>
  <c r="AT757" i="1"/>
  <c r="AT758" i="1"/>
  <c r="AT759" i="1"/>
  <c r="AT760" i="1"/>
  <c r="AT761" i="1"/>
  <c r="AT762" i="1"/>
  <c r="AT763" i="1"/>
  <c r="AT764" i="1"/>
  <c r="AT765" i="1"/>
  <c r="AT766" i="1"/>
  <c r="AT767" i="1"/>
  <c r="AT768" i="1"/>
  <c r="AT769" i="1"/>
  <c r="AT770" i="1"/>
  <c r="AT771" i="1"/>
  <c r="AT772" i="1"/>
  <c r="AT773" i="1"/>
  <c r="AT774" i="1"/>
  <c r="AT775" i="1"/>
  <c r="AT776" i="1"/>
  <c r="AT777" i="1"/>
  <c r="AT778" i="1"/>
  <c r="AT779" i="1"/>
  <c r="AT780" i="1"/>
  <c r="AT781" i="1"/>
  <c r="AT782" i="1"/>
  <c r="AT783" i="1"/>
  <c r="AT784" i="1"/>
  <c r="AT785" i="1"/>
  <c r="AT786" i="1"/>
  <c r="AT787" i="1"/>
  <c r="AT788" i="1"/>
  <c r="AT789" i="1"/>
  <c r="AT790" i="1"/>
  <c r="AT791" i="1"/>
  <c r="AT792" i="1"/>
  <c r="AT793" i="1"/>
  <c r="AT794" i="1"/>
  <c r="AT795" i="1"/>
  <c r="AT796" i="1"/>
  <c r="AT797" i="1"/>
  <c r="AT798" i="1"/>
  <c r="AT799" i="1"/>
  <c r="AT800" i="1"/>
  <c r="AT801" i="1"/>
  <c r="AT802" i="1"/>
  <c r="AT803" i="1"/>
  <c r="AT804" i="1"/>
  <c r="AT805" i="1"/>
  <c r="AT806" i="1"/>
  <c r="AT807" i="1"/>
  <c r="AT808" i="1"/>
  <c r="AT809" i="1"/>
  <c r="AT810" i="1"/>
  <c r="AT811" i="1"/>
  <c r="AT812" i="1"/>
  <c r="AT813" i="1"/>
  <c r="AT814" i="1"/>
  <c r="AT815" i="1"/>
  <c r="AT816" i="1"/>
  <c r="AT817" i="1"/>
  <c r="AT818" i="1"/>
  <c r="AT819" i="1"/>
  <c r="AT820" i="1"/>
  <c r="AT821" i="1"/>
  <c r="AT822" i="1"/>
  <c r="AT823" i="1"/>
  <c r="AT824" i="1"/>
  <c r="AT825" i="1"/>
  <c r="AT826" i="1"/>
  <c r="AT827" i="1"/>
  <c r="AT828" i="1"/>
  <c r="AT829" i="1"/>
  <c r="AT830" i="1"/>
  <c r="AT831" i="1"/>
  <c r="AT832" i="1"/>
  <c r="AT833" i="1"/>
  <c r="AT834" i="1"/>
  <c r="AT835" i="1"/>
  <c r="AT836" i="1"/>
  <c r="AT837" i="1"/>
  <c r="AT838" i="1"/>
  <c r="AT839" i="1"/>
  <c r="AT840" i="1"/>
  <c r="AT841" i="1"/>
  <c r="AT842" i="1"/>
  <c r="AT843" i="1"/>
  <c r="AT844" i="1"/>
  <c r="AT845" i="1"/>
  <c r="AT846" i="1"/>
  <c r="AT847" i="1"/>
  <c r="AT848" i="1"/>
  <c r="AT849" i="1"/>
  <c r="AT850" i="1"/>
  <c r="AT851" i="1"/>
  <c r="AT852" i="1"/>
  <c r="AT853" i="1"/>
  <c r="AT854" i="1"/>
  <c r="AT855" i="1"/>
  <c r="AT856" i="1"/>
  <c r="AT857" i="1"/>
  <c r="AT858" i="1"/>
  <c r="AT859" i="1"/>
  <c r="AT860" i="1"/>
  <c r="AT861" i="1"/>
  <c r="AT862" i="1"/>
  <c r="AT863" i="1"/>
  <c r="AT864" i="1"/>
  <c r="AT865" i="1"/>
  <c r="AT866" i="1"/>
  <c r="AT867" i="1"/>
  <c r="AT868" i="1"/>
  <c r="AT869" i="1"/>
  <c r="AT870" i="1"/>
  <c r="AT871" i="1"/>
  <c r="AT872" i="1"/>
  <c r="AT873" i="1"/>
  <c r="AT874" i="1"/>
  <c r="AT875" i="1"/>
  <c r="AT876" i="1"/>
  <c r="AT877" i="1"/>
  <c r="AT878" i="1"/>
  <c r="AT879" i="1"/>
  <c r="AT880" i="1"/>
  <c r="AT881" i="1"/>
  <c r="AT882" i="1"/>
  <c r="AT883" i="1"/>
  <c r="AT884" i="1"/>
  <c r="AT885" i="1"/>
  <c r="AT886" i="1"/>
  <c r="AT887" i="1"/>
  <c r="AT888" i="1"/>
  <c r="AT889" i="1"/>
  <c r="AT890" i="1"/>
  <c r="AT891" i="1"/>
  <c r="AT892" i="1"/>
  <c r="AT893" i="1"/>
  <c r="AT894" i="1"/>
  <c r="AT895" i="1"/>
  <c r="AT896" i="1"/>
  <c r="AT897" i="1"/>
  <c r="AT898" i="1"/>
  <c r="AT899" i="1"/>
  <c r="AT900" i="1"/>
  <c r="AT901" i="1"/>
  <c r="AT902" i="1"/>
  <c r="AT903" i="1"/>
  <c r="AT904" i="1"/>
  <c r="AT905" i="1"/>
  <c r="AT906" i="1"/>
  <c r="AT907" i="1"/>
  <c r="AT908" i="1"/>
  <c r="AT909" i="1"/>
  <c r="AT910" i="1"/>
  <c r="AT911" i="1"/>
  <c r="AT912" i="1"/>
  <c r="AT913" i="1"/>
  <c r="AT914" i="1"/>
  <c r="AT915" i="1"/>
  <c r="AT916" i="1"/>
  <c r="AT917" i="1"/>
  <c r="AT918" i="1"/>
  <c r="AT919" i="1"/>
  <c r="AT920" i="1"/>
  <c r="AT921" i="1"/>
  <c r="AT922" i="1"/>
  <c r="AT923" i="1"/>
  <c r="AT924" i="1"/>
  <c r="AT925" i="1"/>
  <c r="AT926" i="1"/>
  <c r="AT927" i="1"/>
  <c r="AT928" i="1"/>
  <c r="AT929" i="1"/>
  <c r="AT930" i="1"/>
  <c r="AT931" i="1"/>
  <c r="AT932" i="1"/>
  <c r="AT933" i="1"/>
  <c r="AT934" i="1"/>
  <c r="AT935" i="1"/>
  <c r="AT936" i="1"/>
  <c r="AT937" i="1"/>
  <c r="AT938" i="1"/>
  <c r="AT939" i="1"/>
  <c r="AT940" i="1"/>
  <c r="AT941" i="1"/>
  <c r="AT942" i="1"/>
  <c r="AT943" i="1"/>
  <c r="AT944" i="1"/>
  <c r="AT945" i="1"/>
  <c r="AT946" i="1"/>
  <c r="AT947" i="1"/>
  <c r="AT948" i="1"/>
  <c r="AT949" i="1"/>
  <c r="AT950" i="1"/>
  <c r="AT951" i="1"/>
  <c r="AT952" i="1"/>
  <c r="AT953" i="1"/>
  <c r="AT954" i="1"/>
  <c r="AT955" i="1"/>
  <c r="AT956" i="1"/>
  <c r="AT957" i="1"/>
  <c r="AT958" i="1"/>
  <c r="AT959" i="1"/>
  <c r="AT960" i="1"/>
  <c r="AT961" i="1"/>
  <c r="AT962" i="1"/>
  <c r="AT963" i="1"/>
  <c r="AT964" i="1"/>
  <c r="AT965" i="1"/>
  <c r="AT966" i="1"/>
  <c r="AT967" i="1"/>
  <c r="AT968" i="1"/>
  <c r="AT969" i="1"/>
  <c r="AT970" i="1"/>
  <c r="AT971" i="1"/>
  <c r="AT972" i="1"/>
  <c r="AT973" i="1"/>
  <c r="AT974" i="1"/>
  <c r="AT975" i="1"/>
  <c r="AT976" i="1"/>
  <c r="AT977" i="1"/>
  <c r="AT978" i="1"/>
  <c r="AT979" i="1"/>
  <c r="AT980" i="1"/>
  <c r="AT981" i="1"/>
  <c r="AT982" i="1"/>
  <c r="AT983" i="1"/>
  <c r="AT984" i="1"/>
  <c r="AT985" i="1"/>
  <c r="AT986" i="1"/>
  <c r="AT987" i="1"/>
  <c r="AT988" i="1"/>
  <c r="AT989" i="1"/>
  <c r="AT990" i="1"/>
  <c r="AT991" i="1"/>
  <c r="AT992" i="1"/>
  <c r="AT993" i="1"/>
  <c r="AT994" i="1"/>
  <c r="AT995" i="1"/>
  <c r="AT996" i="1"/>
  <c r="AT997" i="1"/>
  <c r="AT998" i="1"/>
  <c r="AT999" i="1"/>
  <c r="AT1000" i="1"/>
  <c r="AT1001" i="1"/>
  <c r="AT1002" i="1"/>
  <c r="AT1003" i="1"/>
  <c r="AT1004" i="1"/>
  <c r="AT1005" i="1"/>
  <c r="AT1006" i="1"/>
  <c r="AT1007" i="1"/>
  <c r="AT1008" i="1"/>
  <c r="AT1009" i="1"/>
  <c r="AT1010" i="1"/>
  <c r="AT1011" i="1"/>
  <c r="AT1012" i="1"/>
  <c r="AT1013" i="1"/>
  <c r="AT1014" i="1"/>
  <c r="AT1015" i="1"/>
  <c r="AT1016" i="1"/>
  <c r="AT1017" i="1"/>
  <c r="AT1018" i="1"/>
  <c r="AT1019" i="1"/>
  <c r="AT1020" i="1"/>
  <c r="AT1021" i="1"/>
  <c r="AT1022" i="1"/>
  <c r="AT1023" i="1"/>
  <c r="AT1024" i="1"/>
  <c r="AT1025" i="1"/>
  <c r="AT1026" i="1"/>
  <c r="AT1027" i="1"/>
  <c r="AT1028" i="1"/>
  <c r="AT1029" i="1"/>
  <c r="AT1030" i="1"/>
  <c r="AT1031" i="1"/>
  <c r="AT1032" i="1"/>
  <c r="AT1033" i="1"/>
  <c r="AT1034" i="1"/>
  <c r="AT1035" i="1"/>
  <c r="AT1036" i="1"/>
  <c r="AT1037" i="1"/>
  <c r="AT1038" i="1"/>
  <c r="AT1039" i="1"/>
  <c r="AT1040" i="1"/>
  <c r="AT1041" i="1"/>
  <c r="AT1042" i="1"/>
  <c r="AT1043" i="1"/>
  <c r="AT1044" i="1"/>
  <c r="AT1045" i="1"/>
  <c r="AT1046" i="1"/>
  <c r="AT1047" i="1"/>
  <c r="AT1048" i="1"/>
  <c r="AT1049" i="1"/>
  <c r="AT1050" i="1"/>
  <c r="AT1051" i="1"/>
  <c r="AT1052" i="1"/>
  <c r="AT1053" i="1"/>
  <c r="AT1054" i="1"/>
  <c r="AT1055" i="1"/>
  <c r="AT1056" i="1"/>
  <c r="AT1057" i="1"/>
  <c r="AT1058" i="1"/>
  <c r="AT1059" i="1"/>
  <c r="AT1060" i="1"/>
  <c r="AT1061" i="1"/>
  <c r="AT1062" i="1"/>
  <c r="AT1063" i="1"/>
  <c r="AT1064" i="1"/>
  <c r="AT1065" i="1"/>
  <c r="AT1066" i="1"/>
  <c r="AT1067" i="1"/>
  <c r="AT1068" i="1"/>
  <c r="AT1069" i="1"/>
  <c r="AT1070" i="1"/>
  <c r="AT1071" i="1"/>
  <c r="AT1072" i="1"/>
  <c r="AT1073" i="1"/>
  <c r="AT1074" i="1"/>
  <c r="AT1075" i="1"/>
  <c r="AT1076" i="1"/>
  <c r="AT1077" i="1"/>
  <c r="AT1078" i="1"/>
  <c r="AT1079" i="1"/>
  <c r="AT1080" i="1"/>
  <c r="AT1081" i="1"/>
  <c r="AT1082" i="1"/>
  <c r="AT1083" i="1"/>
  <c r="AT1084" i="1"/>
  <c r="AT1085" i="1"/>
  <c r="AT1086" i="1"/>
  <c r="AT1087" i="1"/>
  <c r="AT1088" i="1"/>
  <c r="AT1089" i="1"/>
  <c r="AT1090" i="1"/>
  <c r="AT1091" i="1"/>
  <c r="AT1092" i="1"/>
  <c r="AT1093" i="1"/>
  <c r="AT1094" i="1"/>
  <c r="AT1095" i="1"/>
  <c r="AT1096" i="1"/>
  <c r="AT1097" i="1"/>
  <c r="AT1098" i="1"/>
  <c r="AT1099" i="1"/>
  <c r="AT1100" i="1"/>
  <c r="AT1101" i="1"/>
  <c r="AT1102" i="1"/>
  <c r="AT1103" i="1"/>
  <c r="AT1104" i="1"/>
  <c r="AT1105" i="1"/>
  <c r="AT1106" i="1"/>
  <c r="AT1107" i="1"/>
  <c r="AT1108" i="1"/>
  <c r="AT1109" i="1"/>
  <c r="AT1110" i="1"/>
  <c r="AT1111" i="1"/>
  <c r="AT1112" i="1"/>
  <c r="AT1113" i="1"/>
  <c r="AT1114" i="1"/>
  <c r="AT1115" i="1"/>
  <c r="AT1116" i="1"/>
  <c r="AT1117" i="1"/>
  <c r="AT1118" i="1"/>
  <c r="AT1119" i="1"/>
  <c r="AT1120" i="1"/>
  <c r="AT1121" i="1"/>
  <c r="AT1122" i="1"/>
  <c r="AT1123" i="1"/>
  <c r="AT1124" i="1"/>
  <c r="AT1125" i="1"/>
  <c r="AT1126" i="1"/>
  <c r="AT1127" i="1"/>
  <c r="AT1128" i="1"/>
  <c r="AT1129" i="1"/>
  <c r="AT1130" i="1"/>
  <c r="AT1131" i="1"/>
  <c r="AT1132" i="1"/>
  <c r="AT1133" i="1"/>
  <c r="AT1134" i="1"/>
  <c r="AT1135" i="1"/>
  <c r="AT1136" i="1"/>
  <c r="AT1137" i="1"/>
  <c r="AT1138" i="1"/>
  <c r="AT1139" i="1"/>
  <c r="AT1140" i="1"/>
  <c r="AT1141" i="1"/>
  <c r="AT1142" i="1"/>
  <c r="AT1143" i="1"/>
  <c r="AT1144" i="1"/>
  <c r="AT1145" i="1"/>
  <c r="AT1146" i="1"/>
  <c r="AT1147" i="1"/>
  <c r="AT1148" i="1"/>
  <c r="AT1149" i="1"/>
  <c r="AT1150" i="1"/>
  <c r="AT1151" i="1"/>
  <c r="AT1152" i="1"/>
  <c r="AT1153" i="1"/>
  <c r="AT1154" i="1"/>
  <c r="AT1155" i="1"/>
  <c r="AT1156" i="1"/>
  <c r="AT1157" i="1"/>
  <c r="AT1158" i="1"/>
  <c r="AT1159" i="1"/>
  <c r="AT1160" i="1"/>
  <c r="AT1161" i="1"/>
  <c r="AT1162" i="1"/>
  <c r="AT1163" i="1"/>
  <c r="AT1164" i="1"/>
  <c r="AT1165" i="1"/>
  <c r="AT1166" i="1"/>
  <c r="AT1167" i="1"/>
  <c r="AT1168" i="1"/>
  <c r="AT1169" i="1"/>
  <c r="AT1170" i="1"/>
  <c r="AT1171" i="1"/>
  <c r="AT1172" i="1"/>
  <c r="AT1173" i="1"/>
  <c r="AT1174" i="1"/>
  <c r="AT1175" i="1"/>
  <c r="AT1176" i="1"/>
  <c r="AT1177" i="1"/>
  <c r="AT1178" i="1"/>
  <c r="AT1179" i="1"/>
  <c r="AT1180" i="1"/>
  <c r="AT1181" i="1"/>
  <c r="AT1182" i="1"/>
  <c r="AT1183" i="1"/>
  <c r="AT1184" i="1"/>
  <c r="AT1185" i="1"/>
  <c r="AT1186" i="1"/>
  <c r="AT1187" i="1"/>
  <c r="AT1188" i="1"/>
  <c r="AT1189" i="1"/>
  <c r="AT1190" i="1"/>
  <c r="AT1191" i="1"/>
  <c r="AT1192" i="1"/>
  <c r="AT1193" i="1"/>
  <c r="AT1194" i="1"/>
  <c r="AT1195" i="1"/>
  <c r="AT1196" i="1"/>
  <c r="AT1197" i="1"/>
  <c r="AT1198" i="1"/>
  <c r="AT1199" i="1"/>
  <c r="AT1200" i="1"/>
  <c r="AT1201" i="1"/>
  <c r="AT1202" i="1"/>
  <c r="AT1203" i="1"/>
  <c r="AT1204" i="1"/>
  <c r="AT1205" i="1"/>
  <c r="AT1206" i="1"/>
  <c r="AT1207" i="1"/>
  <c r="AT1208" i="1"/>
  <c r="AT1209" i="1"/>
  <c r="AT1210" i="1"/>
  <c r="AT1211" i="1"/>
  <c r="AT1212" i="1"/>
  <c r="AT1213" i="1"/>
  <c r="AT1214" i="1"/>
  <c r="AT1215" i="1"/>
  <c r="AT1216" i="1"/>
  <c r="AT1217" i="1"/>
  <c r="AT1218" i="1"/>
  <c r="AT1219" i="1"/>
  <c r="AT1220" i="1"/>
  <c r="AT1221" i="1"/>
  <c r="AT1222" i="1"/>
  <c r="AT1223" i="1"/>
  <c r="AT1224" i="1"/>
  <c r="AT1225" i="1"/>
  <c r="AT1226" i="1"/>
  <c r="AT1227" i="1"/>
  <c r="AT1228" i="1"/>
  <c r="AT1229" i="1"/>
  <c r="AT1230" i="1"/>
  <c r="AT1231" i="1"/>
  <c r="AT1232" i="1"/>
  <c r="AT1233" i="1"/>
  <c r="AT1234" i="1"/>
  <c r="AT1235" i="1"/>
  <c r="AT1236" i="1"/>
  <c r="AT1237" i="1"/>
  <c r="AT1238" i="1"/>
  <c r="AT1239" i="1"/>
  <c r="AT1240" i="1"/>
  <c r="AT1241" i="1"/>
  <c r="AT1242" i="1"/>
  <c r="AT1243" i="1"/>
  <c r="AT1244" i="1"/>
  <c r="AT1245" i="1"/>
  <c r="AT1246" i="1"/>
  <c r="AT1247" i="1"/>
  <c r="AT1248" i="1"/>
  <c r="AT1249" i="1"/>
  <c r="AT1250" i="1"/>
  <c r="AT1251" i="1"/>
  <c r="AT1252" i="1"/>
  <c r="AT1253" i="1"/>
  <c r="AT1254" i="1"/>
  <c r="AT1255" i="1"/>
  <c r="AT1256" i="1"/>
  <c r="AT1257" i="1"/>
  <c r="AT1258" i="1"/>
  <c r="AT1259" i="1"/>
  <c r="AT1260" i="1"/>
  <c r="AT1261" i="1"/>
  <c r="AT1262" i="1"/>
  <c r="AT1263" i="1"/>
  <c r="AT1264" i="1"/>
  <c r="AT1265" i="1"/>
  <c r="AT1266" i="1"/>
  <c r="AT1267" i="1"/>
  <c r="AT1268" i="1"/>
  <c r="AT1269" i="1"/>
  <c r="AT1270" i="1"/>
  <c r="AT1271" i="1"/>
  <c r="AT1272" i="1"/>
  <c r="AT1273" i="1"/>
  <c r="AT1274" i="1"/>
  <c r="AT1275" i="1"/>
  <c r="AT1276" i="1"/>
  <c r="AE44" i="1"/>
  <c r="AS44" i="1" s="1"/>
  <c r="AE45" i="1"/>
  <c r="AS45" i="1" s="1"/>
  <c r="AE46" i="1"/>
  <c r="AS46" i="1" s="1"/>
  <c r="AE47" i="1"/>
  <c r="AS47" i="1" s="1"/>
  <c r="AE48" i="1"/>
  <c r="AS48" i="1" s="1"/>
  <c r="AE49" i="1"/>
  <c r="AS49" i="1" s="1"/>
  <c r="AE50" i="1"/>
  <c r="AS50" i="1" s="1"/>
  <c r="AE51" i="1"/>
  <c r="AS51" i="1" s="1"/>
  <c r="AE52" i="1"/>
  <c r="AS52" i="1" s="1"/>
  <c r="AE53" i="1"/>
  <c r="AS53" i="1" s="1"/>
  <c r="AE54" i="1"/>
  <c r="AS54" i="1" s="1"/>
  <c r="AE55" i="1"/>
  <c r="AS55" i="1" s="1"/>
  <c r="AE56" i="1"/>
  <c r="AS56" i="1" s="1"/>
  <c r="AE57" i="1"/>
  <c r="AS57" i="1" s="1"/>
  <c r="AE58" i="1"/>
  <c r="AS58" i="1" s="1"/>
  <c r="AE59" i="1"/>
  <c r="AS59" i="1" s="1"/>
  <c r="AE60" i="1"/>
  <c r="AS60" i="1" s="1"/>
  <c r="AE61" i="1"/>
  <c r="AS61" i="1" s="1"/>
  <c r="AE62" i="1"/>
  <c r="AS62" i="1" s="1"/>
  <c r="AE63" i="1"/>
  <c r="AS63" i="1" s="1"/>
  <c r="AE64" i="1"/>
  <c r="AS64" i="1" s="1"/>
  <c r="AE65" i="1"/>
  <c r="AS65" i="1" s="1"/>
  <c r="AE66" i="1"/>
  <c r="AS66" i="1" s="1"/>
  <c r="AE67" i="1"/>
  <c r="AS67" i="1" s="1"/>
  <c r="AE68" i="1"/>
  <c r="AS68" i="1" s="1"/>
  <c r="AE69" i="1"/>
  <c r="AS69" i="1" s="1"/>
  <c r="AE70" i="1"/>
  <c r="AS70" i="1" s="1"/>
  <c r="AE71" i="1"/>
  <c r="AS71" i="1" s="1"/>
  <c r="AE72" i="1"/>
  <c r="AS72" i="1" s="1"/>
  <c r="AE73" i="1"/>
  <c r="AS73" i="1" s="1"/>
  <c r="AE74" i="1"/>
  <c r="AS74" i="1" s="1"/>
  <c r="AE75" i="1"/>
  <c r="AE76" i="1"/>
  <c r="AS76" i="1" s="1"/>
  <c r="AE77" i="1"/>
  <c r="AS77" i="1" s="1"/>
  <c r="AE78" i="1"/>
  <c r="AS78" i="1" s="1"/>
  <c r="AE79" i="1"/>
  <c r="AS79" i="1" s="1"/>
  <c r="AE80" i="1"/>
  <c r="AS80" i="1" s="1"/>
  <c r="AE81" i="1"/>
  <c r="AS81" i="1" s="1"/>
  <c r="AE82" i="1"/>
  <c r="AS82" i="1" s="1"/>
  <c r="AE83" i="1"/>
  <c r="AS83" i="1" s="1"/>
  <c r="AE84" i="1"/>
  <c r="AS84" i="1" s="1"/>
  <c r="AE85" i="1"/>
  <c r="AS85" i="1" s="1"/>
  <c r="AE86" i="1"/>
  <c r="AS86" i="1" s="1"/>
  <c r="AE87" i="1"/>
  <c r="AS87" i="1" s="1"/>
  <c r="AE88" i="1"/>
  <c r="AS88" i="1" s="1"/>
  <c r="AE89" i="1"/>
  <c r="AS89" i="1" s="1"/>
  <c r="AE90" i="1"/>
  <c r="AS90" i="1" s="1"/>
  <c r="AE91" i="1"/>
  <c r="AS91" i="1" s="1"/>
  <c r="AE92" i="1"/>
  <c r="AS92" i="1" s="1"/>
  <c r="AE93" i="1"/>
  <c r="AS93" i="1" s="1"/>
  <c r="AE94" i="1"/>
  <c r="AS94" i="1" s="1"/>
  <c r="AE95" i="1"/>
  <c r="AS95" i="1" s="1"/>
  <c r="AE96" i="1"/>
  <c r="AS96" i="1" s="1"/>
  <c r="AE97" i="1"/>
  <c r="AS97" i="1" s="1"/>
  <c r="AE98" i="1"/>
  <c r="AS98" i="1" s="1"/>
  <c r="AE99" i="1"/>
  <c r="AS99" i="1" s="1"/>
  <c r="AE100" i="1"/>
  <c r="AS100" i="1" s="1"/>
  <c r="AE101" i="1"/>
  <c r="AS101" i="1" s="1"/>
  <c r="AE102" i="1"/>
  <c r="AS102" i="1" s="1"/>
  <c r="AE103" i="1"/>
  <c r="AS103" i="1" s="1"/>
  <c r="AE104" i="1"/>
  <c r="AS104" i="1" s="1"/>
  <c r="AE105" i="1"/>
  <c r="AS105" i="1" s="1"/>
  <c r="AE106" i="1"/>
  <c r="AS106" i="1" s="1"/>
  <c r="AE107" i="1"/>
  <c r="AS107" i="1" s="1"/>
  <c r="AE108" i="1"/>
  <c r="AS108" i="1" s="1"/>
  <c r="AE109" i="1"/>
  <c r="AS109" i="1" s="1"/>
  <c r="AE110" i="1"/>
  <c r="AS110" i="1" s="1"/>
  <c r="AE111" i="1"/>
  <c r="AS111" i="1" s="1"/>
  <c r="AE112" i="1"/>
  <c r="AS112" i="1" s="1"/>
  <c r="AE113" i="1"/>
  <c r="AS113" i="1" s="1"/>
  <c r="AE114" i="1"/>
  <c r="AS114" i="1" s="1"/>
  <c r="AE115" i="1"/>
  <c r="AS115" i="1" s="1"/>
  <c r="AE116" i="1"/>
  <c r="AS116" i="1" s="1"/>
  <c r="AE117" i="1"/>
  <c r="AS117" i="1" s="1"/>
  <c r="AE118" i="1"/>
  <c r="AS118" i="1" s="1"/>
  <c r="AE119" i="1"/>
  <c r="AS119" i="1" s="1"/>
  <c r="AE120" i="1"/>
  <c r="AS120" i="1" s="1"/>
  <c r="AE121" i="1"/>
  <c r="AS121" i="1" s="1"/>
  <c r="AE122" i="1"/>
  <c r="AS122" i="1" s="1"/>
  <c r="AE123" i="1"/>
  <c r="AS123" i="1" s="1"/>
  <c r="AE124" i="1"/>
  <c r="AS124" i="1" s="1"/>
  <c r="AE125" i="1"/>
  <c r="AS125" i="1" s="1"/>
  <c r="AE126" i="1"/>
  <c r="AS126" i="1" s="1"/>
  <c r="AE127" i="1"/>
  <c r="AS127" i="1" s="1"/>
  <c r="AE128" i="1"/>
  <c r="AS128" i="1" s="1"/>
  <c r="AE129" i="1"/>
  <c r="AS129" i="1" s="1"/>
  <c r="AE130" i="1"/>
  <c r="AS130" i="1" s="1"/>
  <c r="AE131" i="1"/>
  <c r="AS131" i="1" s="1"/>
  <c r="AE132" i="1"/>
  <c r="AS132" i="1" s="1"/>
  <c r="AE133" i="1"/>
  <c r="AS133" i="1" s="1"/>
  <c r="AE134" i="1"/>
  <c r="AS134" i="1" s="1"/>
  <c r="AE135" i="1"/>
  <c r="AS135" i="1" s="1"/>
  <c r="AE136" i="1"/>
  <c r="AS136" i="1" s="1"/>
  <c r="AE137" i="1"/>
  <c r="AS137" i="1" s="1"/>
  <c r="AE138" i="1"/>
  <c r="AS138" i="1" s="1"/>
  <c r="AE139" i="1"/>
  <c r="AS139" i="1" s="1"/>
  <c r="AE140" i="1"/>
  <c r="AS140" i="1" s="1"/>
  <c r="AE141" i="1"/>
  <c r="AS141" i="1" s="1"/>
  <c r="AE142" i="1"/>
  <c r="AS142" i="1" s="1"/>
  <c r="AE143" i="1"/>
  <c r="AS143" i="1" s="1"/>
  <c r="AE144" i="1"/>
  <c r="AS144" i="1" s="1"/>
  <c r="AE145" i="1"/>
  <c r="AS145" i="1" s="1"/>
  <c r="AE146" i="1"/>
  <c r="AS146" i="1" s="1"/>
  <c r="AE147" i="1"/>
  <c r="AS147" i="1" s="1"/>
  <c r="AE148" i="1"/>
  <c r="AE149" i="1"/>
  <c r="AE150" i="1"/>
  <c r="AS150" i="1" s="1"/>
  <c r="AE151" i="1"/>
  <c r="AS151" i="1" s="1"/>
  <c r="AE152" i="1"/>
  <c r="AE153" i="1"/>
  <c r="AE154" i="1"/>
  <c r="AE155" i="1"/>
  <c r="AE156" i="1"/>
  <c r="AS156" i="1" s="1"/>
  <c r="AE157" i="1"/>
  <c r="AE158" i="1"/>
  <c r="AE159" i="1"/>
  <c r="AS159" i="1" s="1"/>
  <c r="AE160" i="1"/>
  <c r="AS160" i="1" s="1"/>
  <c r="AE161" i="1"/>
  <c r="AE162" i="1"/>
  <c r="AS162" i="1" s="1"/>
  <c r="AE163" i="1"/>
  <c r="AS163" i="1" s="1"/>
  <c r="AE164" i="1"/>
  <c r="AS164" i="1" s="1"/>
  <c r="AE165" i="1"/>
  <c r="AS165" i="1" s="1"/>
  <c r="AE166" i="1"/>
  <c r="AS166" i="1" s="1"/>
  <c r="AE167" i="1"/>
  <c r="AS167" i="1" s="1"/>
  <c r="AE168" i="1"/>
  <c r="AS168" i="1" s="1"/>
  <c r="AE169" i="1"/>
  <c r="AS169" i="1" s="1"/>
  <c r="AE170" i="1"/>
  <c r="AS170" i="1" s="1"/>
  <c r="AE171" i="1"/>
  <c r="AS171" i="1" s="1"/>
  <c r="AE172" i="1"/>
  <c r="AE173" i="1"/>
  <c r="AS173" i="1" s="1"/>
  <c r="AE174" i="1"/>
  <c r="AS174" i="1" s="1"/>
  <c r="AE175" i="1"/>
  <c r="AS175" i="1" s="1"/>
  <c r="AE176" i="1"/>
  <c r="AS176" i="1" s="1"/>
  <c r="AE177" i="1"/>
  <c r="AS177" i="1" s="1"/>
  <c r="AE178" i="1"/>
  <c r="AS178" i="1" s="1"/>
  <c r="AE179" i="1"/>
  <c r="AS179" i="1" s="1"/>
  <c r="AE180" i="1"/>
  <c r="AS180" i="1" s="1"/>
  <c r="AE181" i="1"/>
  <c r="AS181" i="1" s="1"/>
  <c r="AE182" i="1"/>
  <c r="AS182" i="1" s="1"/>
  <c r="AE183" i="1"/>
  <c r="AS183" i="1" s="1"/>
  <c r="AE184" i="1"/>
  <c r="AS184" i="1" s="1"/>
  <c r="AE185" i="1"/>
  <c r="AS185" i="1" s="1"/>
  <c r="AE186" i="1"/>
  <c r="AS186" i="1" s="1"/>
  <c r="AE187" i="1"/>
  <c r="AS187" i="1" s="1"/>
  <c r="AE188" i="1"/>
  <c r="AS188" i="1" s="1"/>
  <c r="AE189" i="1"/>
  <c r="AS189" i="1" s="1"/>
  <c r="AE190" i="1"/>
  <c r="AS190" i="1" s="1"/>
  <c r="AE191" i="1"/>
  <c r="AS191" i="1" s="1"/>
  <c r="AE192" i="1"/>
  <c r="AS192" i="1" s="1"/>
  <c r="AE193" i="1"/>
  <c r="AS193" i="1" s="1"/>
  <c r="AE194" i="1"/>
  <c r="AS194" i="1" s="1"/>
  <c r="AE195" i="1"/>
  <c r="AE196" i="1"/>
  <c r="AS196" i="1" s="1"/>
  <c r="AE197" i="1"/>
  <c r="AS197" i="1" s="1"/>
  <c r="AE198" i="1"/>
  <c r="AS198" i="1" s="1"/>
  <c r="AE199" i="1"/>
  <c r="AS199" i="1" s="1"/>
  <c r="AE200" i="1"/>
  <c r="AS200" i="1" s="1"/>
  <c r="AE201" i="1"/>
  <c r="AS201" i="1" s="1"/>
  <c r="AE202" i="1"/>
  <c r="AS202" i="1" s="1"/>
  <c r="AE203" i="1"/>
  <c r="AS203" i="1" s="1"/>
  <c r="AE204" i="1"/>
  <c r="AS204" i="1" s="1"/>
  <c r="AE205" i="1"/>
  <c r="AS205" i="1" s="1"/>
  <c r="AE206" i="1"/>
  <c r="AS206" i="1" s="1"/>
  <c r="AE207" i="1"/>
  <c r="AS207" i="1" s="1"/>
  <c r="AE208" i="1"/>
  <c r="AE209" i="1"/>
  <c r="AS209" i="1" s="1"/>
  <c r="AE210" i="1"/>
  <c r="AS210" i="1" s="1"/>
  <c r="AE211" i="1"/>
  <c r="AS211" i="1" s="1"/>
  <c r="AE212" i="1"/>
  <c r="AS212" i="1" s="1"/>
  <c r="AE213" i="1"/>
  <c r="AS213" i="1" s="1"/>
  <c r="AE214" i="1"/>
  <c r="AS214" i="1" s="1"/>
  <c r="AE215" i="1"/>
  <c r="AS215" i="1" s="1"/>
  <c r="AE216" i="1"/>
  <c r="AS216" i="1" s="1"/>
  <c r="AE217" i="1"/>
  <c r="AS217" i="1" s="1"/>
  <c r="AE218" i="1"/>
  <c r="AS218" i="1" s="1"/>
  <c r="AE219" i="1"/>
  <c r="AS219" i="1" s="1"/>
  <c r="AE220" i="1"/>
  <c r="AS220" i="1" s="1"/>
  <c r="AE221" i="1"/>
  <c r="AS221" i="1" s="1"/>
  <c r="AE222" i="1"/>
  <c r="AS222" i="1" s="1"/>
  <c r="AE223" i="1"/>
  <c r="AS223" i="1" s="1"/>
  <c r="AE224" i="1"/>
  <c r="AS224" i="1" s="1"/>
  <c r="AE225" i="1"/>
  <c r="AS225" i="1" s="1"/>
  <c r="AE226" i="1"/>
  <c r="AS226" i="1" s="1"/>
  <c r="AE227" i="1"/>
  <c r="AS227" i="1" s="1"/>
  <c r="AE228" i="1"/>
  <c r="AS228" i="1" s="1"/>
  <c r="AE229" i="1"/>
  <c r="AS229" i="1" s="1"/>
  <c r="AE230" i="1"/>
  <c r="AS230" i="1" s="1"/>
  <c r="AE231" i="1"/>
  <c r="AS231" i="1" s="1"/>
  <c r="AE232" i="1"/>
  <c r="AS232" i="1" s="1"/>
  <c r="AE233" i="1"/>
  <c r="AS233" i="1" s="1"/>
  <c r="AE234" i="1"/>
  <c r="AS234" i="1" s="1"/>
  <c r="AE235" i="1"/>
  <c r="AS235" i="1" s="1"/>
  <c r="AE236" i="1"/>
  <c r="AS236" i="1" s="1"/>
  <c r="AE237" i="1"/>
  <c r="AS237" i="1" s="1"/>
  <c r="AE238" i="1"/>
  <c r="AS238" i="1" s="1"/>
  <c r="AE239" i="1"/>
  <c r="AS239" i="1" s="1"/>
  <c r="AE240" i="1"/>
  <c r="AS240" i="1" s="1"/>
  <c r="AE241" i="1"/>
  <c r="AS241" i="1" s="1"/>
  <c r="AE242" i="1"/>
  <c r="AS242" i="1" s="1"/>
  <c r="AE243" i="1"/>
  <c r="AS243" i="1" s="1"/>
  <c r="AE244" i="1"/>
  <c r="AS244" i="1" s="1"/>
  <c r="AE245" i="1"/>
  <c r="AS245" i="1" s="1"/>
  <c r="AE246" i="1"/>
  <c r="AS246" i="1" s="1"/>
  <c r="AE247" i="1"/>
  <c r="AS247" i="1" s="1"/>
  <c r="AE248" i="1"/>
  <c r="AS248" i="1" s="1"/>
  <c r="AE249" i="1"/>
  <c r="AE250" i="1"/>
  <c r="AS250" i="1" s="1"/>
  <c r="AE251" i="1"/>
  <c r="AS251" i="1" s="1"/>
  <c r="AE252" i="1"/>
  <c r="AS252" i="1" s="1"/>
  <c r="AE253" i="1"/>
  <c r="AS253" i="1" s="1"/>
  <c r="AE254" i="1"/>
  <c r="AS254" i="1" s="1"/>
  <c r="AE255" i="1"/>
  <c r="AS255" i="1" s="1"/>
  <c r="AE256" i="1"/>
  <c r="AS256" i="1" s="1"/>
  <c r="AE257" i="1"/>
  <c r="AS257" i="1" s="1"/>
  <c r="AE258" i="1"/>
  <c r="AS258" i="1" s="1"/>
  <c r="AE259" i="1"/>
  <c r="AS259" i="1" s="1"/>
  <c r="AE260" i="1"/>
  <c r="AS260" i="1" s="1"/>
  <c r="AE261" i="1"/>
  <c r="AS261" i="1" s="1"/>
  <c r="AE262" i="1"/>
  <c r="AS262" i="1" s="1"/>
  <c r="AE263" i="1"/>
  <c r="AS263" i="1" s="1"/>
  <c r="AE264" i="1"/>
  <c r="AS264" i="1" s="1"/>
  <c r="AE265" i="1"/>
  <c r="AS265" i="1" s="1"/>
  <c r="AE266" i="1"/>
  <c r="AS266" i="1" s="1"/>
  <c r="AE267" i="1"/>
  <c r="AS267" i="1" s="1"/>
  <c r="AE268" i="1"/>
  <c r="AE269" i="1"/>
  <c r="AS269" i="1" s="1"/>
  <c r="AE270" i="1"/>
  <c r="AS270" i="1" s="1"/>
  <c r="AE271" i="1"/>
  <c r="AS271" i="1" s="1"/>
  <c r="AE272" i="1"/>
  <c r="AS272" i="1" s="1"/>
  <c r="AE273" i="1"/>
  <c r="AS273" i="1" s="1"/>
  <c r="AE274" i="1"/>
  <c r="AS274" i="1" s="1"/>
  <c r="AE275" i="1"/>
  <c r="AS275" i="1" s="1"/>
  <c r="AE276" i="1"/>
  <c r="AS276" i="1" s="1"/>
  <c r="AE277" i="1"/>
  <c r="AS277" i="1" s="1"/>
  <c r="AE278" i="1"/>
  <c r="AS278" i="1" s="1"/>
  <c r="AE279" i="1"/>
  <c r="AE280" i="1"/>
  <c r="AS280" i="1" s="1"/>
  <c r="AE281" i="1"/>
  <c r="AS281" i="1" s="1"/>
  <c r="AE282" i="1"/>
  <c r="AS282" i="1" s="1"/>
  <c r="AE283" i="1"/>
  <c r="AS283" i="1" s="1"/>
  <c r="AE284" i="1"/>
  <c r="AS284" i="1" s="1"/>
  <c r="AE285" i="1"/>
  <c r="AS285" i="1" s="1"/>
  <c r="AE286" i="1"/>
  <c r="AS286" i="1" s="1"/>
  <c r="AE287" i="1"/>
  <c r="AS287" i="1" s="1"/>
  <c r="AE288" i="1"/>
  <c r="AS288" i="1" s="1"/>
  <c r="AE289" i="1"/>
  <c r="AS289" i="1" s="1"/>
  <c r="AE290" i="1"/>
  <c r="AS290" i="1" s="1"/>
  <c r="AE291" i="1"/>
  <c r="AS291" i="1" s="1"/>
  <c r="AE292" i="1"/>
  <c r="AS292" i="1" s="1"/>
  <c r="AE293" i="1"/>
  <c r="AS293" i="1" s="1"/>
  <c r="AE294" i="1"/>
  <c r="AS294" i="1" s="1"/>
  <c r="AE295" i="1"/>
  <c r="AS295" i="1" s="1"/>
  <c r="AE296" i="1"/>
  <c r="AS296" i="1" s="1"/>
  <c r="AE297" i="1"/>
  <c r="AS297" i="1" s="1"/>
  <c r="AE298" i="1"/>
  <c r="AS298" i="1" s="1"/>
  <c r="AE299" i="1"/>
  <c r="AS299" i="1" s="1"/>
  <c r="AE300" i="1"/>
  <c r="AS300" i="1" s="1"/>
  <c r="AE301" i="1"/>
  <c r="AS301" i="1" s="1"/>
  <c r="AE302" i="1"/>
  <c r="AS302" i="1" s="1"/>
  <c r="AE303" i="1"/>
  <c r="AS303" i="1" s="1"/>
  <c r="AE304" i="1"/>
  <c r="AS304" i="1" s="1"/>
  <c r="AE305" i="1"/>
  <c r="AS305" i="1" s="1"/>
  <c r="AE306" i="1"/>
  <c r="AS306" i="1" s="1"/>
  <c r="AE307" i="1"/>
  <c r="AS307" i="1" s="1"/>
  <c r="AE308" i="1"/>
  <c r="AS308" i="1" s="1"/>
  <c r="AE309" i="1"/>
  <c r="AS309" i="1" s="1"/>
  <c r="AE310" i="1"/>
  <c r="AS310" i="1" s="1"/>
  <c r="AE311" i="1"/>
  <c r="AS311" i="1" s="1"/>
  <c r="AE312" i="1"/>
  <c r="AS312" i="1" s="1"/>
  <c r="AE313" i="1"/>
  <c r="AS313" i="1" s="1"/>
  <c r="AE314" i="1"/>
  <c r="AS314" i="1" s="1"/>
  <c r="AE315" i="1"/>
  <c r="AS315" i="1" s="1"/>
  <c r="AE316" i="1"/>
  <c r="AS316" i="1" s="1"/>
  <c r="AE317" i="1"/>
  <c r="AS317" i="1" s="1"/>
  <c r="AE318" i="1"/>
  <c r="AS318" i="1" s="1"/>
  <c r="AE319" i="1"/>
  <c r="AS319" i="1" s="1"/>
  <c r="AE320" i="1"/>
  <c r="AS320" i="1" s="1"/>
  <c r="AE321" i="1"/>
  <c r="AS321" i="1" s="1"/>
  <c r="AE322" i="1"/>
  <c r="AS322" i="1" s="1"/>
  <c r="AE323" i="1"/>
  <c r="AS323" i="1" s="1"/>
  <c r="AE324" i="1"/>
  <c r="AS324" i="1" s="1"/>
  <c r="AE325" i="1"/>
  <c r="AS325" i="1" s="1"/>
  <c r="AE326" i="1"/>
  <c r="AS326" i="1" s="1"/>
  <c r="AE327" i="1"/>
  <c r="AS327" i="1" s="1"/>
  <c r="AE328" i="1"/>
  <c r="AE329" i="1"/>
  <c r="AS329" i="1" s="1"/>
  <c r="AE330" i="1"/>
  <c r="AS330" i="1" s="1"/>
  <c r="AE331" i="1"/>
  <c r="AS331" i="1" s="1"/>
  <c r="AE332" i="1"/>
  <c r="AS332" i="1" s="1"/>
  <c r="AE333" i="1"/>
  <c r="AS333" i="1" s="1"/>
  <c r="AE334" i="1"/>
  <c r="AS334" i="1" s="1"/>
  <c r="AE335" i="1"/>
  <c r="AS335" i="1" s="1"/>
  <c r="AE336" i="1"/>
  <c r="AS336" i="1" s="1"/>
  <c r="AE337" i="1"/>
  <c r="AS337" i="1" s="1"/>
  <c r="AE338" i="1"/>
  <c r="AS338" i="1" s="1"/>
  <c r="AE339" i="1"/>
  <c r="AS339" i="1" s="1"/>
  <c r="AE340" i="1"/>
  <c r="AS340" i="1" s="1"/>
  <c r="AE341" i="1"/>
  <c r="AS341" i="1" s="1"/>
  <c r="AE342" i="1"/>
  <c r="AS342" i="1" s="1"/>
  <c r="AE343" i="1"/>
  <c r="AS343" i="1" s="1"/>
  <c r="AE344" i="1"/>
  <c r="AS344" i="1" s="1"/>
  <c r="AE345" i="1"/>
  <c r="AE346" i="1"/>
  <c r="AS346" i="1" s="1"/>
  <c r="AE347" i="1"/>
  <c r="AS347" i="1" s="1"/>
  <c r="AE348" i="1"/>
  <c r="AS348" i="1" s="1"/>
  <c r="AE349" i="1"/>
  <c r="AE39" i="2" s="1"/>
  <c r="AE350" i="1"/>
  <c r="AS350" i="1" s="1"/>
  <c r="AE351" i="1"/>
  <c r="AS351" i="1" s="1"/>
  <c r="AE352" i="1"/>
  <c r="AS352" i="1" s="1"/>
  <c r="AE353" i="1"/>
  <c r="AS353" i="1" s="1"/>
  <c r="AE354" i="1"/>
  <c r="AS354" i="1" s="1"/>
  <c r="AE355" i="1"/>
  <c r="AS355" i="1" s="1"/>
  <c r="AE356" i="1"/>
  <c r="AS356" i="1" s="1"/>
  <c r="AE357" i="1"/>
  <c r="AS357" i="1" s="1"/>
  <c r="AE358" i="1"/>
  <c r="AS358" i="1" s="1"/>
  <c r="AE359" i="1"/>
  <c r="AS359" i="1" s="1"/>
  <c r="AE360" i="1"/>
  <c r="AS360" i="1" s="1"/>
  <c r="AE361" i="1"/>
  <c r="AS361" i="1" s="1"/>
  <c r="AE362" i="1"/>
  <c r="AS362" i="1" s="1"/>
  <c r="AE363" i="1"/>
  <c r="AS363" i="1" s="1"/>
  <c r="AE364" i="1"/>
  <c r="AS364" i="1" s="1"/>
  <c r="AE365" i="1"/>
  <c r="AS365" i="1" s="1"/>
  <c r="AE366" i="1"/>
  <c r="AS366" i="1" s="1"/>
  <c r="AE367" i="1"/>
  <c r="AS367" i="1" s="1"/>
  <c r="AE368" i="1"/>
  <c r="AS368" i="1" s="1"/>
  <c r="AE369" i="1"/>
  <c r="AS369" i="1" s="1"/>
  <c r="AE370" i="1"/>
  <c r="AS370" i="1" s="1"/>
  <c r="AE371" i="1"/>
  <c r="AS371" i="1" s="1"/>
  <c r="AE372" i="1"/>
  <c r="AS372" i="1" s="1"/>
  <c r="AE373" i="1"/>
  <c r="AS373" i="1" s="1"/>
  <c r="AE374" i="1"/>
  <c r="AS374" i="1" s="1"/>
  <c r="AE375" i="1"/>
  <c r="AS375" i="1" s="1"/>
  <c r="AE376" i="1"/>
  <c r="AS376" i="1" s="1"/>
  <c r="AE377" i="1"/>
  <c r="AS377" i="1" s="1"/>
  <c r="AE378" i="1"/>
  <c r="AS378" i="1" s="1"/>
  <c r="AE379" i="1"/>
  <c r="AS379" i="1" s="1"/>
  <c r="AE380" i="1"/>
  <c r="AS380" i="1" s="1"/>
  <c r="AE381" i="1"/>
  <c r="AS381" i="1" s="1"/>
  <c r="AE382" i="1"/>
  <c r="AS382" i="1" s="1"/>
  <c r="AE383" i="1"/>
  <c r="AS383" i="1" s="1"/>
  <c r="AE384" i="1"/>
  <c r="AS384" i="1" s="1"/>
  <c r="AE385" i="1"/>
  <c r="AS385" i="1" s="1"/>
  <c r="AE386" i="1"/>
  <c r="AS386" i="1" s="1"/>
  <c r="AE387" i="1"/>
  <c r="AS387" i="1" s="1"/>
  <c r="AE388" i="1"/>
  <c r="AS388" i="1" s="1"/>
  <c r="AE389" i="1"/>
  <c r="AS389" i="1" s="1"/>
  <c r="AE390" i="1"/>
  <c r="AS390" i="1" s="1"/>
  <c r="AE391" i="1"/>
  <c r="AS391" i="1" s="1"/>
  <c r="AE392" i="1"/>
  <c r="AS392" i="1" s="1"/>
  <c r="AE393" i="1"/>
  <c r="AS393" i="1" s="1"/>
  <c r="AE394" i="1"/>
  <c r="AS394" i="1" s="1"/>
  <c r="AE395" i="1"/>
  <c r="AS395" i="1" s="1"/>
  <c r="AE396" i="1"/>
  <c r="AE397" i="1"/>
  <c r="AS397" i="1" s="1"/>
  <c r="AE398" i="1"/>
  <c r="AS398" i="1" s="1"/>
  <c r="AE399" i="1"/>
  <c r="AS399" i="1" s="1"/>
  <c r="AE400" i="1"/>
  <c r="AS400" i="1" s="1"/>
  <c r="AE401" i="1"/>
  <c r="AS401" i="1" s="1"/>
  <c r="AE402" i="1"/>
  <c r="AS402" i="1" s="1"/>
  <c r="AE403" i="1"/>
  <c r="AS403" i="1" s="1"/>
  <c r="AE404" i="1"/>
  <c r="AS404" i="1" s="1"/>
  <c r="AE405" i="1"/>
  <c r="AS405" i="1" s="1"/>
  <c r="AE406" i="1"/>
  <c r="AS406" i="1" s="1"/>
  <c r="AE407" i="1"/>
  <c r="AS407" i="1" s="1"/>
  <c r="AE408" i="1"/>
  <c r="AS408" i="1" s="1"/>
  <c r="AE409" i="1"/>
  <c r="AS409" i="1" s="1"/>
  <c r="AE410" i="1"/>
  <c r="AS410" i="1" s="1"/>
  <c r="AE411" i="1"/>
  <c r="AS411" i="1" s="1"/>
  <c r="AE412" i="1"/>
  <c r="AS412" i="1" s="1"/>
  <c r="AE413" i="1"/>
  <c r="AS413" i="1" s="1"/>
  <c r="AE414" i="1"/>
  <c r="AS414" i="1" s="1"/>
  <c r="AE415" i="1"/>
  <c r="AS415" i="1" s="1"/>
  <c r="AE416" i="1"/>
  <c r="AS416" i="1" s="1"/>
  <c r="AE417" i="1"/>
  <c r="AS417" i="1" s="1"/>
  <c r="AE418" i="1"/>
  <c r="AE419" i="1"/>
  <c r="AS419" i="1" s="1"/>
  <c r="AE420" i="1"/>
  <c r="AS420" i="1" s="1"/>
  <c r="AE421" i="1"/>
  <c r="AS421" i="1" s="1"/>
  <c r="AE422" i="1"/>
  <c r="AS422" i="1" s="1"/>
  <c r="AE423" i="1"/>
  <c r="AS423" i="1" s="1"/>
  <c r="AE424" i="1"/>
  <c r="AS424" i="1" s="1"/>
  <c r="AE425" i="1"/>
  <c r="AS425" i="1" s="1"/>
  <c r="AE426" i="1"/>
  <c r="AE427" i="1"/>
  <c r="AE428" i="1"/>
  <c r="AS428" i="1" s="1"/>
  <c r="AE429" i="1"/>
  <c r="AS429" i="1" s="1"/>
  <c r="AE430" i="1"/>
  <c r="AS430" i="1" s="1"/>
  <c r="AE431" i="1"/>
  <c r="AS431" i="1" s="1"/>
  <c r="AE432" i="1"/>
  <c r="AS432" i="1" s="1"/>
  <c r="AE433" i="1"/>
  <c r="AE434" i="1"/>
  <c r="AS434" i="1" s="1"/>
  <c r="AE435" i="1"/>
  <c r="AS435" i="1" s="1"/>
  <c r="AE436" i="1"/>
  <c r="AS436" i="1" s="1"/>
  <c r="AE437" i="1"/>
  <c r="AS437" i="1" s="1"/>
  <c r="AE438" i="1"/>
  <c r="AS438" i="1" s="1"/>
  <c r="AE439" i="1"/>
  <c r="AS439" i="1" s="1"/>
  <c r="AE440" i="1"/>
  <c r="AS440" i="1" s="1"/>
  <c r="AE441" i="1"/>
  <c r="AS441" i="1" s="1"/>
  <c r="AE442" i="1"/>
  <c r="AS442" i="1" s="1"/>
  <c r="AE443" i="1"/>
  <c r="AS443" i="1" s="1"/>
  <c r="AE444" i="1"/>
  <c r="AS444" i="1" s="1"/>
  <c r="AE445" i="1"/>
  <c r="AS445" i="1" s="1"/>
  <c r="AE446" i="1"/>
  <c r="AS446" i="1" s="1"/>
  <c r="AE447" i="1"/>
  <c r="AS447" i="1" s="1"/>
  <c r="AE448" i="1"/>
  <c r="AS448" i="1" s="1"/>
  <c r="AE449" i="1"/>
  <c r="AS449" i="1" s="1"/>
  <c r="AE450" i="1"/>
  <c r="AS450" i="1" s="1"/>
  <c r="AE451" i="1"/>
  <c r="AS451" i="1" s="1"/>
  <c r="AE452" i="1"/>
  <c r="AS452" i="1" s="1"/>
  <c r="AE453" i="1"/>
  <c r="AS453" i="1" s="1"/>
  <c r="AE454" i="1"/>
  <c r="AS454" i="1" s="1"/>
  <c r="AE455" i="1"/>
  <c r="AS455" i="1" s="1"/>
  <c r="AE456" i="1"/>
  <c r="AS456" i="1" s="1"/>
  <c r="AE457" i="1"/>
  <c r="AS457" i="1" s="1"/>
  <c r="AE458" i="1"/>
  <c r="AS458" i="1" s="1"/>
  <c r="AE459" i="1"/>
  <c r="AS459" i="1" s="1"/>
  <c r="AE460" i="1"/>
  <c r="AS460" i="1" s="1"/>
  <c r="AE461" i="1"/>
  <c r="AS461" i="1" s="1"/>
  <c r="AE462" i="1"/>
  <c r="AS462" i="1" s="1"/>
  <c r="AE463" i="1"/>
  <c r="AS463" i="1" s="1"/>
  <c r="AE464" i="1"/>
  <c r="AS464" i="1" s="1"/>
  <c r="AE465" i="1"/>
  <c r="AE466" i="1"/>
  <c r="AS466" i="1" s="1"/>
  <c r="AE467" i="1"/>
  <c r="AE468" i="1"/>
  <c r="AS468" i="1" s="1"/>
  <c r="AE469" i="1"/>
  <c r="AS469" i="1" s="1"/>
  <c r="AE470" i="1"/>
  <c r="AS470" i="1" s="1"/>
  <c r="AE471" i="1"/>
  <c r="AS471" i="1" s="1"/>
  <c r="AE472" i="1"/>
  <c r="AS472" i="1" s="1"/>
  <c r="AE473" i="1"/>
  <c r="AS473" i="1" s="1"/>
  <c r="AE474" i="1"/>
  <c r="AS474" i="1" s="1"/>
  <c r="AE475" i="1"/>
  <c r="AS475" i="1" s="1"/>
  <c r="AE476" i="1"/>
  <c r="AS476" i="1" s="1"/>
  <c r="AE477" i="1"/>
  <c r="AS477" i="1" s="1"/>
  <c r="AE478" i="1"/>
  <c r="AS478" i="1" s="1"/>
  <c r="AE479" i="1"/>
  <c r="AS479" i="1" s="1"/>
  <c r="AE480" i="1"/>
  <c r="AS480" i="1" s="1"/>
  <c r="AE481" i="1"/>
  <c r="AS481" i="1" s="1"/>
  <c r="AE482" i="1"/>
  <c r="AS482" i="1" s="1"/>
  <c r="AE483" i="1"/>
  <c r="AS483" i="1" s="1"/>
  <c r="AE484" i="1"/>
  <c r="AS484" i="1" s="1"/>
  <c r="AE485" i="1"/>
  <c r="AS485" i="1" s="1"/>
  <c r="AE486" i="1"/>
  <c r="AS486" i="1" s="1"/>
  <c r="AE487" i="1"/>
  <c r="AS487" i="1" s="1"/>
  <c r="AE488" i="1"/>
  <c r="AS488" i="1" s="1"/>
  <c r="AE489" i="1"/>
  <c r="AS489" i="1" s="1"/>
  <c r="AE490" i="1"/>
  <c r="AS490" i="1" s="1"/>
  <c r="AE491" i="1"/>
  <c r="AS491" i="1" s="1"/>
  <c r="AE492" i="1"/>
  <c r="AS492" i="1" s="1"/>
  <c r="AE493" i="1"/>
  <c r="AS493" i="1" s="1"/>
  <c r="AE494" i="1"/>
  <c r="AS494" i="1" s="1"/>
  <c r="AE495" i="1"/>
  <c r="AS495" i="1" s="1"/>
  <c r="AE496" i="1"/>
  <c r="AS496" i="1" s="1"/>
  <c r="AE497" i="1"/>
  <c r="AS497" i="1" s="1"/>
  <c r="AE498" i="1"/>
  <c r="AS498" i="1" s="1"/>
  <c r="AE499" i="1"/>
  <c r="AS499" i="1" s="1"/>
  <c r="AE500" i="1"/>
  <c r="AS500" i="1" s="1"/>
  <c r="AE501" i="1"/>
  <c r="AS501" i="1" s="1"/>
  <c r="AE502" i="1"/>
  <c r="AS502" i="1" s="1"/>
  <c r="AE503" i="1"/>
  <c r="AS503" i="1" s="1"/>
  <c r="AE504" i="1"/>
  <c r="AS504" i="1" s="1"/>
  <c r="AE505" i="1"/>
  <c r="AS505" i="1" s="1"/>
  <c r="AE506" i="1"/>
  <c r="AS506" i="1" s="1"/>
  <c r="AE507" i="1"/>
  <c r="AS507" i="1" s="1"/>
  <c r="AE508" i="1"/>
  <c r="AS508" i="1" s="1"/>
  <c r="AE509" i="1"/>
  <c r="AS509" i="1" s="1"/>
  <c r="AE510" i="1"/>
  <c r="AS510" i="1" s="1"/>
  <c r="AE511" i="1"/>
  <c r="AS511" i="1" s="1"/>
  <c r="AE512" i="1"/>
  <c r="AS512" i="1" s="1"/>
  <c r="AE513" i="1"/>
  <c r="AS513" i="1" s="1"/>
  <c r="AE514" i="1"/>
  <c r="AS514" i="1" s="1"/>
  <c r="AE515" i="1"/>
  <c r="AS515" i="1" s="1"/>
  <c r="AE516" i="1"/>
  <c r="AS516" i="1" s="1"/>
  <c r="AE517" i="1"/>
  <c r="AS517" i="1" s="1"/>
  <c r="AE518" i="1"/>
  <c r="AS518" i="1" s="1"/>
  <c r="AE519" i="1"/>
  <c r="AS519" i="1" s="1"/>
  <c r="AE520" i="1"/>
  <c r="AS520" i="1" s="1"/>
  <c r="AE521" i="1"/>
  <c r="AS521" i="1" s="1"/>
  <c r="AE522" i="1"/>
  <c r="AS522" i="1" s="1"/>
  <c r="AE523" i="1"/>
  <c r="AS523" i="1" s="1"/>
  <c r="AE524" i="1"/>
  <c r="AS524" i="1" s="1"/>
  <c r="AE525" i="1"/>
  <c r="AS525" i="1" s="1"/>
  <c r="AE526" i="1"/>
  <c r="AS526" i="1" s="1"/>
  <c r="AE527" i="1"/>
  <c r="AE528" i="1"/>
  <c r="AS528" i="1" s="1"/>
  <c r="AE529" i="1"/>
  <c r="AS529" i="1" s="1"/>
  <c r="AE530" i="1"/>
  <c r="AS530" i="1" s="1"/>
  <c r="AE531" i="1"/>
  <c r="AS531" i="1" s="1"/>
  <c r="AE532" i="1"/>
  <c r="AS532" i="1" s="1"/>
  <c r="AE533" i="1"/>
  <c r="AS533" i="1" s="1"/>
  <c r="AE534" i="1"/>
  <c r="AS534" i="1" s="1"/>
  <c r="AE535" i="1"/>
  <c r="AS535" i="1" s="1"/>
  <c r="AE536" i="1"/>
  <c r="AS536" i="1" s="1"/>
  <c r="AE537" i="1"/>
  <c r="AS537" i="1" s="1"/>
  <c r="AE538" i="1"/>
  <c r="AS538" i="1" s="1"/>
  <c r="AE539" i="1"/>
  <c r="AS539" i="1" s="1"/>
  <c r="AE540" i="1"/>
  <c r="AE541" i="1"/>
  <c r="AS541" i="1" s="1"/>
  <c r="AE542" i="1"/>
  <c r="AS542" i="1" s="1"/>
  <c r="AE543" i="1"/>
  <c r="AS543" i="1" s="1"/>
  <c r="AE544" i="1"/>
  <c r="AS544" i="1" s="1"/>
  <c r="AE545" i="1"/>
  <c r="AS545" i="1" s="1"/>
  <c r="AE546" i="1"/>
  <c r="AS546" i="1" s="1"/>
  <c r="AE547" i="1"/>
  <c r="AS547" i="1" s="1"/>
  <c r="AE548" i="1"/>
  <c r="AS548" i="1" s="1"/>
  <c r="AE549" i="1"/>
  <c r="AS549" i="1" s="1"/>
  <c r="AE550" i="1"/>
  <c r="AS550" i="1" s="1"/>
  <c r="AE551" i="1"/>
  <c r="AS551" i="1" s="1"/>
  <c r="AE552" i="1"/>
  <c r="AS552" i="1" s="1"/>
  <c r="AE553" i="1"/>
  <c r="AS553" i="1" s="1"/>
  <c r="AE554" i="1"/>
  <c r="AE555" i="1"/>
  <c r="AS555" i="1" s="1"/>
  <c r="AE556" i="1"/>
  <c r="AS556" i="1" s="1"/>
  <c r="AE557" i="1"/>
  <c r="AS557" i="1" s="1"/>
  <c r="AE558" i="1"/>
  <c r="AS558" i="1" s="1"/>
  <c r="AE559" i="1"/>
  <c r="AS559" i="1" s="1"/>
  <c r="AE560" i="1"/>
  <c r="AS560" i="1" s="1"/>
  <c r="AE561" i="1"/>
  <c r="AS561" i="1" s="1"/>
  <c r="AE562" i="1"/>
  <c r="AS562" i="1" s="1"/>
  <c r="AE563" i="1"/>
  <c r="AS563" i="1" s="1"/>
  <c r="AE564" i="1"/>
  <c r="AE565" i="1"/>
  <c r="AS565" i="1" s="1"/>
  <c r="AE566" i="1"/>
  <c r="AE567" i="1"/>
  <c r="AS567" i="1" s="1"/>
  <c r="AE568" i="1"/>
  <c r="AS568" i="1" s="1"/>
  <c r="AE569" i="1"/>
  <c r="AS569" i="1" s="1"/>
  <c r="AE570" i="1"/>
  <c r="AS570" i="1" s="1"/>
  <c r="AE571" i="1"/>
  <c r="AS571" i="1" s="1"/>
  <c r="AE572" i="1"/>
  <c r="AS572" i="1" s="1"/>
  <c r="AE573" i="1"/>
  <c r="AS573" i="1" s="1"/>
  <c r="AE574" i="1"/>
  <c r="AS574" i="1" s="1"/>
  <c r="AE575" i="1"/>
  <c r="AS575" i="1" s="1"/>
  <c r="AE576" i="1"/>
  <c r="AS576" i="1" s="1"/>
  <c r="AE577" i="1"/>
  <c r="AS577" i="1" s="1"/>
  <c r="AE578" i="1"/>
  <c r="AS578" i="1" s="1"/>
  <c r="AE579" i="1"/>
  <c r="AS579" i="1" s="1"/>
  <c r="AE580" i="1"/>
  <c r="AS580" i="1" s="1"/>
  <c r="AE581" i="1"/>
  <c r="AS581" i="1" s="1"/>
  <c r="AE582" i="1"/>
  <c r="AS582" i="1" s="1"/>
  <c r="AE583" i="1"/>
  <c r="AS583" i="1" s="1"/>
  <c r="AE584" i="1"/>
  <c r="AS584" i="1" s="1"/>
  <c r="AE585" i="1"/>
  <c r="AS585" i="1" s="1"/>
  <c r="AE586" i="1"/>
  <c r="AS586" i="1" s="1"/>
  <c r="AE587" i="1"/>
  <c r="AS587" i="1" s="1"/>
  <c r="AE588" i="1"/>
  <c r="AS588" i="1" s="1"/>
  <c r="AE589" i="1"/>
  <c r="AS589" i="1" s="1"/>
  <c r="AE590" i="1"/>
  <c r="AS590" i="1" s="1"/>
  <c r="AE591" i="1"/>
  <c r="AS591" i="1" s="1"/>
  <c r="AE592" i="1"/>
  <c r="AS592" i="1" s="1"/>
  <c r="AE593" i="1"/>
  <c r="AS593" i="1" s="1"/>
  <c r="AE594" i="1"/>
  <c r="AS594" i="1" s="1"/>
  <c r="AE595" i="1"/>
  <c r="AE596" i="1"/>
  <c r="AS596" i="1" s="1"/>
  <c r="AE597" i="1"/>
  <c r="AS597" i="1" s="1"/>
  <c r="AE598" i="1"/>
  <c r="AS598" i="1" s="1"/>
  <c r="AE599" i="1"/>
  <c r="AS599" i="1" s="1"/>
  <c r="AE600" i="1"/>
  <c r="AS600" i="1" s="1"/>
  <c r="AE601" i="1"/>
  <c r="AS601" i="1" s="1"/>
  <c r="AE602" i="1"/>
  <c r="AS602" i="1" s="1"/>
  <c r="AE603" i="1"/>
  <c r="AS603" i="1" s="1"/>
  <c r="AE604" i="1"/>
  <c r="AS604" i="1" s="1"/>
  <c r="AE605" i="1"/>
  <c r="AS605" i="1" s="1"/>
  <c r="AE606" i="1"/>
  <c r="AS606" i="1" s="1"/>
  <c r="AE607" i="1"/>
  <c r="AS607" i="1" s="1"/>
  <c r="AE608" i="1"/>
  <c r="AS608" i="1" s="1"/>
  <c r="AE609" i="1"/>
  <c r="AS609" i="1" s="1"/>
  <c r="AE610" i="1"/>
  <c r="AS610" i="1" s="1"/>
  <c r="AE611" i="1"/>
  <c r="AS611" i="1" s="1"/>
  <c r="AE612" i="1"/>
  <c r="AS612" i="1" s="1"/>
  <c r="AE613" i="1"/>
  <c r="AS613" i="1" s="1"/>
  <c r="AE614" i="1"/>
  <c r="AS614" i="1" s="1"/>
  <c r="AE615" i="1"/>
  <c r="AS615" i="1" s="1"/>
  <c r="AE616" i="1"/>
  <c r="AS616" i="1" s="1"/>
  <c r="AE617" i="1"/>
  <c r="AE618" i="1"/>
  <c r="AS618" i="1" s="1"/>
  <c r="AE619" i="1"/>
  <c r="AS619" i="1" s="1"/>
  <c r="AE620" i="1"/>
  <c r="AS620" i="1" s="1"/>
  <c r="AE621" i="1"/>
  <c r="AS621" i="1" s="1"/>
  <c r="AE622" i="1"/>
  <c r="AS622" i="1" s="1"/>
  <c r="AE623" i="1"/>
  <c r="AS623" i="1" s="1"/>
  <c r="AE624" i="1"/>
  <c r="AS624" i="1" s="1"/>
  <c r="AE625" i="1"/>
  <c r="AS625" i="1" s="1"/>
  <c r="AE626" i="1"/>
  <c r="AS626" i="1" s="1"/>
  <c r="AE627" i="1"/>
  <c r="AS627" i="1" s="1"/>
  <c r="AE628" i="1"/>
  <c r="AS628" i="1" s="1"/>
  <c r="AE629" i="1"/>
  <c r="AS629" i="1" s="1"/>
  <c r="AE630" i="1"/>
  <c r="AS630" i="1" s="1"/>
  <c r="AE631" i="1"/>
  <c r="AS631" i="1" s="1"/>
  <c r="AE632" i="1"/>
  <c r="AS632" i="1" s="1"/>
  <c r="AE633" i="1"/>
  <c r="AS633" i="1" s="1"/>
  <c r="AE634" i="1"/>
  <c r="AS634" i="1" s="1"/>
  <c r="AE635" i="1"/>
  <c r="AS635" i="1" s="1"/>
  <c r="AE636" i="1"/>
  <c r="AS636" i="1" s="1"/>
  <c r="AE637" i="1"/>
  <c r="AS637" i="1" s="1"/>
  <c r="AE638" i="1"/>
  <c r="AS638" i="1" s="1"/>
  <c r="AE639" i="1"/>
  <c r="AS639" i="1" s="1"/>
  <c r="AE640" i="1"/>
  <c r="AS640" i="1" s="1"/>
  <c r="AE641" i="1"/>
  <c r="AS641" i="1" s="1"/>
  <c r="AE642" i="1"/>
  <c r="AS642" i="1" s="1"/>
  <c r="AE643" i="1"/>
  <c r="AS643" i="1" s="1"/>
  <c r="AE644" i="1"/>
  <c r="AS644" i="1" s="1"/>
  <c r="AE645" i="1"/>
  <c r="AS645" i="1" s="1"/>
  <c r="AE646" i="1"/>
  <c r="AS646" i="1" s="1"/>
  <c r="AE647" i="1"/>
  <c r="AS647" i="1" s="1"/>
  <c r="AE648" i="1"/>
  <c r="AS648" i="1" s="1"/>
  <c r="AE649" i="1"/>
  <c r="AS649" i="1" s="1"/>
  <c r="AE650" i="1"/>
  <c r="AS650" i="1" s="1"/>
  <c r="AE651" i="1"/>
  <c r="AS651" i="1" s="1"/>
  <c r="AE652" i="1"/>
  <c r="AS652" i="1" s="1"/>
  <c r="AE653" i="1"/>
  <c r="AS653" i="1" s="1"/>
  <c r="AE654" i="1"/>
  <c r="AS654" i="1" s="1"/>
  <c r="AE655" i="1"/>
  <c r="AS655" i="1" s="1"/>
  <c r="AE656" i="1"/>
  <c r="AS656" i="1" s="1"/>
  <c r="AE657" i="1"/>
  <c r="AS657" i="1" s="1"/>
  <c r="AE658" i="1"/>
  <c r="AS658" i="1" s="1"/>
  <c r="AE659" i="1"/>
  <c r="AS659" i="1" s="1"/>
  <c r="AE660" i="1"/>
  <c r="AS660" i="1" s="1"/>
  <c r="AE661" i="1"/>
  <c r="AS661" i="1" s="1"/>
  <c r="AE662" i="1"/>
  <c r="AS662" i="1" s="1"/>
  <c r="AE663" i="1"/>
  <c r="AS663" i="1" s="1"/>
  <c r="AE664" i="1"/>
  <c r="AS664" i="1" s="1"/>
  <c r="AE665" i="1"/>
  <c r="AS665" i="1" s="1"/>
  <c r="AE666" i="1"/>
  <c r="AS666" i="1" s="1"/>
  <c r="AE667" i="1"/>
  <c r="AS667" i="1" s="1"/>
  <c r="AE668" i="1"/>
  <c r="AS668" i="1" s="1"/>
  <c r="AE669" i="1"/>
  <c r="AS669" i="1" s="1"/>
  <c r="AE670" i="1"/>
  <c r="AS670" i="1" s="1"/>
  <c r="AE671" i="1"/>
  <c r="AS671" i="1" s="1"/>
  <c r="AE672" i="1"/>
  <c r="AS672" i="1" s="1"/>
  <c r="AE673" i="1"/>
  <c r="AS673" i="1" s="1"/>
  <c r="AE674" i="1"/>
  <c r="AS674" i="1" s="1"/>
  <c r="AE675" i="1"/>
  <c r="AS675" i="1" s="1"/>
  <c r="AE676" i="1"/>
  <c r="AS676" i="1" s="1"/>
  <c r="AE677" i="1"/>
  <c r="AS677" i="1" s="1"/>
  <c r="AE678" i="1"/>
  <c r="AS678" i="1" s="1"/>
  <c r="AE679" i="1"/>
  <c r="AS679" i="1" s="1"/>
  <c r="AE680" i="1"/>
  <c r="AS680" i="1" s="1"/>
  <c r="AE681" i="1"/>
  <c r="AS681" i="1" s="1"/>
  <c r="AE682" i="1"/>
  <c r="AS682" i="1" s="1"/>
  <c r="AE683" i="1"/>
  <c r="AS683" i="1" s="1"/>
  <c r="AE684" i="1"/>
  <c r="AS684" i="1" s="1"/>
  <c r="AE685" i="1"/>
  <c r="AE686" i="1"/>
  <c r="AS686" i="1" s="1"/>
  <c r="AE687" i="1"/>
  <c r="AS687" i="1" s="1"/>
  <c r="AE688" i="1"/>
  <c r="AS688" i="1" s="1"/>
  <c r="AE689" i="1"/>
  <c r="AS689" i="1" s="1"/>
  <c r="AE690" i="1"/>
  <c r="AS690" i="1" s="1"/>
  <c r="AE691" i="1"/>
  <c r="AS691" i="1" s="1"/>
  <c r="AE692" i="1"/>
  <c r="AS692" i="1" s="1"/>
  <c r="AE693" i="1"/>
  <c r="AS693" i="1" s="1"/>
  <c r="AE694" i="1"/>
  <c r="AS694" i="1" s="1"/>
  <c r="AE695" i="1"/>
  <c r="AS695" i="1" s="1"/>
  <c r="AE696" i="1"/>
  <c r="AS696" i="1" s="1"/>
  <c r="AE697" i="1"/>
  <c r="AS697" i="1" s="1"/>
  <c r="AE698" i="1"/>
  <c r="AS698" i="1" s="1"/>
  <c r="AE699" i="1"/>
  <c r="AS699" i="1" s="1"/>
  <c r="AE700" i="1"/>
  <c r="AS700" i="1" s="1"/>
  <c r="AE701" i="1"/>
  <c r="AS701" i="1" s="1"/>
  <c r="AE702" i="1"/>
  <c r="AS702" i="1" s="1"/>
  <c r="AE703" i="1"/>
  <c r="AS703" i="1" s="1"/>
  <c r="AE704" i="1"/>
  <c r="AS704" i="1" s="1"/>
  <c r="AE705" i="1"/>
  <c r="AS705" i="1" s="1"/>
  <c r="AE706" i="1"/>
  <c r="AS706" i="1" s="1"/>
  <c r="AE707" i="1"/>
  <c r="AS707" i="1" s="1"/>
  <c r="AE708" i="1"/>
  <c r="AS708" i="1" s="1"/>
  <c r="AE709" i="1"/>
  <c r="AS709" i="1" s="1"/>
  <c r="AE710" i="1"/>
  <c r="AS710" i="1" s="1"/>
  <c r="AE711" i="1"/>
  <c r="AS711" i="1" s="1"/>
  <c r="AE712" i="1"/>
  <c r="AS712" i="1" s="1"/>
  <c r="AE713" i="1"/>
  <c r="AS713" i="1" s="1"/>
  <c r="AE714" i="1"/>
  <c r="AS714" i="1" s="1"/>
  <c r="AE715" i="1"/>
  <c r="AS715" i="1" s="1"/>
  <c r="AE716" i="1"/>
  <c r="AS716" i="1" s="1"/>
  <c r="AE717" i="1"/>
  <c r="AS717" i="1" s="1"/>
  <c r="AE718" i="1"/>
  <c r="AS718" i="1" s="1"/>
  <c r="AE719" i="1"/>
  <c r="AS719" i="1" s="1"/>
  <c r="AE720" i="1"/>
  <c r="AS720" i="1" s="1"/>
  <c r="AE721" i="1"/>
  <c r="AS721" i="1" s="1"/>
  <c r="AE722" i="1"/>
  <c r="AS722" i="1" s="1"/>
  <c r="AE723" i="1"/>
  <c r="AS723" i="1" s="1"/>
  <c r="AE724" i="1"/>
  <c r="AS724" i="1" s="1"/>
  <c r="AE725" i="1"/>
  <c r="AS725" i="1" s="1"/>
  <c r="AE726" i="1"/>
  <c r="AS726" i="1" s="1"/>
  <c r="AE727" i="1"/>
  <c r="AS727" i="1" s="1"/>
  <c r="AE728" i="1"/>
  <c r="AS728" i="1" s="1"/>
  <c r="AE729" i="1"/>
  <c r="AS729" i="1" s="1"/>
  <c r="AE730" i="1"/>
  <c r="AS730" i="1" s="1"/>
  <c r="AE731" i="1"/>
  <c r="AS731" i="1" s="1"/>
  <c r="AE732" i="1"/>
  <c r="AS732" i="1" s="1"/>
  <c r="AE733" i="1"/>
  <c r="AS733" i="1" s="1"/>
  <c r="AE734" i="1"/>
  <c r="AS734" i="1" s="1"/>
  <c r="AE735" i="1"/>
  <c r="AS735" i="1" s="1"/>
  <c r="AE736" i="1"/>
  <c r="AS736" i="1" s="1"/>
  <c r="AE737" i="1"/>
  <c r="AS737" i="1" s="1"/>
  <c r="AE738" i="1"/>
  <c r="AS738" i="1" s="1"/>
  <c r="AE739" i="1"/>
  <c r="AS739" i="1" s="1"/>
  <c r="AE740" i="1"/>
  <c r="AS740" i="1" s="1"/>
  <c r="AE741" i="1"/>
  <c r="AS741" i="1" s="1"/>
  <c r="AE742" i="1"/>
  <c r="AS742" i="1" s="1"/>
  <c r="AE743" i="1"/>
  <c r="AS743" i="1" s="1"/>
  <c r="AE744" i="1"/>
  <c r="AE745" i="1"/>
  <c r="AS745" i="1" s="1"/>
  <c r="AE746" i="1"/>
  <c r="AS746" i="1" s="1"/>
  <c r="AE747" i="1"/>
  <c r="AS747" i="1" s="1"/>
  <c r="AE748" i="1"/>
  <c r="AS748" i="1" s="1"/>
  <c r="AE749" i="1"/>
  <c r="AS749" i="1" s="1"/>
  <c r="AE750" i="1"/>
  <c r="AS750" i="1" s="1"/>
  <c r="AE751" i="1"/>
  <c r="AS751" i="1" s="1"/>
  <c r="AE752" i="1"/>
  <c r="AE753" i="1"/>
  <c r="AS753" i="1" s="1"/>
  <c r="AE754" i="1"/>
  <c r="AS754" i="1" s="1"/>
  <c r="AE755" i="1"/>
  <c r="AS755" i="1" s="1"/>
  <c r="AE756" i="1"/>
  <c r="AS756" i="1" s="1"/>
  <c r="AE757" i="1"/>
  <c r="AS757" i="1" s="1"/>
  <c r="AE758" i="1"/>
  <c r="AS758" i="1" s="1"/>
  <c r="AE759" i="1"/>
  <c r="AS759" i="1" s="1"/>
  <c r="AE760" i="1"/>
  <c r="AS760" i="1" s="1"/>
  <c r="AE761" i="1"/>
  <c r="AS761" i="1" s="1"/>
  <c r="AE762" i="1"/>
  <c r="AS762" i="1" s="1"/>
  <c r="AE763" i="1"/>
  <c r="AS763" i="1" s="1"/>
  <c r="AE764" i="1"/>
  <c r="AS764" i="1" s="1"/>
  <c r="AE765" i="1"/>
  <c r="AS765" i="1" s="1"/>
  <c r="AE766" i="1"/>
  <c r="AS766" i="1" s="1"/>
  <c r="AE767" i="1"/>
  <c r="AS767" i="1" s="1"/>
  <c r="AE768" i="1"/>
  <c r="AS768" i="1" s="1"/>
  <c r="AE769" i="1"/>
  <c r="AS769" i="1" s="1"/>
  <c r="AE770" i="1"/>
  <c r="AS770" i="1" s="1"/>
  <c r="AE771" i="1"/>
  <c r="AS771" i="1" s="1"/>
  <c r="AE772" i="1"/>
  <c r="AS772" i="1" s="1"/>
  <c r="AE773" i="1"/>
  <c r="AS773" i="1" s="1"/>
  <c r="AE774" i="1"/>
  <c r="AS774" i="1" s="1"/>
  <c r="AE775" i="1"/>
  <c r="AS775" i="1" s="1"/>
  <c r="AE776" i="1"/>
  <c r="AS776" i="1" s="1"/>
  <c r="AE777" i="1"/>
  <c r="AS777" i="1" s="1"/>
  <c r="AE778" i="1"/>
  <c r="AS778" i="1" s="1"/>
  <c r="AE779" i="1"/>
  <c r="AS779" i="1" s="1"/>
  <c r="AE780" i="1"/>
  <c r="AS780" i="1" s="1"/>
  <c r="AE781" i="1"/>
  <c r="AS781" i="1" s="1"/>
  <c r="AE782" i="1"/>
  <c r="AS782" i="1" s="1"/>
  <c r="AE783" i="1"/>
  <c r="AS783" i="1" s="1"/>
  <c r="AE784" i="1"/>
  <c r="AS784" i="1" s="1"/>
  <c r="AE785" i="1"/>
  <c r="AS785" i="1" s="1"/>
  <c r="AE786" i="1"/>
  <c r="AS786" i="1" s="1"/>
  <c r="AE787" i="1"/>
  <c r="AS787" i="1" s="1"/>
  <c r="AE788" i="1"/>
  <c r="AS788" i="1" s="1"/>
  <c r="AE789" i="1"/>
  <c r="AS789" i="1" s="1"/>
  <c r="AE790" i="1"/>
  <c r="AS790" i="1" s="1"/>
  <c r="AE791" i="1"/>
  <c r="AS791" i="1" s="1"/>
  <c r="AE792" i="1"/>
  <c r="AS792" i="1" s="1"/>
  <c r="AE793" i="1"/>
  <c r="AS793" i="1" s="1"/>
  <c r="AE794" i="1"/>
  <c r="AS794" i="1" s="1"/>
  <c r="AE795" i="1"/>
  <c r="AS795" i="1" s="1"/>
  <c r="AE796" i="1"/>
  <c r="AS796" i="1" s="1"/>
  <c r="AE797" i="1"/>
  <c r="AS797" i="1" s="1"/>
  <c r="AE798" i="1"/>
  <c r="AS798" i="1" s="1"/>
  <c r="AE799" i="1"/>
  <c r="AS799" i="1" s="1"/>
  <c r="AE800" i="1"/>
  <c r="AS800" i="1" s="1"/>
  <c r="AE801" i="1"/>
  <c r="AS801" i="1" s="1"/>
  <c r="AE802" i="1"/>
  <c r="AS802" i="1" s="1"/>
  <c r="AE803" i="1"/>
  <c r="AE804" i="1"/>
  <c r="AS804" i="1" s="1"/>
  <c r="AE805" i="1"/>
  <c r="AS805" i="1" s="1"/>
  <c r="AE806" i="1"/>
  <c r="AS806" i="1" s="1"/>
  <c r="AE807" i="1"/>
  <c r="AS807" i="1" s="1"/>
  <c r="AE808" i="1"/>
  <c r="AS808" i="1" s="1"/>
  <c r="AE809" i="1"/>
  <c r="AS809" i="1" s="1"/>
  <c r="AE810" i="1"/>
  <c r="AS810" i="1" s="1"/>
  <c r="AE811" i="1"/>
  <c r="AS811" i="1" s="1"/>
  <c r="AE812" i="1"/>
  <c r="AS812" i="1" s="1"/>
  <c r="AE813" i="1"/>
  <c r="AS813" i="1" s="1"/>
  <c r="AE814" i="1"/>
  <c r="AS814" i="1" s="1"/>
  <c r="AE815" i="1"/>
  <c r="AS815" i="1" s="1"/>
  <c r="AE816" i="1"/>
  <c r="AS816" i="1" s="1"/>
  <c r="AE817" i="1"/>
  <c r="AS817" i="1" s="1"/>
  <c r="AE818" i="1"/>
  <c r="AS818" i="1" s="1"/>
  <c r="AE819" i="1"/>
  <c r="AS819" i="1" s="1"/>
  <c r="AE820" i="1"/>
  <c r="AS820" i="1" s="1"/>
  <c r="AE821" i="1"/>
  <c r="AS821" i="1" s="1"/>
  <c r="AE822" i="1"/>
  <c r="AS822" i="1" s="1"/>
  <c r="AE823" i="1"/>
  <c r="AS823" i="1" s="1"/>
  <c r="AE824" i="1"/>
  <c r="AS824" i="1" s="1"/>
  <c r="AE825" i="1"/>
  <c r="AS825" i="1" s="1"/>
  <c r="AE826" i="1"/>
  <c r="AE827" i="1"/>
  <c r="AS827" i="1" s="1"/>
  <c r="AE828" i="1"/>
  <c r="AS828" i="1" s="1"/>
  <c r="AE829" i="1"/>
  <c r="AS829" i="1" s="1"/>
  <c r="AE830" i="1"/>
  <c r="AS830" i="1" s="1"/>
  <c r="AE831" i="1"/>
  <c r="AS831" i="1" s="1"/>
  <c r="AE832" i="1"/>
  <c r="AS832" i="1" s="1"/>
  <c r="AE833" i="1"/>
  <c r="AS833" i="1" s="1"/>
  <c r="AE834" i="1"/>
  <c r="AE835" i="1"/>
  <c r="AS835" i="1" s="1"/>
  <c r="AE836" i="1"/>
  <c r="AS836" i="1" s="1"/>
  <c r="AE837" i="1"/>
  <c r="AS837" i="1" s="1"/>
  <c r="AE838" i="1"/>
  <c r="AS838" i="1" s="1"/>
  <c r="AE839" i="1"/>
  <c r="AS839" i="1" s="1"/>
  <c r="AE840" i="1"/>
  <c r="AS840" i="1" s="1"/>
  <c r="AE841" i="1"/>
  <c r="AS841" i="1" s="1"/>
  <c r="AE842" i="1"/>
  <c r="AS842" i="1" s="1"/>
  <c r="AE843" i="1"/>
  <c r="AE844" i="1"/>
  <c r="AS844" i="1" s="1"/>
  <c r="AE845" i="1"/>
  <c r="AS845" i="1" s="1"/>
  <c r="AE846" i="1"/>
  <c r="AS846" i="1" s="1"/>
  <c r="AE847" i="1"/>
  <c r="AS847" i="1" s="1"/>
  <c r="AE848" i="1"/>
  <c r="AS848" i="1" s="1"/>
  <c r="AE849" i="1"/>
  <c r="AS849" i="1" s="1"/>
  <c r="AE850" i="1"/>
  <c r="AS850" i="1" s="1"/>
  <c r="AE851" i="1"/>
  <c r="AS851" i="1" s="1"/>
  <c r="AE852" i="1"/>
  <c r="AS852" i="1" s="1"/>
  <c r="AE853" i="1"/>
  <c r="AS853" i="1" s="1"/>
  <c r="AE854" i="1"/>
  <c r="AS854" i="1" s="1"/>
  <c r="AE855" i="1"/>
  <c r="AS855" i="1" s="1"/>
  <c r="AE856" i="1"/>
  <c r="AS856" i="1" s="1"/>
  <c r="AE857" i="1"/>
  <c r="AS857" i="1" s="1"/>
  <c r="AE858" i="1"/>
  <c r="AS858" i="1" s="1"/>
  <c r="AE859" i="1"/>
  <c r="AS859" i="1" s="1"/>
  <c r="AE860" i="1"/>
  <c r="AS860" i="1" s="1"/>
  <c r="AE861" i="1"/>
  <c r="AS861" i="1" s="1"/>
  <c r="AE862" i="1"/>
  <c r="AS862" i="1" s="1"/>
  <c r="AE863" i="1"/>
  <c r="AS863" i="1" s="1"/>
  <c r="AE864" i="1"/>
  <c r="AS864" i="1" s="1"/>
  <c r="AE865" i="1"/>
  <c r="AS865" i="1" s="1"/>
  <c r="AE866" i="1"/>
  <c r="AS866" i="1" s="1"/>
  <c r="AE867" i="1"/>
  <c r="AS867" i="1" s="1"/>
  <c r="AE868" i="1"/>
  <c r="AS868" i="1" s="1"/>
  <c r="AE869" i="1"/>
  <c r="AS869" i="1" s="1"/>
  <c r="AE870" i="1"/>
  <c r="AS870" i="1" s="1"/>
  <c r="AE871" i="1"/>
  <c r="AS871" i="1" s="1"/>
  <c r="AE872" i="1"/>
  <c r="AS872" i="1" s="1"/>
  <c r="AE873" i="1"/>
  <c r="AS873" i="1" s="1"/>
  <c r="AE874" i="1"/>
  <c r="AS874" i="1" s="1"/>
  <c r="AE875" i="1"/>
  <c r="AE876" i="1"/>
  <c r="AS876" i="1" s="1"/>
  <c r="AE877" i="1"/>
  <c r="AS877" i="1" s="1"/>
  <c r="AE878" i="1"/>
  <c r="AS878" i="1" s="1"/>
  <c r="AE879" i="1"/>
  <c r="AS879" i="1" s="1"/>
  <c r="AE880" i="1"/>
  <c r="AS880" i="1" s="1"/>
  <c r="AE881" i="1"/>
  <c r="AS881" i="1" s="1"/>
  <c r="AE882" i="1"/>
  <c r="AS882" i="1" s="1"/>
  <c r="AE883" i="1"/>
  <c r="AS883" i="1" s="1"/>
  <c r="AE884" i="1"/>
  <c r="AS884" i="1" s="1"/>
  <c r="AE885" i="1"/>
  <c r="AS885" i="1" s="1"/>
  <c r="AE886" i="1"/>
  <c r="AS886" i="1" s="1"/>
  <c r="AE887" i="1"/>
  <c r="AS887" i="1" s="1"/>
  <c r="AE888" i="1"/>
  <c r="AS888" i="1" s="1"/>
  <c r="AE889" i="1"/>
  <c r="AS889" i="1" s="1"/>
  <c r="AE890" i="1"/>
  <c r="AS890" i="1" s="1"/>
  <c r="AE891" i="1"/>
  <c r="AS891" i="1" s="1"/>
  <c r="AE892" i="1"/>
  <c r="AE893" i="1"/>
  <c r="AS893" i="1" s="1"/>
  <c r="AE894" i="1"/>
  <c r="AS894" i="1" s="1"/>
  <c r="AE895" i="1"/>
  <c r="AS895" i="1" s="1"/>
  <c r="AE896" i="1"/>
  <c r="AS896" i="1" s="1"/>
  <c r="AE897" i="1"/>
  <c r="AE898" i="1"/>
  <c r="AS898" i="1" s="1"/>
  <c r="AE899" i="1"/>
  <c r="AS899" i="1" s="1"/>
  <c r="AE900" i="1"/>
  <c r="AS900" i="1" s="1"/>
  <c r="AE901" i="1"/>
  <c r="AS901" i="1" s="1"/>
  <c r="AE902" i="1"/>
  <c r="AS902" i="1" s="1"/>
  <c r="AE903" i="1"/>
  <c r="AS903" i="1" s="1"/>
  <c r="AE904" i="1"/>
  <c r="AS904" i="1" s="1"/>
  <c r="AE905" i="1"/>
  <c r="AS905" i="1" s="1"/>
  <c r="AE906" i="1"/>
  <c r="AS906" i="1" s="1"/>
  <c r="AE907" i="1"/>
  <c r="AS907" i="1" s="1"/>
  <c r="AE908" i="1"/>
  <c r="AE909" i="1"/>
  <c r="AS909" i="1" s="1"/>
  <c r="AE910" i="1"/>
  <c r="AS910" i="1" s="1"/>
  <c r="AE911" i="1"/>
  <c r="AS911" i="1" s="1"/>
  <c r="AE912" i="1"/>
  <c r="AS912" i="1" s="1"/>
  <c r="AE913" i="1"/>
  <c r="AS913" i="1" s="1"/>
  <c r="AE914" i="1"/>
  <c r="AS914" i="1" s="1"/>
  <c r="AE915" i="1"/>
  <c r="AS915" i="1" s="1"/>
  <c r="AE916" i="1"/>
  <c r="AS916" i="1" s="1"/>
  <c r="AE917" i="1"/>
  <c r="AS917" i="1" s="1"/>
  <c r="AE918" i="1"/>
  <c r="AS918" i="1" s="1"/>
  <c r="AE919" i="1"/>
  <c r="AS919" i="1" s="1"/>
  <c r="AE920" i="1"/>
  <c r="AS920" i="1" s="1"/>
  <c r="AE921" i="1"/>
  <c r="AS921" i="1" s="1"/>
  <c r="AE922" i="1"/>
  <c r="AS922" i="1" s="1"/>
  <c r="AE923" i="1"/>
  <c r="AS923" i="1" s="1"/>
  <c r="AE924" i="1"/>
  <c r="AS924" i="1" s="1"/>
  <c r="AE925" i="1"/>
  <c r="AS925" i="1" s="1"/>
  <c r="AE926" i="1"/>
  <c r="AS926" i="1" s="1"/>
  <c r="AE927" i="1"/>
  <c r="AS927" i="1" s="1"/>
  <c r="AE928" i="1"/>
  <c r="AS928" i="1" s="1"/>
  <c r="AE929" i="1"/>
  <c r="AS929" i="1" s="1"/>
  <c r="AE930" i="1"/>
  <c r="AS930" i="1" s="1"/>
  <c r="AE931" i="1"/>
  <c r="AS931" i="1" s="1"/>
  <c r="AE932" i="1"/>
  <c r="AS932" i="1" s="1"/>
  <c r="AE933" i="1"/>
  <c r="AS933" i="1" s="1"/>
  <c r="AE934" i="1"/>
  <c r="AS934" i="1" s="1"/>
  <c r="AE935" i="1"/>
  <c r="AS935" i="1" s="1"/>
  <c r="AE936" i="1"/>
  <c r="AE937" i="1"/>
  <c r="AS937" i="1" s="1"/>
  <c r="AE938" i="1"/>
  <c r="AS938" i="1" s="1"/>
  <c r="AE939" i="1"/>
  <c r="AS939" i="1" s="1"/>
  <c r="AE940" i="1"/>
  <c r="AS940" i="1" s="1"/>
  <c r="AE941" i="1"/>
  <c r="AS941" i="1" s="1"/>
  <c r="AE942" i="1"/>
  <c r="AS942" i="1" s="1"/>
  <c r="AE943" i="1"/>
  <c r="AS943" i="1" s="1"/>
  <c r="AE944" i="1"/>
  <c r="AS944" i="1" s="1"/>
  <c r="AE945" i="1"/>
  <c r="AS945" i="1" s="1"/>
  <c r="AE946" i="1"/>
  <c r="AE947" i="1"/>
  <c r="AS947" i="1" s="1"/>
  <c r="AE948" i="1"/>
  <c r="AS948" i="1" s="1"/>
  <c r="AE949" i="1"/>
  <c r="AS949" i="1" s="1"/>
  <c r="AE950" i="1"/>
  <c r="AS950" i="1" s="1"/>
  <c r="AE951" i="1"/>
  <c r="AS951" i="1" s="1"/>
  <c r="AE952" i="1"/>
  <c r="AS952" i="1" s="1"/>
  <c r="AE953" i="1"/>
  <c r="AS953" i="1" s="1"/>
  <c r="AE954" i="1"/>
  <c r="AS954" i="1" s="1"/>
  <c r="AE955" i="1"/>
  <c r="AS955" i="1" s="1"/>
  <c r="AE956" i="1"/>
  <c r="AS956" i="1" s="1"/>
  <c r="AE957" i="1"/>
  <c r="AS957" i="1" s="1"/>
  <c r="AE958" i="1"/>
  <c r="AS958" i="1" s="1"/>
  <c r="AE959" i="1"/>
  <c r="AS959" i="1" s="1"/>
  <c r="AE960" i="1"/>
  <c r="AS960" i="1" s="1"/>
  <c r="AE961" i="1"/>
  <c r="AS961" i="1" s="1"/>
  <c r="AE962" i="1"/>
  <c r="AS962" i="1" s="1"/>
  <c r="AE963" i="1"/>
  <c r="AS963" i="1" s="1"/>
  <c r="AE964" i="1"/>
  <c r="AS964" i="1" s="1"/>
  <c r="AE965" i="1"/>
  <c r="AS965" i="1" s="1"/>
  <c r="AE966" i="1"/>
  <c r="AS966" i="1" s="1"/>
  <c r="AE967" i="1"/>
  <c r="AS967" i="1" s="1"/>
  <c r="AE968" i="1"/>
  <c r="AS968" i="1" s="1"/>
  <c r="AE969" i="1"/>
  <c r="AS969" i="1" s="1"/>
  <c r="AE970" i="1"/>
  <c r="AS970" i="1" s="1"/>
  <c r="AE971" i="1"/>
  <c r="AS971" i="1" s="1"/>
  <c r="AE972" i="1"/>
  <c r="AS972" i="1" s="1"/>
  <c r="AE973" i="1"/>
  <c r="AS973" i="1" s="1"/>
  <c r="AE974" i="1"/>
  <c r="AS974" i="1" s="1"/>
  <c r="AE975" i="1"/>
  <c r="AS975" i="1" s="1"/>
  <c r="AE976" i="1"/>
  <c r="AS976" i="1" s="1"/>
  <c r="AE977" i="1"/>
  <c r="AS977" i="1" s="1"/>
  <c r="AE978" i="1"/>
  <c r="AS978" i="1" s="1"/>
  <c r="AE979" i="1"/>
  <c r="AS979" i="1" s="1"/>
  <c r="AE980" i="1"/>
  <c r="AS980" i="1" s="1"/>
  <c r="AE981" i="1"/>
  <c r="AS981" i="1" s="1"/>
  <c r="AE982" i="1"/>
  <c r="AS982" i="1" s="1"/>
  <c r="AE983" i="1"/>
  <c r="AS983" i="1" s="1"/>
  <c r="AE984" i="1"/>
  <c r="AS984" i="1" s="1"/>
  <c r="AE985" i="1"/>
  <c r="AS985" i="1" s="1"/>
  <c r="AE986" i="1"/>
  <c r="AS986" i="1" s="1"/>
  <c r="AE987" i="1"/>
  <c r="AS987" i="1" s="1"/>
  <c r="AE988" i="1"/>
  <c r="AS988" i="1" s="1"/>
  <c r="AE989" i="1"/>
  <c r="AS989" i="1" s="1"/>
  <c r="AE990" i="1"/>
  <c r="AS990" i="1" s="1"/>
  <c r="AE991" i="1"/>
  <c r="AS991" i="1" s="1"/>
  <c r="AE992" i="1"/>
  <c r="AS992" i="1" s="1"/>
  <c r="AE993" i="1"/>
  <c r="AS993" i="1" s="1"/>
  <c r="AE994" i="1"/>
  <c r="AS994" i="1" s="1"/>
  <c r="AE995" i="1"/>
  <c r="AS995" i="1" s="1"/>
  <c r="AE996" i="1"/>
  <c r="AS996" i="1" s="1"/>
  <c r="AE997" i="1"/>
  <c r="AS997" i="1" s="1"/>
  <c r="AE998" i="1"/>
  <c r="AS998" i="1" s="1"/>
  <c r="AE999" i="1"/>
  <c r="AS999" i="1" s="1"/>
  <c r="AE1000" i="1"/>
  <c r="AS1000" i="1" s="1"/>
  <c r="AE1001" i="1"/>
  <c r="AS1001" i="1" s="1"/>
  <c r="AE1002" i="1"/>
  <c r="AE1003" i="1"/>
  <c r="AS1003" i="1" s="1"/>
  <c r="AE1004" i="1"/>
  <c r="AS1004" i="1" s="1"/>
  <c r="AE1005" i="1"/>
  <c r="AE1006" i="1"/>
  <c r="AS1006" i="1" s="1"/>
  <c r="AE1007" i="1"/>
  <c r="AS1007" i="1" s="1"/>
  <c r="AE1008" i="1"/>
  <c r="AE1009" i="1"/>
  <c r="AS1009" i="1" s="1"/>
  <c r="AE1010" i="1"/>
  <c r="AS1010" i="1" s="1"/>
  <c r="AE1011" i="1"/>
  <c r="AS1011" i="1" s="1"/>
  <c r="AE1012" i="1"/>
  <c r="AS1012" i="1" s="1"/>
  <c r="AE1013" i="1"/>
  <c r="AS1013" i="1" s="1"/>
  <c r="AE1014" i="1"/>
  <c r="AS1014" i="1" s="1"/>
  <c r="AE1015" i="1"/>
  <c r="AS1015" i="1" s="1"/>
  <c r="AE1016" i="1"/>
  <c r="AS1016" i="1" s="1"/>
  <c r="AE1017" i="1"/>
  <c r="AS1017" i="1" s="1"/>
  <c r="AE1018" i="1"/>
  <c r="AS1018" i="1" s="1"/>
  <c r="AE1019" i="1"/>
  <c r="AS1019" i="1" s="1"/>
  <c r="AE1020" i="1"/>
  <c r="AS1020" i="1" s="1"/>
  <c r="AE1021" i="1"/>
  <c r="AS1021" i="1" s="1"/>
  <c r="AE1022" i="1"/>
  <c r="AS1022" i="1" s="1"/>
  <c r="AE1023" i="1"/>
  <c r="AS1023" i="1" s="1"/>
  <c r="AE1024" i="1"/>
  <c r="AS1024" i="1" s="1"/>
  <c r="AE1025" i="1"/>
  <c r="AS1025" i="1" s="1"/>
  <c r="AE1026" i="1"/>
  <c r="AS1026" i="1" s="1"/>
  <c r="AE1027" i="1"/>
  <c r="AS1027" i="1" s="1"/>
  <c r="AE1028" i="1"/>
  <c r="AS1028" i="1" s="1"/>
  <c r="AE1029" i="1"/>
  <c r="AE1030" i="1"/>
  <c r="AS1030" i="1" s="1"/>
  <c r="AE1031" i="1"/>
  <c r="AS1031" i="1" s="1"/>
  <c r="AE1032" i="1"/>
  <c r="AS1032" i="1" s="1"/>
  <c r="AE1033" i="1"/>
  <c r="AS1033" i="1" s="1"/>
  <c r="AE1034" i="1"/>
  <c r="AS1034" i="1" s="1"/>
  <c r="AE1035" i="1"/>
  <c r="AS1035" i="1" s="1"/>
  <c r="AE1036" i="1"/>
  <c r="AS1036" i="1" s="1"/>
  <c r="AE1037" i="1"/>
  <c r="AS1037" i="1" s="1"/>
  <c r="AE1038" i="1"/>
  <c r="AS1038" i="1" s="1"/>
  <c r="AE1039" i="1"/>
  <c r="AS1039" i="1" s="1"/>
  <c r="AE1040" i="1"/>
  <c r="AS1040" i="1" s="1"/>
  <c r="AE1041" i="1"/>
  <c r="AS1041" i="1" s="1"/>
  <c r="AE1042" i="1"/>
  <c r="AS1042" i="1" s="1"/>
  <c r="AE1043" i="1"/>
  <c r="AS1043" i="1" s="1"/>
  <c r="AE1044" i="1"/>
  <c r="AS1044" i="1" s="1"/>
  <c r="AE1045" i="1"/>
  <c r="AS1045" i="1" s="1"/>
  <c r="AE1046" i="1"/>
  <c r="AS1046" i="1" s="1"/>
  <c r="AE1047" i="1"/>
  <c r="AS1047" i="1" s="1"/>
  <c r="AE1048" i="1"/>
  <c r="AS1048" i="1" s="1"/>
  <c r="AE1049" i="1"/>
  <c r="AS1049" i="1" s="1"/>
  <c r="AE1050" i="1"/>
  <c r="AS1050" i="1" s="1"/>
  <c r="AE1051" i="1"/>
  <c r="AS1051" i="1" s="1"/>
  <c r="AE1052" i="1"/>
  <c r="AS1052" i="1" s="1"/>
  <c r="AE1053" i="1"/>
  <c r="AS1053" i="1" s="1"/>
  <c r="AE1054" i="1"/>
  <c r="AE1055" i="1"/>
  <c r="AS1055" i="1" s="1"/>
  <c r="AE1056" i="1"/>
  <c r="AS1056" i="1" s="1"/>
  <c r="AE1057" i="1"/>
  <c r="AS1057" i="1" s="1"/>
  <c r="AE1058" i="1"/>
  <c r="AS1058" i="1" s="1"/>
  <c r="AE1059" i="1"/>
  <c r="AS1059" i="1" s="1"/>
  <c r="AE1060" i="1"/>
  <c r="AS1060" i="1" s="1"/>
  <c r="AE1061" i="1"/>
  <c r="AS1061" i="1" s="1"/>
  <c r="AE1062" i="1"/>
  <c r="AS1062" i="1" s="1"/>
  <c r="AE1063" i="1"/>
  <c r="AS1063" i="1" s="1"/>
  <c r="AE1064" i="1"/>
  <c r="AS1064" i="1" s="1"/>
  <c r="AE1065" i="1"/>
  <c r="AS1065" i="1" s="1"/>
  <c r="AE1066" i="1"/>
  <c r="AS1066" i="1" s="1"/>
  <c r="AE1067" i="1"/>
  <c r="AS1067" i="1" s="1"/>
  <c r="AE1068" i="1"/>
  <c r="AS1068" i="1" s="1"/>
  <c r="AE1069" i="1"/>
  <c r="AS1069" i="1" s="1"/>
  <c r="AE1070" i="1"/>
  <c r="AS1070" i="1" s="1"/>
  <c r="AE1071" i="1"/>
  <c r="AS1071" i="1" s="1"/>
  <c r="AE1072" i="1"/>
  <c r="AS1072" i="1" s="1"/>
  <c r="AE1073" i="1"/>
  <c r="AS1073" i="1" s="1"/>
  <c r="AE1074" i="1"/>
  <c r="AS1074" i="1" s="1"/>
  <c r="AE1075" i="1"/>
  <c r="AS1075" i="1" s="1"/>
  <c r="AE1076" i="1"/>
  <c r="AS1076" i="1" s="1"/>
  <c r="AE1077" i="1"/>
  <c r="AS1077" i="1" s="1"/>
  <c r="AE1078" i="1"/>
  <c r="AS1078" i="1" s="1"/>
  <c r="AE1079" i="1"/>
  <c r="AS1079" i="1" s="1"/>
  <c r="AE1080" i="1"/>
  <c r="AS1080" i="1" s="1"/>
  <c r="AE1081" i="1"/>
  <c r="AS1081" i="1" s="1"/>
  <c r="AE1082" i="1"/>
  <c r="AS1082" i="1" s="1"/>
  <c r="AE1083" i="1"/>
  <c r="AS1083" i="1" s="1"/>
  <c r="AE1084" i="1"/>
  <c r="AS1084" i="1" s="1"/>
  <c r="AE1085" i="1"/>
  <c r="AS1085" i="1" s="1"/>
  <c r="AE1086" i="1"/>
  <c r="AS1086" i="1" s="1"/>
  <c r="AE1087" i="1"/>
  <c r="AS1087" i="1" s="1"/>
  <c r="AE1088" i="1"/>
  <c r="AS1088" i="1" s="1"/>
  <c r="AE1089" i="1"/>
  <c r="AS1089" i="1" s="1"/>
  <c r="AE1090" i="1"/>
  <c r="AS1090" i="1" s="1"/>
  <c r="AE1091" i="1"/>
  <c r="AS1091" i="1" s="1"/>
  <c r="AE1092" i="1"/>
  <c r="AS1092" i="1" s="1"/>
  <c r="AE1093" i="1"/>
  <c r="AS1093" i="1" s="1"/>
  <c r="AE1094" i="1"/>
  <c r="AS1094" i="1" s="1"/>
  <c r="AE1095" i="1"/>
  <c r="AS1095" i="1" s="1"/>
  <c r="AE1096" i="1"/>
  <c r="AS1096" i="1" s="1"/>
  <c r="AE1097" i="1"/>
  <c r="AS1097" i="1" s="1"/>
  <c r="AE1098" i="1"/>
  <c r="AS1098" i="1" s="1"/>
  <c r="AE1099" i="1"/>
  <c r="AS1099" i="1" s="1"/>
  <c r="AE1100" i="1"/>
  <c r="AS1100" i="1" s="1"/>
  <c r="AE1101" i="1"/>
  <c r="AS1101" i="1" s="1"/>
  <c r="AE1102" i="1"/>
  <c r="AS1102" i="1" s="1"/>
  <c r="AE1103" i="1"/>
  <c r="AS1103" i="1" s="1"/>
  <c r="AE1104" i="1"/>
  <c r="AS1104" i="1" s="1"/>
  <c r="AE1105" i="1"/>
  <c r="AE1106" i="1"/>
  <c r="AS1106" i="1" s="1"/>
  <c r="AE1107" i="1"/>
  <c r="AS1107" i="1" s="1"/>
  <c r="AE1108" i="1"/>
  <c r="AS1108" i="1" s="1"/>
  <c r="AE1109" i="1"/>
  <c r="AS1109" i="1" s="1"/>
  <c r="AE1110" i="1"/>
  <c r="AS1110" i="1" s="1"/>
  <c r="AE1111" i="1"/>
  <c r="AS1111" i="1" s="1"/>
  <c r="AE1112" i="1"/>
  <c r="AS1112" i="1" s="1"/>
  <c r="AE1113" i="1"/>
  <c r="AS1113" i="1" s="1"/>
  <c r="AE1114" i="1"/>
  <c r="AS1114" i="1" s="1"/>
  <c r="AE1115" i="1"/>
  <c r="AS1115" i="1" s="1"/>
  <c r="AE1116" i="1"/>
  <c r="AS1116" i="1" s="1"/>
  <c r="AE1117" i="1"/>
  <c r="AE1118" i="1"/>
  <c r="AS1118" i="1" s="1"/>
  <c r="AE1119" i="1"/>
  <c r="AS1119" i="1" s="1"/>
  <c r="AE1120" i="1"/>
  <c r="AS1120" i="1" s="1"/>
  <c r="AE1121" i="1"/>
  <c r="AS1121" i="1" s="1"/>
  <c r="AE1122" i="1"/>
  <c r="AS1122" i="1" s="1"/>
  <c r="AE1123" i="1"/>
  <c r="AS1123" i="1" s="1"/>
  <c r="AE1124" i="1"/>
  <c r="AS1124" i="1" s="1"/>
  <c r="AE1125" i="1"/>
  <c r="AS1125" i="1" s="1"/>
  <c r="AE1126" i="1"/>
  <c r="AS1126" i="1" s="1"/>
  <c r="AE1127" i="1"/>
  <c r="AS1127" i="1" s="1"/>
  <c r="AE1128" i="1"/>
  <c r="AS1128" i="1" s="1"/>
  <c r="AE1129" i="1"/>
  <c r="AS1129" i="1" s="1"/>
  <c r="AE1130" i="1"/>
  <c r="AS1130" i="1" s="1"/>
  <c r="AE1131" i="1"/>
  <c r="AS1131" i="1" s="1"/>
  <c r="AE1132" i="1"/>
  <c r="AS1132" i="1" s="1"/>
  <c r="AE1133" i="1"/>
  <c r="AS1133" i="1" s="1"/>
  <c r="AE1134" i="1"/>
  <c r="AE1135" i="1"/>
  <c r="AS1135" i="1" s="1"/>
  <c r="AE1136" i="1"/>
  <c r="AS1136" i="1" s="1"/>
  <c r="AE1137" i="1"/>
  <c r="AS1137" i="1" s="1"/>
  <c r="AE1138" i="1"/>
  <c r="AS1138" i="1" s="1"/>
  <c r="AE1139" i="1"/>
  <c r="AS1139" i="1" s="1"/>
  <c r="AE1140" i="1"/>
  <c r="AS1140" i="1" s="1"/>
  <c r="AE1141" i="1"/>
  <c r="AS1141" i="1" s="1"/>
  <c r="AE1142" i="1"/>
  <c r="AS1142" i="1" s="1"/>
  <c r="AE1143" i="1"/>
  <c r="AS1143" i="1" s="1"/>
  <c r="AE1144" i="1"/>
  <c r="AS1144" i="1" s="1"/>
  <c r="AE1145" i="1"/>
  <c r="AS1145" i="1" s="1"/>
  <c r="AE1146" i="1"/>
  <c r="AS1146" i="1" s="1"/>
  <c r="AE1147" i="1"/>
  <c r="AS1147" i="1" s="1"/>
  <c r="AE1148" i="1"/>
  <c r="AS1148" i="1" s="1"/>
  <c r="AE1149" i="1"/>
  <c r="AS1149" i="1" s="1"/>
  <c r="AE1150" i="1"/>
  <c r="AS1150" i="1" s="1"/>
  <c r="AE1151" i="1"/>
  <c r="AE1152" i="1"/>
  <c r="AS1152" i="1" s="1"/>
  <c r="AE1153" i="1"/>
  <c r="AS1153" i="1" s="1"/>
  <c r="AE1154" i="1"/>
  <c r="AS1154" i="1" s="1"/>
  <c r="AE1155" i="1"/>
  <c r="AS1155" i="1" s="1"/>
  <c r="AE1156" i="1"/>
  <c r="AS1156" i="1" s="1"/>
  <c r="AE1157" i="1"/>
  <c r="AS1157" i="1" s="1"/>
  <c r="AE1158" i="1"/>
  <c r="AS1158" i="1" s="1"/>
  <c r="AE1159" i="1"/>
  <c r="AS1159" i="1" s="1"/>
  <c r="AE1160" i="1"/>
  <c r="AS1160" i="1" s="1"/>
  <c r="AE1161" i="1"/>
  <c r="AS1161" i="1" s="1"/>
  <c r="AE1162" i="1"/>
  <c r="AS1162" i="1" s="1"/>
  <c r="AE1163" i="1"/>
  <c r="AS1163" i="1" s="1"/>
  <c r="AE1164" i="1"/>
  <c r="AS1164" i="1" s="1"/>
  <c r="AE1165" i="1"/>
  <c r="AS1165" i="1" s="1"/>
  <c r="AE1166" i="1"/>
  <c r="AS1166" i="1" s="1"/>
  <c r="AE1167" i="1"/>
  <c r="AS1167" i="1" s="1"/>
  <c r="AE1168" i="1"/>
  <c r="AS1168" i="1" s="1"/>
  <c r="AE1169" i="1"/>
  <c r="AS1169" i="1" s="1"/>
  <c r="AE1170" i="1"/>
  <c r="AS1170" i="1" s="1"/>
  <c r="AE1171" i="1"/>
  <c r="AS1171" i="1" s="1"/>
  <c r="AE1172" i="1"/>
  <c r="AS1172" i="1" s="1"/>
  <c r="AE1173" i="1"/>
  <c r="AS1173" i="1" s="1"/>
  <c r="AE1174" i="1"/>
  <c r="AE1175" i="1"/>
  <c r="AS1175" i="1" s="1"/>
  <c r="AE1176" i="1"/>
  <c r="AS1176" i="1" s="1"/>
  <c r="AE1177" i="1"/>
  <c r="AS1177" i="1" s="1"/>
  <c r="AE1178" i="1"/>
  <c r="AS1178" i="1" s="1"/>
  <c r="AE1179" i="1"/>
  <c r="AE1180" i="1"/>
  <c r="AS1180" i="1" s="1"/>
  <c r="AE1181" i="1"/>
  <c r="AS1181" i="1" s="1"/>
  <c r="AE1182" i="1"/>
  <c r="AS1182" i="1" s="1"/>
  <c r="AE1183" i="1"/>
  <c r="AS1183" i="1" s="1"/>
  <c r="AE1184" i="1"/>
  <c r="AS1184" i="1" s="1"/>
  <c r="AE1185" i="1"/>
  <c r="AS1185" i="1" s="1"/>
  <c r="AE1186" i="1"/>
  <c r="AS1186" i="1" s="1"/>
  <c r="AE1187" i="1"/>
  <c r="AS1187" i="1" s="1"/>
  <c r="AE1188" i="1"/>
  <c r="AS1188" i="1" s="1"/>
  <c r="AE1189" i="1"/>
  <c r="AS1189" i="1" s="1"/>
  <c r="AE1190" i="1"/>
  <c r="AS1190" i="1" s="1"/>
  <c r="AE1191" i="1"/>
  <c r="AS1191" i="1" s="1"/>
  <c r="AE1192" i="1"/>
  <c r="AS1192" i="1" s="1"/>
  <c r="AE1193" i="1"/>
  <c r="AE1194" i="1"/>
  <c r="AS1194" i="1" s="1"/>
  <c r="AE1195" i="1"/>
  <c r="AS1195" i="1" s="1"/>
  <c r="AE1196" i="1"/>
  <c r="AS1196" i="1" s="1"/>
  <c r="AE1197" i="1"/>
  <c r="AS1197" i="1" s="1"/>
  <c r="AE1198" i="1"/>
  <c r="AS1198" i="1" s="1"/>
  <c r="AE1199" i="1"/>
  <c r="AE1200" i="1"/>
  <c r="AS1200" i="1" s="1"/>
  <c r="AE1201" i="1"/>
  <c r="AS1201" i="1" s="1"/>
  <c r="AE1202" i="1"/>
  <c r="AS1202" i="1" s="1"/>
  <c r="AE1203" i="1"/>
  <c r="AS1203" i="1" s="1"/>
  <c r="AE1204" i="1"/>
  <c r="AS1204" i="1" s="1"/>
  <c r="AE1205" i="1"/>
  <c r="AS1205" i="1" s="1"/>
  <c r="AE1206" i="1"/>
  <c r="AS1206" i="1" s="1"/>
  <c r="AE1207" i="1"/>
  <c r="AS1207" i="1" s="1"/>
  <c r="AE1208" i="1"/>
  <c r="AS1208" i="1" s="1"/>
  <c r="AE1209" i="1"/>
  <c r="AS1209" i="1" s="1"/>
  <c r="AE1210" i="1"/>
  <c r="AS1210" i="1" s="1"/>
  <c r="AE1211" i="1"/>
  <c r="AS1211" i="1" s="1"/>
  <c r="AE1212" i="1"/>
  <c r="AS1212" i="1" s="1"/>
  <c r="AE1213" i="1"/>
  <c r="AS1213" i="1" s="1"/>
  <c r="AE1214" i="1"/>
  <c r="AS1214" i="1" s="1"/>
  <c r="AE1215" i="1"/>
  <c r="AE1216" i="1"/>
  <c r="AS1216" i="1" s="1"/>
  <c r="AE1217" i="1"/>
  <c r="AS1217" i="1" s="1"/>
  <c r="AE1218" i="1"/>
  <c r="AS1218" i="1" s="1"/>
  <c r="AE1219" i="1"/>
  <c r="AS1219" i="1" s="1"/>
  <c r="AE1220" i="1"/>
  <c r="AS1220" i="1" s="1"/>
  <c r="AE1221" i="1"/>
  <c r="AS1221" i="1" s="1"/>
  <c r="AE1222" i="1"/>
  <c r="AS1222" i="1" s="1"/>
  <c r="AE1223" i="1"/>
  <c r="AS1223" i="1" s="1"/>
  <c r="AE1224" i="1"/>
  <c r="AS1224" i="1" s="1"/>
  <c r="AE1225" i="1"/>
  <c r="AS1225" i="1" s="1"/>
  <c r="AE1226" i="1"/>
  <c r="AS1226" i="1" s="1"/>
  <c r="AE1227" i="1"/>
  <c r="AS1227" i="1" s="1"/>
  <c r="AE1228" i="1"/>
  <c r="AS1228" i="1" s="1"/>
  <c r="AE1229" i="1"/>
  <c r="AS1229" i="1" s="1"/>
  <c r="AE1230" i="1"/>
  <c r="AS1230" i="1" s="1"/>
  <c r="AE1231" i="1"/>
  <c r="AS1231" i="1" s="1"/>
  <c r="AE1232" i="1"/>
  <c r="AS1232" i="1" s="1"/>
  <c r="AE1233" i="1"/>
  <c r="AS1233" i="1" s="1"/>
  <c r="AE1234" i="1"/>
  <c r="AS1234" i="1" s="1"/>
  <c r="AE1235" i="1"/>
  <c r="AS1235" i="1" s="1"/>
  <c r="AE1236" i="1"/>
  <c r="AS1236" i="1" s="1"/>
  <c r="AE1237" i="1"/>
  <c r="AS1237" i="1" s="1"/>
  <c r="AE1238" i="1"/>
  <c r="AS1238" i="1" s="1"/>
  <c r="AE1239" i="1"/>
  <c r="AS1239" i="1" s="1"/>
  <c r="AE1240" i="1"/>
  <c r="AS1240" i="1" s="1"/>
  <c r="AE1241" i="1"/>
  <c r="AS1241" i="1" s="1"/>
  <c r="AE1242" i="1"/>
  <c r="AS1242" i="1" s="1"/>
  <c r="AE1243" i="1"/>
  <c r="AS1243" i="1" s="1"/>
  <c r="AE1244" i="1"/>
  <c r="AS1244" i="1" s="1"/>
  <c r="AE1245" i="1"/>
  <c r="AE1246" i="1"/>
  <c r="AS1246" i="1" s="1"/>
  <c r="AE1247" i="1"/>
  <c r="AS1247" i="1" s="1"/>
  <c r="AE1248" i="1"/>
  <c r="AS1248" i="1" s="1"/>
  <c r="AE1249" i="1"/>
  <c r="AS1249" i="1" s="1"/>
  <c r="AE1250" i="1"/>
  <c r="AS1250" i="1" s="1"/>
  <c r="AE1251" i="1"/>
  <c r="AS1251" i="1" s="1"/>
  <c r="AE1252" i="1"/>
  <c r="AS1252" i="1" s="1"/>
  <c r="AE1253" i="1"/>
  <c r="AS1253" i="1" s="1"/>
  <c r="AE1254" i="1"/>
  <c r="AS1254" i="1" s="1"/>
  <c r="AE1255" i="1"/>
  <c r="AS1255" i="1" s="1"/>
  <c r="AE1256" i="1"/>
  <c r="AS1256" i="1" s="1"/>
  <c r="AE1257" i="1"/>
  <c r="AS1257" i="1" s="1"/>
  <c r="AE1258" i="1"/>
  <c r="AS1258" i="1" s="1"/>
  <c r="AE1259" i="1"/>
  <c r="AS1259" i="1" s="1"/>
  <c r="AE1260" i="1"/>
  <c r="AS1260" i="1" s="1"/>
  <c r="AE1261" i="1"/>
  <c r="AS1261" i="1" s="1"/>
  <c r="AE1262" i="1"/>
  <c r="AS1262" i="1" s="1"/>
  <c r="AE1263" i="1"/>
  <c r="AS1263" i="1" s="1"/>
  <c r="AE1264" i="1"/>
  <c r="AS1264" i="1" s="1"/>
  <c r="AE1265" i="1"/>
  <c r="AE1266" i="1"/>
  <c r="AS1266" i="1" s="1"/>
  <c r="AE1267" i="1"/>
  <c r="AS1267" i="1" s="1"/>
  <c r="AE1268" i="1"/>
  <c r="AS1268" i="1" s="1"/>
  <c r="AE1269" i="1"/>
  <c r="AS1269" i="1" s="1"/>
  <c r="AE1270" i="1"/>
  <c r="AS1270" i="1" s="1"/>
  <c r="AE1271" i="1"/>
  <c r="AS1271" i="1" s="1"/>
  <c r="AE1272" i="1"/>
  <c r="AS1272" i="1" s="1"/>
  <c r="AE1273" i="1"/>
  <c r="AS1273" i="1" s="1"/>
  <c r="AE1274" i="1"/>
  <c r="AS1274" i="1" s="1"/>
  <c r="AE1275" i="1"/>
  <c r="AS1275" i="1" s="1"/>
  <c r="AE1276" i="1"/>
  <c r="AS1276" i="1" s="1"/>
  <c r="K141" i="1"/>
  <c r="K142" i="1"/>
  <c r="K143" i="1"/>
  <c r="K144" i="1"/>
  <c r="K145" i="1"/>
  <c r="K146" i="1"/>
  <c r="K147" i="1"/>
  <c r="K148" i="1"/>
  <c r="K149" i="1"/>
  <c r="K14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46" i="1"/>
  <c r="P65" i="2" s="1"/>
  <c r="F5" i="6" l="1"/>
  <c r="F11" i="6"/>
  <c r="F7" i="6"/>
  <c r="F9" i="6"/>
  <c r="G3" i="6"/>
  <c r="F3" i="6"/>
  <c r="L12" i="6"/>
  <c r="L11" i="6"/>
  <c r="L8" i="6"/>
  <c r="L7" i="6"/>
  <c r="L6" i="6"/>
  <c r="L5" i="6"/>
  <c r="L4" i="6"/>
  <c r="L3" i="6"/>
  <c r="M6" i="6"/>
  <c r="M5" i="6"/>
  <c r="M7" i="6"/>
  <c r="M8" i="6"/>
  <c r="M11" i="6"/>
  <c r="M12" i="6"/>
  <c r="M4" i="6"/>
  <c r="M3" i="6"/>
  <c r="K11" i="6"/>
  <c r="K7" i="6"/>
  <c r="K5" i="6"/>
  <c r="K3" i="6"/>
  <c r="J11" i="6"/>
  <c r="J7" i="6"/>
  <c r="J5" i="6"/>
  <c r="J3" i="6"/>
  <c r="H12" i="6"/>
  <c r="H6" i="6"/>
  <c r="H11" i="6"/>
  <c r="H7" i="6"/>
  <c r="H4" i="6"/>
  <c r="H8" i="6"/>
  <c r="H5" i="6"/>
  <c r="G11" i="6"/>
  <c r="G9" i="6"/>
  <c r="G7" i="6"/>
  <c r="H3" i="6"/>
  <c r="D9" i="6"/>
  <c r="I3" i="6"/>
  <c r="I9" i="6"/>
  <c r="C22" i="7" a="1"/>
  <c r="C23" i="7" a="1"/>
  <c r="E10" i="6"/>
  <c r="B9" i="6"/>
  <c r="D3" i="6"/>
  <c r="O3" i="6"/>
  <c r="C3" i="6"/>
  <c r="C9" i="6"/>
  <c r="Q8" i="6"/>
  <c r="P8" i="6"/>
  <c r="E9" i="6"/>
  <c r="P7" i="6"/>
  <c r="Q7" i="6"/>
  <c r="E4" i="6"/>
  <c r="O8" i="6"/>
  <c r="E3" i="6"/>
  <c r="O7" i="6"/>
  <c r="B3" i="6"/>
  <c r="F8" i="7"/>
  <c r="F13" i="7"/>
  <c r="F10" i="7"/>
  <c r="F9" i="7"/>
  <c r="F17" i="7"/>
  <c r="F16" i="7"/>
  <c r="F15" i="7"/>
  <c r="AC6" i="2"/>
  <c r="AC4" i="2"/>
  <c r="AC3" i="2"/>
  <c r="P64" i="2"/>
  <c r="C6" i="7" s="1"/>
  <c r="AS75" i="1"/>
  <c r="AE64" i="2"/>
  <c r="AS148" i="1"/>
  <c r="AE56" i="2"/>
  <c r="AS149" i="1"/>
  <c r="AE55" i="2"/>
  <c r="AS152" i="1"/>
  <c r="AE54" i="2"/>
  <c r="AS153" i="1"/>
  <c r="AE53" i="2"/>
  <c r="AS154" i="1"/>
  <c r="AE52" i="2"/>
  <c r="AS155" i="1"/>
  <c r="AE51" i="2"/>
  <c r="AS157" i="1"/>
  <c r="AE50" i="2"/>
  <c r="AS158" i="1"/>
  <c r="AE49" i="2"/>
  <c r="AS161" i="1"/>
  <c r="AE48" i="2"/>
  <c r="AS172" i="1"/>
  <c r="AE62" i="2"/>
  <c r="AS195" i="1"/>
  <c r="AE47" i="2"/>
  <c r="AS208" i="1"/>
  <c r="AE60" i="2"/>
  <c r="AS249" i="1"/>
  <c r="AE43" i="2"/>
  <c r="AS268" i="1"/>
  <c r="AE42" i="2"/>
  <c r="AS279" i="1"/>
  <c r="AE46" i="2"/>
  <c r="AS349" i="1"/>
  <c r="AS467" i="1"/>
  <c r="AE45" i="2"/>
  <c r="AS595" i="1"/>
  <c r="AE59" i="2"/>
  <c r="AS685" i="1"/>
  <c r="AE58" i="2"/>
  <c r="AS826" i="1"/>
  <c r="AE57" i="2"/>
  <c r="AS1151" i="1"/>
  <c r="AE61" i="2"/>
  <c r="AC65" i="2"/>
  <c r="AS328" i="1"/>
  <c r="AE41" i="2"/>
  <c r="AS345" i="1"/>
  <c r="AE38" i="2"/>
  <c r="AS396" i="1"/>
  <c r="AE37" i="2"/>
  <c r="AS418" i="1"/>
  <c r="AE36" i="2"/>
  <c r="AS426" i="1"/>
  <c r="AE34" i="2"/>
  <c r="AS427" i="1"/>
  <c r="AE35" i="2"/>
  <c r="AS433" i="1"/>
  <c r="AE33" i="2"/>
  <c r="AS465" i="1"/>
  <c r="AE30" i="2"/>
  <c r="AS1054" i="1"/>
  <c r="AE40" i="2"/>
  <c r="AS1174" i="1"/>
  <c r="AE44" i="2"/>
  <c r="AS1179" i="1"/>
  <c r="AE32" i="2"/>
  <c r="AS1245" i="1"/>
  <c r="AE63" i="2"/>
  <c r="AS23" i="1"/>
  <c r="AE65" i="2"/>
  <c r="AS527" i="1"/>
  <c r="AE25" i="2"/>
  <c r="AS540" i="1"/>
  <c r="AE24" i="2"/>
  <c r="AS554" i="1"/>
  <c r="AE23" i="2"/>
  <c r="AS564" i="1"/>
  <c r="AE26" i="2"/>
  <c r="AS744" i="1"/>
  <c r="AE29" i="2"/>
  <c r="AS843" i="1"/>
  <c r="AE28" i="2"/>
  <c r="AS908" i="1"/>
  <c r="AE27" i="2"/>
  <c r="AS1005" i="1"/>
  <c r="AE21" i="2"/>
  <c r="AS1134" i="1"/>
  <c r="AE22" i="2"/>
  <c r="AS1215" i="1"/>
  <c r="AE20" i="2"/>
  <c r="AS566" i="1"/>
  <c r="AE10" i="2"/>
  <c r="AS617" i="1"/>
  <c r="AE19" i="2"/>
  <c r="AS752" i="1"/>
  <c r="AE12" i="2"/>
  <c r="AS834" i="1"/>
  <c r="AE14" i="2"/>
  <c r="AS897" i="1"/>
  <c r="AE9" i="2"/>
  <c r="AS1008" i="1"/>
  <c r="AE18" i="2"/>
  <c r="AS1105" i="1"/>
  <c r="AE15" i="2"/>
  <c r="AS1117" i="1"/>
  <c r="AE13" i="2"/>
  <c r="AS1193" i="1"/>
  <c r="AE11" i="2"/>
  <c r="AS1199" i="1"/>
  <c r="AE17" i="2"/>
  <c r="AS1265" i="1"/>
  <c r="AE16" i="2"/>
  <c r="AS803" i="1"/>
  <c r="AE7" i="2"/>
  <c r="AS875" i="1"/>
  <c r="AE5" i="2"/>
  <c r="AS892" i="1"/>
  <c r="AE4" i="2"/>
  <c r="AS936" i="1"/>
  <c r="AE3" i="2"/>
  <c r="AS946" i="1"/>
  <c r="AE6" i="2"/>
  <c r="AS1002" i="1"/>
  <c r="AE8" i="2"/>
  <c r="AS1029" i="1"/>
  <c r="AE2" i="2"/>
  <c r="C3" i="7"/>
  <c r="F5" i="7"/>
  <c r="C4" i="7"/>
  <c r="C13" i="7"/>
  <c r="C10" i="7"/>
  <c r="C11" i="7"/>
  <c r="F7" i="7"/>
  <c r="F3" i="7"/>
  <c r="C8" i="7"/>
  <c r="C12" i="7"/>
  <c r="C5" i="7"/>
  <c r="C9" i="7"/>
  <c r="F6" i="7"/>
  <c r="F4" i="7"/>
  <c r="H7" i="3"/>
  <c r="L8" i="3" a="1"/>
  <c r="L7" i="3" s="1"/>
  <c r="F18" i="7"/>
  <c r="H4" i="3" a="1"/>
  <c r="H3" i="3" s="1"/>
  <c r="B34" i="3"/>
  <c r="C33" i="3"/>
  <c r="AS16" i="1"/>
  <c r="C7" i="7" l="1"/>
  <c r="B35" i="3"/>
  <c r="C34" i="3"/>
  <c r="C35" i="3" l="1"/>
  <c r="B36" i="3"/>
  <c r="C36" i="3" l="1"/>
  <c r="B37" i="3"/>
  <c r="C37" i="3" l="1"/>
  <c r="B38" i="3"/>
  <c r="C38" i="3" l="1"/>
  <c r="B39" i="3"/>
  <c r="C39" i="3" l="1"/>
  <c r="B40" i="3"/>
  <c r="C40" i="3" l="1"/>
  <c r="B41" i="3"/>
  <c r="C41" i="3" l="1"/>
  <c r="B42" i="3"/>
  <c r="C42" i="3" l="1"/>
  <c r="B43" i="3"/>
  <c r="C43" i="3" l="1"/>
  <c r="B44" i="3"/>
  <c r="C44" i="3" l="1"/>
  <c r="B45" i="3"/>
  <c r="C45" i="3" l="1"/>
  <c r="B46" i="3"/>
  <c r="C46" i="3" l="1"/>
  <c r="B47" i="3"/>
  <c r="C47" i="3" l="1"/>
  <c r="B48" i="3"/>
  <c r="C48" i="3" l="1"/>
  <c r="B49" i="3"/>
  <c r="C49" i="3" l="1"/>
  <c r="B50" i="3"/>
  <c r="C50" i="3" l="1"/>
  <c r="B51" i="3"/>
  <c r="C51" i="3" l="1"/>
  <c r="B52" i="3"/>
  <c r="C52" i="3" l="1"/>
  <c r="B53" i="3"/>
  <c r="C53" i="3" l="1"/>
  <c r="B54" i="3"/>
  <c r="C54" i="3" l="1"/>
  <c r="B55" i="3"/>
  <c r="C55" i="3" l="1"/>
  <c r="B56" i="3"/>
  <c r="C56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O'Dell</author>
  </authors>
  <commentList>
    <comment ref="A1" authorId="0" shapeId="0" xr:uid="{223A25BE-7F77-48A7-B51F-DC26EA3BCD64}">
      <text>
        <r>
          <rPr>
            <b/>
            <sz val="9"/>
            <color indexed="81"/>
            <rFont val="Tahoma"/>
            <family val="2"/>
          </rPr>
          <t>John O'Dell:</t>
        </r>
        <r>
          <rPr>
            <sz val="9"/>
            <color indexed="81"/>
            <rFont val="Tahoma"/>
            <family val="2"/>
          </rPr>
          <t xml:space="preserve">
Sheet protection password: JPO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<sst xmlns="http://schemas.openxmlformats.org/spreadsheetml/2006/main" count="4677" uniqueCount="565">
  <si>
    <t>TypeCode</t>
  </si>
  <si>
    <t>Year</t>
  </si>
  <si>
    <t>Make</t>
  </si>
  <si>
    <t>Model</t>
  </si>
  <si>
    <t>GearType</t>
  </si>
  <si>
    <t>EngineType</t>
  </si>
  <si>
    <t>aircraftClass (FAA)</t>
  </si>
  <si>
    <t>taa (FAA)</t>
  </si>
  <si>
    <t>highPerformance (FAA)</t>
  </si>
  <si>
    <t>pressurized (FAA)</t>
  </si>
  <si>
    <t>N53456</t>
  </si>
  <si>
    <t>C172</t>
  </si>
  <si>
    <t>Cessna</t>
  </si>
  <si>
    <t>Piston</t>
  </si>
  <si>
    <t>N3613F</t>
  </si>
  <si>
    <t>SGS 2-33</t>
  </si>
  <si>
    <t>Schweiser</t>
  </si>
  <si>
    <t>N5722S</t>
  </si>
  <si>
    <t>N9008C</t>
  </si>
  <si>
    <t>C180</t>
  </si>
  <si>
    <t>N2591V</t>
  </si>
  <si>
    <t>C177</t>
  </si>
  <si>
    <t>N231CD</t>
  </si>
  <si>
    <t>SR20</t>
  </si>
  <si>
    <t>Cirrus</t>
  </si>
  <si>
    <t>N998AZ</t>
  </si>
  <si>
    <t>AC912</t>
  </si>
  <si>
    <t>Air Creation</t>
  </si>
  <si>
    <t>Tanarg</t>
  </si>
  <si>
    <t>N4205U</t>
  </si>
  <si>
    <t>C150</t>
  </si>
  <si>
    <t>N276GT</t>
  </si>
  <si>
    <t>172S</t>
  </si>
  <si>
    <t>N22AF</t>
  </si>
  <si>
    <t>C560</t>
  </si>
  <si>
    <t>Turbofan</t>
  </si>
  <si>
    <t>N30741</t>
  </si>
  <si>
    <t>N387RE</t>
  </si>
  <si>
    <t>C550</t>
  </si>
  <si>
    <t>N428HS</t>
  </si>
  <si>
    <t>C182</t>
  </si>
  <si>
    <t>N4476L</t>
  </si>
  <si>
    <t>N545C</t>
  </si>
  <si>
    <t>BE9L</t>
  </si>
  <si>
    <t>Beechcraft</t>
  </si>
  <si>
    <t>C90</t>
  </si>
  <si>
    <t>Turboprop</t>
  </si>
  <si>
    <t>N6026U</t>
  </si>
  <si>
    <t>BE35</t>
  </si>
  <si>
    <t>N62244</t>
  </si>
  <si>
    <t>N631TS</t>
  </si>
  <si>
    <t>N71PK</t>
  </si>
  <si>
    <t>N968RC</t>
  </si>
  <si>
    <t>N771TA</t>
  </si>
  <si>
    <t>E300</t>
  </si>
  <si>
    <t>Extra</t>
  </si>
  <si>
    <t>N30073</t>
  </si>
  <si>
    <t>CHAL2</t>
  </si>
  <si>
    <t>Quad City</t>
  </si>
  <si>
    <t>Challenger II</t>
  </si>
  <si>
    <t>N49681</t>
  </si>
  <si>
    <t>C152</t>
  </si>
  <si>
    <t>N51DN</t>
  </si>
  <si>
    <t>BE90</t>
  </si>
  <si>
    <t>N3010W</t>
  </si>
  <si>
    <t>P28A</t>
  </si>
  <si>
    <t>AICSA</t>
  </si>
  <si>
    <t>PA-28-181 Archer II</t>
  </si>
  <si>
    <t>N40DA</t>
  </si>
  <si>
    <t>PA30</t>
  </si>
  <si>
    <t>Piper Aircraft</t>
  </si>
  <si>
    <t>PA-30 Twin Comanche</t>
  </si>
  <si>
    <t>N462W</t>
  </si>
  <si>
    <t>BE58</t>
  </si>
  <si>
    <t>Baron 58</t>
  </si>
  <si>
    <t>N4963G</t>
  </si>
  <si>
    <t>N5880W</t>
  </si>
  <si>
    <t>PA-28-140 Cherokee Cruiser</t>
  </si>
  <si>
    <t>N18GY</t>
  </si>
  <si>
    <t>Cessna Aircraft</t>
  </si>
  <si>
    <t>550 Citation II</t>
  </si>
  <si>
    <t>N9397P</t>
  </si>
  <si>
    <t>PA24</t>
  </si>
  <si>
    <t>PA-24 Comanche</t>
  </si>
  <si>
    <t>N21XT</t>
  </si>
  <si>
    <t>EA-330</t>
  </si>
  <si>
    <t>N36056</t>
  </si>
  <si>
    <t>PA-28-161 Warrior II</t>
  </si>
  <si>
    <t>N98083</t>
  </si>
  <si>
    <t>J3</t>
  </si>
  <si>
    <t>Cub</t>
  </si>
  <si>
    <t>J-3 Cub</t>
  </si>
  <si>
    <t>N68MJ</t>
  </si>
  <si>
    <t>DA42</t>
  </si>
  <si>
    <t>Diamond</t>
  </si>
  <si>
    <t>DA-42NG</t>
  </si>
  <si>
    <t>Diesel</t>
  </si>
  <si>
    <t>N49BR</t>
  </si>
  <si>
    <t>PTS2</t>
  </si>
  <si>
    <t>Aviat</t>
  </si>
  <si>
    <t>Pitts S-2A</t>
  </si>
  <si>
    <t>N7257D</t>
  </si>
  <si>
    <t>PA22</t>
  </si>
  <si>
    <t>PA-22-150 Tri-Pacer</t>
  </si>
  <si>
    <t>N812ST</t>
  </si>
  <si>
    <t>N39931</t>
  </si>
  <si>
    <t>N5839L</t>
  </si>
  <si>
    <t>AA5</t>
  </si>
  <si>
    <t>American</t>
  </si>
  <si>
    <t>AA-5 Traveler</t>
  </si>
  <si>
    <t>N226RT</t>
  </si>
  <si>
    <t>TAIL</t>
  </si>
  <si>
    <t>Wittman</t>
  </si>
  <si>
    <t>Tailwind</t>
  </si>
  <si>
    <t>N459CP</t>
  </si>
  <si>
    <t>S22T</t>
  </si>
  <si>
    <t>SR22T</t>
  </si>
  <si>
    <t>N6984C</t>
  </si>
  <si>
    <t>T6</t>
  </si>
  <si>
    <t>North American</t>
  </si>
  <si>
    <t>AT-6 Texan</t>
  </si>
  <si>
    <t>N20773</t>
  </si>
  <si>
    <t>N71WF</t>
  </si>
  <si>
    <t>C182RG</t>
  </si>
  <si>
    <t>Skylane</t>
  </si>
  <si>
    <t>N437DC</t>
  </si>
  <si>
    <t>RV4</t>
  </si>
  <si>
    <t>Vans</t>
  </si>
  <si>
    <t>RV-4</t>
  </si>
  <si>
    <t>N80BD</t>
  </si>
  <si>
    <t>8KCAB</t>
  </si>
  <si>
    <t>American Champion</t>
  </si>
  <si>
    <t>Super Decathlon</t>
  </si>
  <si>
    <t>N8EB</t>
  </si>
  <si>
    <t>S550 Citation S/II</t>
  </si>
  <si>
    <t>N82RD</t>
  </si>
  <si>
    <t>GLST</t>
  </si>
  <si>
    <t>New Glastar</t>
  </si>
  <si>
    <t>GlaStar</t>
  </si>
  <si>
    <t>N30267</t>
  </si>
  <si>
    <t>CASS</t>
  </si>
  <si>
    <t>Cassutt</t>
  </si>
  <si>
    <t>IIIM</t>
  </si>
  <si>
    <t>N292L</t>
  </si>
  <si>
    <t>RV8</t>
  </si>
  <si>
    <t>RV-8</t>
  </si>
  <si>
    <t>N568ST</t>
  </si>
  <si>
    <t>N49JF</t>
  </si>
  <si>
    <t>VELO</t>
  </si>
  <si>
    <t>Velocity</t>
  </si>
  <si>
    <t>N34424</t>
  </si>
  <si>
    <t>AR6T</t>
  </si>
  <si>
    <t>Aeronca</t>
  </si>
  <si>
    <t>65 Tandem</t>
  </si>
  <si>
    <t>N67AS</t>
  </si>
  <si>
    <t>300L</t>
  </si>
  <si>
    <t>N11681</t>
  </si>
  <si>
    <t>CH7B</t>
  </si>
  <si>
    <t>Bellanca</t>
  </si>
  <si>
    <t>7KCAB Citabria</t>
  </si>
  <si>
    <t>N12268</t>
  </si>
  <si>
    <t>C425</t>
  </si>
  <si>
    <t>N15518</t>
  </si>
  <si>
    <t>N173RJ</t>
  </si>
  <si>
    <t>C170</t>
  </si>
  <si>
    <t>N1949B</t>
  </si>
  <si>
    <t>DHC2</t>
  </si>
  <si>
    <t>DeHavilland</t>
  </si>
  <si>
    <t>Beaver</t>
  </si>
  <si>
    <t>Radial</t>
  </si>
  <si>
    <t>N195R</t>
  </si>
  <si>
    <t>RNSS-9</t>
  </si>
  <si>
    <t>Rans</t>
  </si>
  <si>
    <t>S-9</t>
  </si>
  <si>
    <t>N4389L</t>
  </si>
  <si>
    <t>172G</t>
  </si>
  <si>
    <t>T6II</t>
  </si>
  <si>
    <t>T-6 Texan II</t>
  </si>
  <si>
    <t>Northrop</t>
  </si>
  <si>
    <t>Turbojet</t>
  </si>
  <si>
    <t>Date</t>
  </si>
  <si>
    <t>From</t>
  </si>
  <si>
    <t>To</t>
  </si>
  <si>
    <t>Route</t>
  </si>
  <si>
    <t>PIC</t>
  </si>
  <si>
    <t>SIC</t>
  </si>
  <si>
    <t>Night</t>
  </si>
  <si>
    <t>Solo</t>
  </si>
  <si>
    <t>Holds</t>
  </si>
  <si>
    <t>KSPS</t>
  </si>
  <si>
    <t>KGGG</t>
  </si>
  <si>
    <t>KAUS</t>
  </si>
  <si>
    <t>KNFW</t>
  </si>
  <si>
    <t>KGRK</t>
  </si>
  <si>
    <t>KOKC</t>
  </si>
  <si>
    <t>KCWF</t>
  </si>
  <si>
    <t>KDYS</t>
  </si>
  <si>
    <t>KAFW</t>
  </si>
  <si>
    <t>KABI</t>
  </si>
  <si>
    <t>KTUL</t>
  </si>
  <si>
    <t>KAMA</t>
  </si>
  <si>
    <t>KADM</t>
  </si>
  <si>
    <t>KSNS</t>
  </si>
  <si>
    <t>KFDR</t>
  </si>
  <si>
    <t>KSBP</t>
  </si>
  <si>
    <t>F14</t>
  </si>
  <si>
    <t>KTSP</t>
  </si>
  <si>
    <t>KMHV</t>
  </si>
  <si>
    <t>KCMA</t>
  </si>
  <si>
    <t>KTRM</t>
  </si>
  <si>
    <t>KDLO</t>
  </si>
  <si>
    <t>KMAE</t>
  </si>
  <si>
    <t>O61</t>
  </si>
  <si>
    <t>KBFL</t>
  </si>
  <si>
    <t>KPRB</t>
  </si>
  <si>
    <t>KDLO KPTV</t>
  </si>
  <si>
    <t>O26</t>
  </si>
  <si>
    <t>BC LB, 2O7, O26</t>
  </si>
  <si>
    <t>TSP</t>
  </si>
  <si>
    <t>E16</t>
  </si>
  <si>
    <t>KRHV</t>
  </si>
  <si>
    <t>KRTS</t>
  </si>
  <si>
    <t>KWJF</t>
  </si>
  <si>
    <t>ROAD</t>
  </si>
  <si>
    <t>L05</t>
  </si>
  <si>
    <t>KFUL</t>
  </si>
  <si>
    <t>2O7</t>
  </si>
  <si>
    <t>BIH</t>
  </si>
  <si>
    <t xml:space="preserve">MHV MEV </t>
  </si>
  <si>
    <t>MIT</t>
  </si>
  <si>
    <t>BIH HTH</t>
  </si>
  <si>
    <t>KTOA</t>
  </si>
  <si>
    <t>KAJO</t>
  </si>
  <si>
    <t>3O8</t>
  </si>
  <si>
    <t>AK8</t>
  </si>
  <si>
    <t>KIYK</t>
  </si>
  <si>
    <t>KBIH</t>
  </si>
  <si>
    <t>KSPZ</t>
  </si>
  <si>
    <t xml:space="preserve">KMHV </t>
  </si>
  <si>
    <t>L17</t>
  </si>
  <si>
    <t>L45</t>
  </si>
  <si>
    <t>KOAR</t>
  </si>
  <si>
    <t>KSZP</t>
  </si>
  <si>
    <t>KREI</t>
  </si>
  <si>
    <t>KSNA</t>
  </si>
  <si>
    <t>KSBD</t>
  </si>
  <si>
    <t>BACONSTRIP</t>
  </si>
  <si>
    <t>KHND</t>
  </si>
  <si>
    <t>KUDD</t>
  </si>
  <si>
    <t>KRNO</t>
  </si>
  <si>
    <t>KJAQ KPTV</t>
  </si>
  <si>
    <t>KVNY</t>
  </si>
  <si>
    <t>KBUR</t>
  </si>
  <si>
    <t>MHV WJF BFL</t>
  </si>
  <si>
    <t>VNY BUR</t>
  </si>
  <si>
    <t xml:space="preserve">KVNY KBUR </t>
  </si>
  <si>
    <t>L52</t>
  </si>
  <si>
    <t>KSMO</t>
  </si>
  <si>
    <t>KSMX</t>
  </si>
  <si>
    <t>KKIC</t>
  </si>
  <si>
    <t>KSBA</t>
  </si>
  <si>
    <t>AMBOY</t>
  </si>
  <si>
    <t>KFNL</t>
  </si>
  <si>
    <t>KEWK</t>
  </si>
  <si>
    <t>KIZA</t>
  </si>
  <si>
    <t>KWVI</t>
  </si>
  <si>
    <t>L05 L45</t>
  </si>
  <si>
    <t>KSCK</t>
  </si>
  <si>
    <t>MOD</t>
  </si>
  <si>
    <t>KMOD</t>
  </si>
  <si>
    <t>KTRK</t>
  </si>
  <si>
    <t>KAVX</t>
  </si>
  <si>
    <t>KSBP KAVX KSZP KSBP</t>
  </si>
  <si>
    <t>KHAF</t>
  </si>
  <si>
    <t>KSJC</t>
  </si>
  <si>
    <t>KPVF</t>
  </si>
  <si>
    <t>SBP MRY SNS</t>
  </si>
  <si>
    <t>SNS RHV MRY SNS</t>
  </si>
  <si>
    <t>KSUN</t>
  </si>
  <si>
    <t xml:space="preserve">IZA </t>
  </si>
  <si>
    <t>SNS IZA</t>
  </si>
  <si>
    <t>KVCB</t>
  </si>
  <si>
    <t>LVK VCB LVK</t>
  </si>
  <si>
    <t>KLVK</t>
  </si>
  <si>
    <t>KPSP</t>
  </si>
  <si>
    <t>KAUN</t>
  </si>
  <si>
    <t>O43</t>
  </si>
  <si>
    <t>O43 KNYL</t>
  </si>
  <si>
    <t>DLO</t>
  </si>
  <si>
    <t>KNYL</t>
  </si>
  <si>
    <t>KSAC</t>
  </si>
  <si>
    <t xml:space="preserve">KSHS KVCB KSAC KSNS </t>
  </si>
  <si>
    <t>KSZP KSBP</t>
  </si>
  <si>
    <t>KMRY</t>
  </si>
  <si>
    <t>KSNS KPVF KMCC KSFO KSNS</t>
  </si>
  <si>
    <t>KRDD</t>
  </si>
  <si>
    <t>MRY RDD MRY SNS</t>
  </si>
  <si>
    <t>O69</t>
  </si>
  <si>
    <t>KACV</t>
  </si>
  <si>
    <t>KPAO</t>
  </si>
  <si>
    <t>CA66</t>
  </si>
  <si>
    <t>KMYV</t>
  </si>
  <si>
    <t>MRY STS LVK MYV STS MRY</t>
  </si>
  <si>
    <t>KSQL</t>
  </si>
  <si>
    <t>CA69</t>
  </si>
  <si>
    <t>E16 SNS SBP</t>
  </si>
  <si>
    <t>SBP SNS E16</t>
  </si>
  <si>
    <t>SBP 3O8 L52 SBP</t>
  </si>
  <si>
    <t>SJC SNS SBP</t>
  </si>
  <si>
    <t>SBP SNS SJC</t>
  </si>
  <si>
    <t>KSBP SMO SBA SBP</t>
  </si>
  <si>
    <t>SNS</t>
  </si>
  <si>
    <t>CVH</t>
  </si>
  <si>
    <t>KEKA</t>
  </si>
  <si>
    <t>EKA STS LHM MRY</t>
  </si>
  <si>
    <t>MRY LHM STS EKA</t>
  </si>
  <si>
    <t>KJAQ</t>
  </si>
  <si>
    <t>KLAS</t>
  </si>
  <si>
    <t>KSNS KOAR KRHV KOAR KSNS</t>
  </si>
  <si>
    <t>KEUG</t>
  </si>
  <si>
    <t>KEUG KSMF KMRY</t>
  </si>
  <si>
    <t>KMRY KSBA KEUG</t>
  </si>
  <si>
    <t>KCVO</t>
  </si>
  <si>
    <t>KCVO KOTH KS05 KUKI KRHV KSNS</t>
  </si>
  <si>
    <t>KSNS KRHV KLHM KS05 KCVO</t>
  </si>
  <si>
    <t>KFAT</t>
  </si>
  <si>
    <t>KVIS</t>
  </si>
  <si>
    <t>KOAK</t>
  </si>
  <si>
    <t>KSNS KSJC KOAK KSNS</t>
  </si>
  <si>
    <t>KCNO</t>
  </si>
  <si>
    <t>KSNS KCNO KPOC KSNS</t>
  </si>
  <si>
    <t>KSFO</t>
  </si>
  <si>
    <t>KTVL</t>
  </si>
  <si>
    <t>KSNS KTVL KLVK KSNS</t>
  </si>
  <si>
    <t>KPTV</t>
  </si>
  <si>
    <t>KMRY KMAE KSTS KMRY</t>
  </si>
  <si>
    <t>KSNS KMRY KSTS KMRY</t>
  </si>
  <si>
    <t>E36</t>
  </si>
  <si>
    <t>KSNS CA66 OAR KSNS</t>
  </si>
  <si>
    <t>KUDD KSBP KSNS</t>
  </si>
  <si>
    <t>KSNS KTSP KUDD</t>
  </si>
  <si>
    <t>KRHV E16 KRHV</t>
  </si>
  <si>
    <t>KRHV KCVH KRHV</t>
  </si>
  <si>
    <t>KRHV KPRB KSNS KSJC KRHV</t>
  </si>
  <si>
    <t>KCVH</t>
  </si>
  <si>
    <t>KKOA</t>
  </si>
  <si>
    <t>KSMF</t>
  </si>
  <si>
    <t>KGOO</t>
  </si>
  <si>
    <t>KGOO KMCE KMRY</t>
  </si>
  <si>
    <t>KSNS KSCK KGOO</t>
  </si>
  <si>
    <t>KMRY, KSJC, KACV, KMRY</t>
  </si>
  <si>
    <t>KMYF</t>
  </si>
  <si>
    <t>KTCY</t>
  </si>
  <si>
    <t>KEDU</t>
  </si>
  <si>
    <t>KMHR</t>
  </si>
  <si>
    <t>O22</t>
  </si>
  <si>
    <t>KHWD</t>
  </si>
  <si>
    <t>KAPC</t>
  </si>
  <si>
    <t>KMER</t>
  </si>
  <si>
    <t>KFCH</t>
  </si>
  <si>
    <t>KSNS KSCK KMAE KSNS</t>
  </si>
  <si>
    <t>KSDL</t>
  </si>
  <si>
    <t>KIPL</t>
  </si>
  <si>
    <t>1C9</t>
  </si>
  <si>
    <t>KLSN</t>
  </si>
  <si>
    <t>OAR</t>
  </si>
  <si>
    <t>CABIN</t>
  </si>
  <si>
    <t>SMF</t>
  </si>
  <si>
    <t>KAAT</t>
  </si>
  <si>
    <t>KAPA</t>
  </si>
  <si>
    <t>KSLC</t>
  </si>
  <si>
    <t>KPRC</t>
  </si>
  <si>
    <t>KICT</t>
  </si>
  <si>
    <t>KEKO</t>
  </si>
  <si>
    <t>ADD 
FLIGHT</t>
  </si>
  <si>
    <t>T38C</t>
  </si>
  <si>
    <t>T-38C Talon</t>
  </si>
  <si>
    <t>Actual
Instrument</t>
  </si>
  <si>
    <t>Simulated
Instrument</t>
  </si>
  <si>
    <t>Comments</t>
  </si>
  <si>
    <t>Formation</t>
  </si>
  <si>
    <t>complex (FAA)</t>
  </si>
  <si>
    <t>ILS</t>
  </si>
  <si>
    <t>LOC</t>
  </si>
  <si>
    <t>VOR/
TCN</t>
  </si>
  <si>
    <t>RNAV</t>
  </si>
  <si>
    <t>ASR</t>
  </si>
  <si>
    <t>PAR</t>
  </si>
  <si>
    <t>CIRCLE</t>
  </si>
  <si>
    <t>Dual
Given</t>
  </si>
  <si>
    <t>Total
Time</t>
  </si>
  <si>
    <t>Aircraft ID</t>
  </si>
  <si>
    <t>PRI 
(Mil)</t>
  </si>
  <si>
    <t>INST
(Mil)</t>
  </si>
  <si>
    <t>Takeoffs
Day</t>
  </si>
  <si>
    <t>Takeoffs
Night</t>
  </si>
  <si>
    <t>Landings
Day</t>
  </si>
  <si>
    <t>Landings
Night</t>
  </si>
  <si>
    <t>Landings
Total</t>
  </si>
  <si>
    <t>Cross
Country</t>
  </si>
  <si>
    <t>Dual
Received</t>
  </si>
  <si>
    <t>Flight Review
(FAA)</t>
  </si>
  <si>
    <t>IPC 
(FAA)</t>
  </si>
  <si>
    <t>Checkride
(FAA)</t>
  </si>
  <si>
    <t>Checkride
(MIL)</t>
  </si>
  <si>
    <t>APPR</t>
  </si>
  <si>
    <t>VAL APR</t>
  </si>
  <si>
    <t>VAL TT</t>
  </si>
  <si>
    <t>Expires:</t>
  </si>
  <si>
    <t>Days Remaining:</t>
  </si>
  <si>
    <t>TRUE</t>
  </si>
  <si>
    <t>CFI</t>
  </si>
  <si>
    <t>Medical</t>
  </si>
  <si>
    <t>General (ASEL)</t>
  </si>
  <si>
    <t>General (ASELT)</t>
  </si>
  <si>
    <t>General (AMEL)</t>
  </si>
  <si>
    <t>Night (AMEL)</t>
  </si>
  <si>
    <t>Class</t>
  </si>
  <si>
    <t>Issued</t>
  </si>
  <si>
    <t>Class 1 Expires:</t>
  </si>
  <si>
    <t>Class 2 Expires:</t>
  </si>
  <si>
    <t>Class 1 Days Remaining:</t>
  </si>
  <si>
    <t>Class 2 Days Remaining:</t>
  </si>
  <si>
    <t>Class 3 Days Remaining:</t>
  </si>
  <si>
    <t>Class 3 Expires:</t>
  </si>
  <si>
    <t>T6A</t>
  </si>
  <si>
    <t>Total Time</t>
  </si>
  <si>
    <t>Flights</t>
  </si>
  <si>
    <t>PRI</t>
  </si>
  <si>
    <t>DualGiven</t>
  </si>
  <si>
    <t>INST</t>
  </si>
  <si>
    <t>LDGs</t>
  </si>
  <si>
    <t>XC</t>
  </si>
  <si>
    <t>Mach 1.18</t>
  </si>
  <si>
    <t>IFE - EGT</t>
  </si>
  <si>
    <t>KIPL KSDL KIPL</t>
  </si>
  <si>
    <t>First Solo!!!</t>
  </si>
  <si>
    <t>KTRK KFAT KSNS</t>
  </si>
  <si>
    <t>Day LDG</t>
  </si>
  <si>
    <t>Night LDG</t>
  </si>
  <si>
    <t>Dual Received</t>
  </si>
  <si>
    <t>Actual Inst</t>
  </si>
  <si>
    <t>Sim Inst</t>
  </si>
  <si>
    <t>Total LDG</t>
  </si>
  <si>
    <t>Category/Class</t>
  </si>
  <si>
    <t>ASEL</t>
  </si>
  <si>
    <t>AMEL</t>
  </si>
  <si>
    <t>ASES</t>
  </si>
  <si>
    <t>GL</t>
  </si>
  <si>
    <t>Characteristic</t>
  </si>
  <si>
    <t>Complex</t>
  </si>
  <si>
    <t>High Perf</t>
  </si>
  <si>
    <t>TAA</t>
  </si>
  <si>
    <t>Tailwheel</t>
  </si>
  <si>
    <t>Retractable</t>
  </si>
  <si>
    <t>Summary</t>
  </si>
  <si>
    <t>WSC</t>
  </si>
  <si>
    <t>Hours in Last</t>
  </si>
  <si>
    <t>30 Days</t>
  </si>
  <si>
    <t>90 Days</t>
  </si>
  <si>
    <t>6 Months</t>
  </si>
  <si>
    <t>12 Months</t>
  </si>
  <si>
    <t>24 Months</t>
  </si>
  <si>
    <t>Row Labels</t>
  </si>
  <si>
    <t>Grand Total</t>
  </si>
  <si>
    <t>Glider</t>
  </si>
  <si>
    <t>Flight Hours Per Class/Type</t>
  </si>
  <si>
    <t>SEC
(MIL)</t>
  </si>
  <si>
    <t>EVAL
(MIL)</t>
  </si>
  <si>
    <t>OTHER
(MIL)</t>
  </si>
  <si>
    <t>Instrument</t>
  </si>
  <si>
    <t>Landings</t>
  </si>
  <si>
    <t>Other</t>
  </si>
  <si>
    <t>Instruction</t>
  </si>
  <si>
    <t>Time</t>
  </si>
  <si>
    <t>Flight Data</t>
  </si>
  <si>
    <t>Tags</t>
  </si>
  <si>
    <r>
      <t>Flight Review (</t>
    </r>
    <r>
      <rPr>
        <b/>
        <sz val="11"/>
        <color theme="0"/>
        <rFont val="Aptos Narrow"/>
        <family val="2"/>
      </rPr>
      <t>§61.56)</t>
    </r>
  </si>
  <si>
    <t>Night (ASEL)</t>
  </si>
  <si>
    <t>IFR (§61.57)</t>
  </si>
  <si>
    <t>Total</t>
  </si>
  <si>
    <t>Instruction Received</t>
  </si>
  <si>
    <t>PIC and SIC</t>
  </si>
  <si>
    <t>Cross Country Instruction Received</t>
  </si>
  <si>
    <t>Cross Country Solo</t>
  </si>
  <si>
    <t>Cross Country PIC/SIC</t>
  </si>
  <si>
    <t>Night Instruction Received</t>
  </si>
  <si>
    <t>Night PIC/SIC</t>
  </si>
  <si>
    <t>Airplanes</t>
  </si>
  <si>
    <t>Rotorcraft</t>
  </si>
  <si>
    <t>Powered Lift</t>
  </si>
  <si>
    <t>Gliders</t>
  </si>
  <si>
    <t>Lighter-Than-Air</t>
  </si>
  <si>
    <t>FFS</t>
  </si>
  <si>
    <t>FTD</t>
  </si>
  <si>
    <t>ATD</t>
  </si>
  <si>
    <t>Night Takeoff / Landing</t>
  </si>
  <si>
    <t>Night Takeoff / Landing PIC/SIC</t>
  </si>
  <si>
    <t>Number of</t>
  </si>
  <si>
    <t>Aero-Tows</t>
  </si>
  <si>
    <t>Ground Launches</t>
  </si>
  <si>
    <t>Powered Launches</t>
  </si>
  <si>
    <t>Class Totals</t>
  </si>
  <si>
    <t>Airplane</t>
  </si>
  <si>
    <t>Lighter-than-air</t>
  </si>
  <si>
    <t>SEL</t>
  </si>
  <si>
    <t>MEL</t>
  </si>
  <si>
    <t>SES</t>
  </si>
  <si>
    <t>MES</t>
  </si>
  <si>
    <t>Helicopter</t>
  </si>
  <si>
    <t>Balloon</t>
  </si>
  <si>
    <t>Airship</t>
  </si>
  <si>
    <t>Gyroplane</t>
  </si>
  <si>
    <t>SE</t>
  </si>
  <si>
    <t>ME</t>
  </si>
  <si>
    <t>Gear Type</t>
  </si>
  <si>
    <t>Engine Type</t>
  </si>
  <si>
    <t>AircraftClass</t>
  </si>
  <si>
    <t>Weight Shift Control</t>
  </si>
  <si>
    <t>Lighter-than-Air Airship</t>
  </si>
  <si>
    <t>Lighter-than-Air Balloon</t>
  </si>
  <si>
    <t>Airplane Single Engine Land</t>
  </si>
  <si>
    <t>Airplane Multi Engine Land</t>
  </si>
  <si>
    <t>Airplane Multi Engine Sea</t>
  </si>
  <si>
    <t>Airplane Single Engine Sea</t>
  </si>
  <si>
    <t xml:space="preserve"> Airplane Single Engine Land</t>
  </si>
  <si>
    <t xml:space="preserve"> Weight Shift Control</t>
  </si>
  <si>
    <t xml:space="preserve"> Glider</t>
  </si>
  <si>
    <t>Rotorcraft Helicopter</t>
  </si>
  <si>
    <t>Rotorcraft Gyroplane</t>
  </si>
  <si>
    <t>x</t>
  </si>
  <si>
    <t>"x" denotes this spreadsheet does not have the capibility (yet) to calculate this field</t>
  </si>
  <si>
    <t>IFE - Fuel leak/cracked fuel tank/divert</t>
  </si>
  <si>
    <t>IFE - Total engine failure / landing on road near Ford City</t>
  </si>
  <si>
    <t>First test flight with Iscold/O'Dell wing</t>
  </si>
  <si>
    <t>Flat tire:(</t>
  </si>
  <si>
    <t>KSNS KFAT KTRK</t>
  </si>
  <si>
    <t xml:space="preserve">SNS CVH 1C9 WVI SNS </t>
  </si>
  <si>
    <t>MRY, O0O, 1C9, MRY</t>
  </si>
  <si>
    <t>KSNS KKIC KMYF KSNS</t>
  </si>
  <si>
    <t>KSNS KSMO KMYF KSNS</t>
  </si>
  <si>
    <t>KSNS KTRK KCVH KSNS</t>
  </si>
  <si>
    <t>CVH RIU TRK</t>
  </si>
  <si>
    <t>KSNS E16 1C9 KSNS</t>
  </si>
  <si>
    <t>Guller Heights LDG</t>
  </si>
  <si>
    <t>First Mil T-6 Solo</t>
  </si>
  <si>
    <t>Electric</t>
  </si>
  <si>
    <t>Non-powered</t>
  </si>
  <si>
    <t>Fixed_Tricycle</t>
  </si>
  <si>
    <t>Fixed_Tailwheel</t>
  </si>
  <si>
    <t>Retractable_Tailwheel</t>
  </si>
  <si>
    <t>Retractable_Tricycle</t>
  </si>
  <si>
    <t>Skids</t>
  </si>
  <si>
    <t>Skis</t>
  </si>
  <si>
    <t>Amphibian</t>
  </si>
  <si>
    <t>Floats</t>
  </si>
  <si>
    <t>Age</t>
  </si>
  <si>
    <t>Under 40</t>
  </si>
  <si>
    <t>Act Inst</t>
  </si>
  <si>
    <t>Dual Given</t>
  </si>
  <si>
    <t>Types</t>
  </si>
  <si>
    <t>&gt;= 3 flights</t>
  </si>
  <si>
    <t>&gt;= 20 hours</t>
  </si>
  <si>
    <t>ClassCheck</t>
  </si>
  <si>
    <t>TA2 First Captive Safety Chase // Thrust reverser arm in flight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</si>
</sst>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mm/dd/yyyy"/>
    <numFmt numFmtId="166" formatCode="mm/dd/yy;@"/>
    <numFmt numFmtId="167" formatCode="[$-409]mmm\-yy;@"/>
  </numFmts>
  <fonts count="3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  <font>
      <b/>
      <u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0"/>
      <name val="Aptos Narrow"/>
      <family val="2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7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Aptos Narrow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 style="double">
        <color indexed="64"/>
      </bottom>
      <diagonal/>
    </border>
    <border>
      <left style="medium">
        <color indexed="64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hair">
        <color auto="1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8">
    <xf numFmtId="0" fontId="0" fillId="0" borderId="0" xfId="0"/>
    <xf numFmtId="0" fontId="0" fillId="0" borderId="0" xfId="0" applyAlignment="1">
      <alignment horizontal="center" vertical="center"/>
    </xf>
    <xf numFmtId="0" fontId="0" fillId="34" borderId="0" xfId="0" applyFill="1"/>
    <xf numFmtId="0" fontId="16" fillId="34" borderId="0" xfId="0" applyFont="1" applyFill="1" applyAlignment="1">
      <alignment horizontal="center" vertical="center"/>
    </xf>
    <xf numFmtId="0" fontId="16" fillId="33" borderId="10" xfId="0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left" vertical="center" wrapText="1"/>
    </xf>
    <xf numFmtId="1" fontId="0" fillId="0" borderId="0" xfId="0" applyNumberFormat="1" applyAlignment="1">
      <alignment horizontal="left" vertical="center"/>
    </xf>
    <xf numFmtId="1" fontId="0" fillId="0" borderId="0" xfId="0" applyNumberFormat="1" applyAlignment="1">
      <alignment horizontal="left" vertical="center" wrapText="1"/>
    </xf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 vertical="center"/>
    </xf>
    <xf numFmtId="0" fontId="0" fillId="34" borderId="0" xfId="0" applyFill="1" applyAlignment="1">
      <alignment horizontal="left" vertical="center"/>
    </xf>
    <xf numFmtId="0" fontId="16" fillId="34" borderId="0" xfId="0" applyFont="1" applyFill="1" applyAlignment="1">
      <alignment horizontal="left" vertical="center"/>
    </xf>
    <xf numFmtId="0" fontId="19" fillId="0" borderId="0" xfId="0" applyFont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0" fillId="34" borderId="14" xfId="0" applyFill="1" applyBorder="1"/>
    <xf numFmtId="0" fontId="0" fillId="34" borderId="15" xfId="0" applyFill="1" applyBorder="1"/>
    <xf numFmtId="0" fontId="0" fillId="34" borderId="16" xfId="0" applyFill="1" applyBorder="1"/>
    <xf numFmtId="0" fontId="0" fillId="34" borderId="17" xfId="0" applyFill="1" applyBorder="1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/>
    </xf>
    <xf numFmtId="166" fontId="0" fillId="34" borderId="0" xfId="0" applyNumberFormat="1" applyFill="1"/>
    <xf numFmtId="164" fontId="0" fillId="34" borderId="0" xfId="0" applyNumberFormat="1" applyFill="1"/>
    <xf numFmtId="0" fontId="20" fillId="0" borderId="0" xfId="0" applyFont="1" applyAlignment="1">
      <alignment horizontal="left"/>
    </xf>
    <xf numFmtId="164" fontId="20" fillId="0" borderId="0" xfId="0" applyNumberFormat="1" applyFont="1" applyAlignment="1">
      <alignment horizontal="left"/>
    </xf>
    <xf numFmtId="1" fontId="20" fillId="0" borderId="0" xfId="0" applyNumberFormat="1" applyFont="1" applyAlignment="1">
      <alignment horizontal="left"/>
    </xf>
    <xf numFmtId="14" fontId="0" fillId="0" borderId="0" xfId="0" applyNumberFormat="1"/>
    <xf numFmtId="164" fontId="0" fillId="34" borderId="20" xfId="0" applyNumberFormat="1" applyFill="1" applyBorder="1"/>
    <xf numFmtId="164" fontId="0" fillId="34" borderId="21" xfId="0" applyNumberFormat="1" applyFill="1" applyBorder="1"/>
    <xf numFmtId="1" fontId="0" fillId="34" borderId="21" xfId="0" applyNumberFormat="1" applyFill="1" applyBorder="1"/>
    <xf numFmtId="164" fontId="0" fillId="34" borderId="22" xfId="0" applyNumberFormat="1" applyFill="1" applyBorder="1"/>
    <xf numFmtId="14" fontId="0" fillId="34" borderId="0" xfId="0" applyNumberFormat="1" applyFill="1"/>
    <xf numFmtId="167" fontId="0" fillId="34" borderId="0" xfId="0" applyNumberFormat="1" applyFill="1"/>
    <xf numFmtId="0" fontId="0" fillId="34" borderId="23" xfId="0" applyFill="1" applyBorder="1"/>
    <xf numFmtId="0" fontId="0" fillId="34" borderId="24" xfId="0" applyFill="1" applyBorder="1"/>
    <xf numFmtId="0" fontId="0" fillId="34" borderId="25" xfId="0" applyFill="1" applyBorder="1"/>
    <xf numFmtId="0" fontId="0" fillId="34" borderId="26" xfId="0" applyFill="1" applyBorder="1"/>
    <xf numFmtId="0" fontId="0" fillId="34" borderId="27" xfId="0" applyFill="1" applyBorder="1"/>
    <xf numFmtId="0" fontId="0" fillId="34" borderId="28" xfId="0" applyFill="1" applyBorder="1"/>
    <xf numFmtId="0" fontId="0" fillId="0" borderId="0" xfId="0" pivotButton="1"/>
    <xf numFmtId="0" fontId="0" fillId="0" borderId="0" xfId="0" applyAlignment="1">
      <alignment horizontal="left" indent="1"/>
    </xf>
    <xf numFmtId="164" fontId="0" fillId="0" borderId="0" xfId="0" applyNumberFormat="1"/>
    <xf numFmtId="0" fontId="22" fillId="37" borderId="0" xfId="0" applyFont="1" applyFill="1" applyAlignment="1">
      <alignment horizontal="center" vertical="center" textRotation="135"/>
    </xf>
    <xf numFmtId="0" fontId="16" fillId="34" borderId="0" xfId="0" applyFont="1" applyFill="1" applyAlignment="1">
      <alignment horizontal="left" vertical="center" wrapText="1"/>
    </xf>
    <xf numFmtId="0" fontId="0" fillId="34" borderId="31" xfId="0" applyFill="1" applyBorder="1"/>
    <xf numFmtId="0" fontId="0" fillId="34" borderId="32" xfId="0" applyFill="1" applyBorder="1"/>
    <xf numFmtId="0" fontId="0" fillId="34" borderId="33" xfId="0" applyFill="1" applyBorder="1"/>
    <xf numFmtId="0" fontId="21" fillId="34" borderId="0" xfId="0" applyFont="1" applyFill="1" applyAlignment="1">
      <alignment horizontal="center"/>
    </xf>
    <xf numFmtId="0" fontId="0" fillId="34" borderId="19" xfId="0" applyFill="1" applyBorder="1"/>
    <xf numFmtId="0" fontId="24" fillId="0" borderId="0" xfId="0" applyFont="1"/>
    <xf numFmtId="0" fontId="24" fillId="0" borderId="34" xfId="0" applyFont="1" applyBorder="1" applyAlignment="1">
      <alignment horizontal="center" vertical="center"/>
    </xf>
    <xf numFmtId="0" fontId="28" fillId="0" borderId="45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 wrapText="1"/>
    </xf>
    <xf numFmtId="0" fontId="25" fillId="0" borderId="42" xfId="0" applyFont="1" applyBorder="1" applyAlignment="1">
      <alignment horizontal="center" vertical="center" wrapText="1"/>
    </xf>
    <xf numFmtId="0" fontId="25" fillId="0" borderId="43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0" applyFont="1" applyBorder="1" applyAlignment="1">
      <alignment horizontal="center" vertical="center"/>
    </xf>
    <xf numFmtId="0" fontId="25" fillId="0" borderId="42" xfId="0" applyFont="1" applyBorder="1" applyAlignment="1">
      <alignment horizontal="center" vertical="center"/>
    </xf>
    <xf numFmtId="0" fontId="24" fillId="34" borderId="0" xfId="0" applyFont="1" applyFill="1"/>
    <xf numFmtId="0" fontId="24" fillId="34" borderId="0" xfId="0" applyFont="1" applyFill="1" applyAlignment="1">
      <alignment horizontal="center" vertical="center"/>
    </xf>
    <xf numFmtId="0" fontId="24" fillId="40" borderId="34" xfId="0" applyFont="1" applyFill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0" fillId="34" borderId="48" xfId="0" applyFill="1" applyBorder="1"/>
    <xf numFmtId="14" fontId="0" fillId="41" borderId="18" xfId="0" applyNumberFormat="1" applyFill="1" applyBorder="1"/>
    <xf numFmtId="14" fontId="0" fillId="41" borderId="15" xfId="0" applyNumberFormat="1" applyFill="1" applyBorder="1"/>
    <xf numFmtId="14" fontId="0" fillId="38" borderId="18" xfId="0" applyNumberFormat="1" applyFill="1" applyBorder="1" applyProtection="1">
      <protection locked="0"/>
    </xf>
    <xf numFmtId="14" fontId="0" fillId="38" borderId="15" xfId="0" applyNumberFormat="1" applyFill="1" applyBorder="1" applyProtection="1">
      <protection locked="0"/>
    </xf>
    <xf numFmtId="0" fontId="0" fillId="34" borderId="11" xfId="0" applyFill="1" applyBorder="1"/>
    <xf numFmtId="0" fontId="0" fillId="34" borderId="12" xfId="0" applyFill="1" applyBorder="1"/>
    <xf numFmtId="0" fontId="0" fillId="38" borderId="13" xfId="0" applyFill="1" applyBorder="1" applyProtection="1">
      <protection locked="0"/>
    </xf>
    <xf numFmtId="0" fontId="30" fillId="34" borderId="0" xfId="0" applyFont="1" applyFill="1" applyAlignment="1">
      <alignment vertical="center"/>
    </xf>
    <xf numFmtId="164" fontId="25" fillId="0" borderId="34" xfId="0" applyNumberFormat="1" applyFont="1" applyBorder="1" applyAlignment="1">
      <alignment horizontal="center" vertical="center"/>
    </xf>
    <xf numFmtId="1" fontId="25" fillId="0" borderId="34" xfId="0" applyNumberFormat="1" applyFont="1" applyBorder="1" applyAlignment="1">
      <alignment horizontal="center" vertical="center"/>
    </xf>
    <xf numFmtId="1" fontId="25" fillId="0" borderId="46" xfId="0" applyNumberFormat="1" applyFont="1" applyBorder="1" applyAlignment="1">
      <alignment horizontal="center" vertical="center"/>
    </xf>
    <xf numFmtId="0" fontId="0" fillId="38" borderId="18" xfId="0" applyFill="1" applyBorder="1" applyAlignment="1" applyProtection="1">
      <alignment horizontal="right"/>
      <protection locked="0"/>
    </xf>
    <xf numFmtId="0" fontId="0" fillId="34" borderId="22" xfId="0" applyFill="1" applyBorder="1"/>
    <xf numFmtId="0" fontId="0" fillId="34" borderId="32" xfId="0" applyFill="1" applyBorder="1" applyAlignment="1">
      <alignment vertical="center"/>
    </xf>
    <xf numFmtId="0" fontId="0" fillId="34" borderId="21" xfId="0" applyFill="1" applyBorder="1" applyAlignment="1">
      <alignment vertical="center"/>
    </xf>
    <xf numFmtId="49" fontId="22" fillId="33" borderId="0" xfId="0" applyNumberFormat="1" applyFont="1" applyFill="1" applyAlignment="1">
      <alignment horizontal="center" vertical="center" textRotation="135"/>
    </xf>
    <xf numFmtId="164" fontId="24" fillId="0" borderId="34" xfId="0" applyNumberFormat="1" applyFont="1" applyBorder="1" applyAlignment="1">
      <alignment horizontal="center" vertical="center"/>
    </xf>
    <xf numFmtId="0" fontId="16" fillId="42" borderId="0" xfId="0" applyFont="1" applyFill="1" applyAlignment="1">
      <alignment horizontal="left" vertical="center" wrapText="1"/>
    </xf>
    <xf numFmtId="0" fontId="13" fillId="34" borderId="0" xfId="0" applyFont="1" applyFill="1" applyAlignment="1">
      <alignment horizontal="center"/>
    </xf>
    <xf numFmtId="0" fontId="21" fillId="37" borderId="0" xfId="0" applyFont="1" applyFill="1" applyAlignment="1">
      <alignment horizontal="center"/>
    </xf>
    <xf numFmtId="0" fontId="21" fillId="36" borderId="49" xfId="0" applyFont="1" applyFill="1" applyBorder="1" applyAlignment="1">
      <alignment horizontal="center" vertical="center"/>
    </xf>
    <xf numFmtId="0" fontId="21" fillId="36" borderId="50" xfId="0" applyFont="1" applyFill="1" applyBorder="1" applyAlignment="1">
      <alignment horizontal="center" vertical="center"/>
    </xf>
    <xf numFmtId="0" fontId="21" fillId="36" borderId="29" xfId="0" applyFont="1" applyFill="1" applyBorder="1" applyAlignment="1">
      <alignment horizontal="center"/>
    </xf>
    <xf numFmtId="0" fontId="21" fillId="36" borderId="30" xfId="0" applyFont="1" applyFill="1" applyBorder="1" applyAlignment="1">
      <alignment horizontal="center"/>
    </xf>
    <xf numFmtId="0" fontId="21" fillId="36" borderId="49" xfId="0" applyFont="1" applyFill="1" applyBorder="1" applyAlignment="1">
      <alignment horizontal="center"/>
    </xf>
    <xf numFmtId="0" fontId="21" fillId="36" borderId="50" xfId="0" applyFont="1" applyFill="1" applyBorder="1" applyAlignment="1">
      <alignment horizontal="center"/>
    </xf>
    <xf numFmtId="165" fontId="22" fillId="39" borderId="0" xfId="0" applyNumberFormat="1" applyFont="1" applyFill="1" applyAlignment="1">
      <alignment horizontal="center" vertical="center" textRotation="135"/>
    </xf>
    <xf numFmtId="49" fontId="22" fillId="33" borderId="0" xfId="0" applyNumberFormat="1" applyFont="1" applyFill="1" applyAlignment="1">
      <alignment horizontal="center" vertical="center" textRotation="135"/>
    </xf>
    <xf numFmtId="164" fontId="22" fillId="38" borderId="0" xfId="0" applyNumberFormat="1" applyFont="1" applyFill="1" applyAlignment="1">
      <alignment horizontal="center" vertical="center" textRotation="135"/>
    </xf>
    <xf numFmtId="1" fontId="22" fillId="39" borderId="0" xfId="0" applyNumberFormat="1" applyFont="1" applyFill="1" applyAlignment="1">
      <alignment horizontal="center" vertical="center" textRotation="135"/>
    </xf>
    <xf numFmtId="164" fontId="22" fillId="37" borderId="0" xfId="0" applyNumberFormat="1" applyFont="1" applyFill="1" applyAlignment="1">
      <alignment horizontal="center" vertical="center" textRotation="135"/>
    </xf>
    <xf numFmtId="164" fontId="22" fillId="33" borderId="0" xfId="0" applyNumberFormat="1" applyFont="1" applyFill="1" applyAlignment="1">
      <alignment horizontal="center" vertical="center" textRotation="135"/>
    </xf>
    <xf numFmtId="0" fontId="13" fillId="35" borderId="11" xfId="0" applyFont="1" applyFill="1" applyBorder="1" applyAlignment="1">
      <alignment horizontal="center"/>
    </xf>
    <xf numFmtId="0" fontId="13" fillId="35" borderId="13" xfId="0" applyFont="1" applyFill="1" applyBorder="1" applyAlignment="1">
      <alignment horizontal="center"/>
    </xf>
    <xf numFmtId="0" fontId="13" fillId="35" borderId="12" xfId="0" applyFont="1" applyFill="1" applyBorder="1" applyAlignment="1">
      <alignment horizontal="center"/>
    </xf>
    <xf numFmtId="0" fontId="0" fillId="34" borderId="0" xfId="0" applyFill="1" applyAlignment="1">
      <alignment horizontal="center"/>
    </xf>
    <xf numFmtId="0" fontId="0" fillId="34" borderId="16" xfId="0" applyFill="1" applyBorder="1" applyAlignment="1">
      <alignment horizontal="left"/>
    </xf>
    <xf numFmtId="0" fontId="0" fillId="34" borderId="17" xfId="0" applyFill="1" applyBorder="1" applyAlignment="1">
      <alignment horizontal="left"/>
    </xf>
    <xf numFmtId="0" fontId="25" fillId="0" borderId="34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43" xfId="0" applyFont="1" applyBorder="1" applyAlignment="1">
      <alignment horizontal="center" vertical="center" wrapText="1"/>
    </xf>
    <xf numFmtId="0" fontId="25" fillId="0" borderId="45" xfId="0" applyFont="1" applyBorder="1" applyAlignment="1">
      <alignment horizontal="center" vertical="center" wrapText="1"/>
    </xf>
    <xf numFmtId="0" fontId="25" fillId="0" borderId="46" xfId="0" applyFont="1" applyBorder="1" applyAlignment="1">
      <alignment horizontal="center" vertical="center"/>
    </xf>
    <xf numFmtId="0" fontId="25" fillId="0" borderId="47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 wrapText="1"/>
    </xf>
    <xf numFmtId="0" fontId="26" fillId="0" borderId="36" xfId="0" applyFont="1" applyBorder="1" applyAlignment="1">
      <alignment horizontal="center" vertical="center" wrapText="1"/>
    </xf>
    <xf numFmtId="0" fontId="27" fillId="0" borderId="1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0" fontId="27" fillId="0" borderId="13" xfId="0" applyFont="1" applyBorder="1" applyAlignment="1">
      <alignment horizontal="center" vertical="center" wrapText="1"/>
    </xf>
    <xf numFmtId="0" fontId="26" fillId="0" borderId="37" xfId="0" applyFont="1" applyBorder="1" applyAlignment="1">
      <alignment horizontal="center" vertical="center" wrapText="1"/>
    </xf>
    <xf numFmtId="0" fontId="26" fillId="0" borderId="38" xfId="0" applyFont="1" applyBorder="1" applyAlignment="1">
      <alignment horizontal="center" vertical="center" wrapText="1"/>
    </xf>
    <xf numFmtId="0" fontId="24" fillId="40" borderId="34" xfId="0" applyFont="1" applyFill="1" applyBorder="1" applyAlignment="1">
      <alignment horizontal="center" vertical="center"/>
    </xf>
    <xf numFmtId="0" fontId="24" fillId="40" borderId="39" xfId="0" applyFont="1" applyFill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 wrapText="1"/>
    </xf>
    <xf numFmtId="0" fontId="24" fillId="0" borderId="39" xfId="0" applyFont="1" applyBorder="1" applyAlignment="1">
      <alignment horizontal="center" vertical="center"/>
    </xf>
    <xf numFmtId="0" fontId="29" fillId="34" borderId="0" xfId="0" applyFont="1" applyFill="1" applyAlignment="1">
      <alignment horizontal="left" vertical="center"/>
    </xf>
    <xf numFmtId="0" fontId="26" fillId="0" borderId="34" xfId="0" applyFont="1" applyBorder="1" applyAlignment="1">
      <alignment horizontal="center" vertical="center" wrapText="1"/>
    </xf>
    <xf numFmtId="164" fontId="24" fillId="0" borderId="34" xfId="0" applyNumberFormat="1" applyFont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left" vertical="center" wrapText="1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3" fillId="34" borderId="0" xfId="0" applyFont="1" applyFill="1" applyBorder="1" applyAlignment="1">
      <alignment vertical="center"/>
    </xf>
    <xf numFmtId="1" fontId="33" fillId="34" borderId="0" xfId="0" applyNumberFormat="1" applyFont="1" applyFill="1" applyBorder="1" applyAlignment="1">
      <alignment vertical="center"/>
    </xf>
    <xf numFmtId="0" fontId="0" fillId="34" borderId="0" xfId="0" applyFill="1" applyBorder="1"/>
    <xf numFmtId="1" fontId="0" fillId="34" borderId="0" xfId="0" applyNumberFormat="1" applyFill="1" applyBorder="1"/>
    <xf numFmtId="0" fontId="21" fillId="34" borderId="0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164" formatCode="0.0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164" formatCode="0.0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164" formatCode="0.0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textRotation="0" indent="0" justifyLastLine="0" shrinkToFit="0" readingOrder="0"/>
    </dxf>
    <dxf>
      <numFmt numFmtId="0" formatCode="General"/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numFmt numFmtId="0" formatCode="General"/>
      <alignment horizontal="left" textRotation="0" indent="0" justifyLastLine="0" shrinkToFit="0" readingOrder="0"/>
    </dxf>
    <dxf>
      <numFmt numFmtId="30" formatCode="@"/>
      <alignment horizontal="left" textRotation="0" indent="0" justifyLastLine="0" shrinkToFit="0" readingOrder="0"/>
    </dxf>
    <dxf>
      <numFmt numFmtId="30" formatCode="@"/>
      <alignment horizontal="left" textRotation="0" indent="0" justifyLastLine="0" shrinkToFit="0" readingOrder="0"/>
    </dxf>
    <dxf>
      <numFmt numFmtId="30" formatCode="@"/>
      <alignment horizontal="left" textRotation="0" indent="0" justifyLastLine="0" shrinkToFit="0" readingOrder="0"/>
    </dxf>
    <dxf>
      <numFmt numFmtId="30" formatCode="@"/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numFmt numFmtId="1" formatCode="0"/>
      <alignment horizontal="left" textRotation="0" indent="0" justifyLastLine="0" shrinkToFit="0" readingOrder="0"/>
    </dxf>
    <dxf>
      <numFmt numFmtId="1" formatCode="0"/>
      <alignment horizontal="left" textRotation="0" indent="0" justifyLastLine="0" shrinkToFit="0" readingOrder="0"/>
    </dxf>
    <dxf>
      <numFmt numFmtId="1" formatCode="0"/>
      <alignment horizontal="left" textRotation="0" indent="0" justifyLastLine="0" shrinkToFit="0" readingOrder="0"/>
    </dxf>
    <dxf>
      <numFmt numFmtId="1" formatCode="0"/>
      <alignment horizontal="left" textRotation="0" indent="0" justifyLastLine="0" shrinkToFit="0" readingOrder="0"/>
    </dxf>
    <dxf>
      <numFmt numFmtId="1" formatCode="0"/>
      <alignment horizontal="left" textRotation="0" indent="0" justifyLastLine="0" shrinkToFit="0" readingOrder="0"/>
    </dxf>
    <dxf>
      <numFmt numFmtId="1" formatCode="0"/>
      <alignment horizontal="left" textRotation="0" indent="0" justifyLastLine="0" shrinkToFit="0" readingOrder="0"/>
    </dxf>
    <dxf>
      <numFmt numFmtId="1" formatCode="0"/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alignment horizontal="left" textRotation="0" indent="0" justifyLastLine="0" shrinkToFit="0" readingOrder="0"/>
    </dxf>
    <dxf>
      <numFmt numFmtId="1" formatCode="0"/>
      <alignment horizontal="left" textRotation="0" indent="0" justifyLastLine="0" shrinkToFit="0" readingOrder="0"/>
    </dxf>
    <dxf>
      <numFmt numFmtId="164" formatCode="0.0"/>
      <alignment horizontal="left" vertical="bottom" textRotation="0" wrapText="0" indent="0" justifyLastLine="0" shrinkToFit="0" readingOrder="0"/>
    </dxf>
    <dxf>
      <numFmt numFmtId="164" formatCode="0.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numFmt numFmtId="164" formatCode="0.0"/>
      <alignment horizontal="left" vertical="bottom" textRotation="0" wrapText="0" indent="0" justifyLastLine="0" shrinkToFit="0" readingOrder="0"/>
    </dxf>
    <dxf>
      <numFmt numFmtId="164" formatCode="0.0"/>
      <alignment horizontal="left" vertical="center" textRotation="0" wrapText="1" indent="0" justifyLastLine="0" shrinkToFit="0" readingOrder="0"/>
    </dxf>
    <dxf>
      <numFmt numFmtId="164" formatCode="0.0"/>
      <alignment horizontal="left" vertical="bottom" textRotation="0" wrapText="0" indent="0" justifyLastLine="0" shrinkToFit="0" readingOrder="0"/>
    </dxf>
    <dxf>
      <numFmt numFmtId="164" formatCode="0.0"/>
      <alignment horizontal="left" vertical="bottom" textRotation="0" wrapText="0" indent="0" justifyLastLine="0" shrinkToFit="0" readingOrder="0"/>
    </dxf>
    <dxf>
      <numFmt numFmtId="164" formatCode="0.0"/>
      <alignment horizontal="left" vertical="center" textRotation="0" wrapText="1" indent="0" justifyLastLine="0" shrinkToFit="0" readingOrder="0"/>
    </dxf>
    <dxf>
      <numFmt numFmtId="164" formatCode="0.0"/>
      <alignment horizontal="left" textRotation="0" indent="0" justifyLastLine="0" shrinkToFit="0" readingOrder="0"/>
    </dxf>
    <dxf>
      <numFmt numFmtId="164" formatCode="0.0"/>
      <alignment horizontal="left" vertical="bottom" textRotation="0" wrapText="0" indent="0" justifyLastLine="0" shrinkToFit="0" readingOrder="0"/>
    </dxf>
    <dxf>
      <numFmt numFmtId="164" formatCode="0.0"/>
      <alignment horizontal="left" textRotation="0" indent="0" justifyLastLine="0" shrinkToFit="0" readingOrder="0"/>
    </dxf>
    <dxf>
      <numFmt numFmtId="164" formatCode="0.0"/>
      <alignment horizontal="left" vertical="center" textRotation="0" wrapText="0" indent="0" justifyLastLine="0" shrinkToFit="0" readingOrder="0"/>
    </dxf>
    <dxf>
      <numFmt numFmtId="164" formatCode="0.0"/>
      <alignment horizontal="left" vertical="bottom" textRotation="0" wrapText="0" indent="0" justifyLastLine="0" shrinkToFit="0" readingOrder="0"/>
    </dxf>
    <dxf>
      <numFmt numFmtId="164" formatCode="0.0"/>
      <alignment horizontal="left" textRotation="0" indent="0" justifyLastLine="0" shrinkToFit="0" readingOrder="0"/>
    </dxf>
    <dxf>
      <numFmt numFmtId="164" formatCode="0.0"/>
      <alignment horizontal="left" textRotation="0" indent="0" justifyLastLine="0" shrinkToFit="0" readingOrder="0"/>
    </dxf>
    <dxf>
      <numFmt numFmtId="164" formatCode="0.0"/>
      <alignment horizontal="left" textRotation="0" indent="0" justifyLastLine="0" shrinkToFit="0" readingOrder="0"/>
    </dxf>
    <dxf>
      <numFmt numFmtId="164" formatCode="0.0"/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numFmt numFmtId="165" formatCode="mm/dd/yyyy"/>
      <alignment horizontal="left" vertical="center" textRotation="0" wrapText="0" indent="0" justifyLastLine="0" shrinkToFit="0" readingOrder="0"/>
    </dxf>
    <dxf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[Logbook_Template.xlsm]Totals!TypePieTable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u="sng">
                <a:solidFill>
                  <a:sysClr val="windowText" lastClr="000000"/>
                </a:solidFill>
                <a:latin typeface="+mn-lt"/>
              </a:rPr>
              <a:t>Top 10 Types</a:t>
            </a:r>
          </a:p>
        </c:rich>
      </c:tx>
      <c:layout>
        <c:manualLayout>
          <c:xMode val="edge"/>
          <c:yMode val="edge"/>
          <c:x val="0.33749663061112356"/>
          <c:y val="1.5655914315180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>
              <a:alpha val="90000"/>
            </a:schemeClr>
          </a:solidFill>
          <a:ln w="19050">
            <a:solidFill>
              <a:schemeClr val="accent2">
                <a:lumMod val="75000"/>
              </a:schemeClr>
            </a:solidFill>
          </a:ln>
          <a:effectLst>
            <a:innerShdw blurRad="114300">
              <a:schemeClr val="accent2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2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>
                <a:alpha val="90000"/>
              </a:sysClr>
            </a:solidFill>
            <a:ln w="12700" cap="flat" cmpd="sng" algn="ctr">
              <a:solidFill>
                <a:srgbClr val="E97132"/>
              </a:solidFill>
              <a:round/>
            </a:ln>
            <a:effectLst>
              <a:outerShdw blurRad="50800" dist="38100" dir="2700000" algn="tl" rotWithShape="0">
                <a:srgbClr val="E97132">
                  <a:lumMod val="75000"/>
                  <a:alpha val="40000"/>
                </a:srgb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alpha val="90000"/>
            </a:schemeClr>
          </a:solidFill>
          <a:ln w="19050">
            <a:solidFill>
              <a:schemeClr val="accent2">
                <a:lumMod val="75000"/>
              </a:schemeClr>
            </a:solidFill>
          </a:ln>
          <a:effectLst>
            <a:innerShdw blurRad="114300">
              <a:schemeClr val="accent2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2">
                <a:lumMod val="75000"/>
              </a:schemeClr>
            </a:contourClr>
          </a:sp3d>
        </c:spPr>
        <c:dLbl>
          <c:idx val="0"/>
          <c:layout>
            <c:manualLayout>
              <c:x val="6.8716316829794344E-2"/>
              <c:y val="-5.8676514920814804E-3"/>
            </c:manualLayout>
          </c:layout>
          <c:spPr>
            <a:solidFill>
              <a:schemeClr val="lt1">
                <a:alpha val="90000"/>
              </a:schemeClr>
            </a:solidFill>
            <a:ln w="12700" cap="flat" cmpd="sng" algn="ctr">
              <a:solidFill>
                <a:schemeClr val="accent2"/>
              </a:solidFill>
              <a:round/>
            </a:ln>
            <a:effectLst>
              <a:outerShdw blurRad="50800" dist="38100" dir="2700000" algn="tl" rotWithShape="0">
                <a:schemeClr val="accent2">
                  <a:lumMod val="75000"/>
                  <a:alpha val="40000"/>
                </a:scheme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pPr>
            <a:solidFill>
              <a:sysClr val="window" lastClr="FFFFFF">
                <a:alpha val="90000"/>
              </a:sysClr>
            </a:solidFill>
            <a:ln w="12700" cap="flat" cmpd="sng" algn="ctr">
              <a:solidFill>
                <a:srgbClr val="156082"/>
              </a:solidFill>
              <a:round/>
            </a:ln>
            <a:effectLst>
              <a:outerShdw blurRad="50800" dist="38100" dir="2700000" algn="tl" rotWithShape="0">
                <a:srgbClr val="156082">
                  <a:lumMod val="75000"/>
                  <a:alpha val="40000"/>
                </a:srgb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90000"/>
            </a:schemeClr>
          </a:solidFill>
          <a:ln w="19050">
            <a:solidFill>
              <a:schemeClr val="accent2">
                <a:lumMod val="75000"/>
              </a:schemeClr>
            </a:solidFill>
          </a:ln>
          <a:effectLst>
            <a:innerShdw blurRad="114300">
              <a:schemeClr val="accent2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2">
                <a:lumMod val="75000"/>
              </a:schemeClr>
            </a:contourClr>
          </a:sp3d>
        </c:spPr>
        <c:dLbl>
          <c:idx val="0"/>
          <c:spPr>
            <a:solidFill>
              <a:schemeClr val="lt1">
                <a:alpha val="90000"/>
              </a:schemeClr>
            </a:solidFill>
            <a:ln w="12700" cap="flat" cmpd="sng" algn="ctr">
              <a:solidFill>
                <a:schemeClr val="accent2"/>
              </a:solidFill>
              <a:round/>
            </a:ln>
            <a:effectLst>
              <a:outerShdw blurRad="50800" dist="38100" dir="2700000" algn="tl" rotWithShape="0">
                <a:schemeClr val="accent2">
                  <a:lumMod val="75000"/>
                  <a:alpha val="40000"/>
                </a:scheme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alpha val="90000"/>
            </a:schemeClr>
          </a:solidFill>
          <a:ln w="19050">
            <a:solidFill>
              <a:schemeClr val="accent2">
                <a:lumMod val="75000"/>
              </a:schemeClr>
            </a:solidFill>
          </a:ln>
          <a:effectLst>
            <a:innerShdw blurRad="114300">
              <a:schemeClr val="accent2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2">
                <a:lumMod val="75000"/>
              </a:schemeClr>
            </a:contourClr>
          </a:sp3d>
        </c:spPr>
        <c:dLbl>
          <c:idx val="0"/>
          <c:spPr>
            <a:solidFill>
              <a:schemeClr val="lt1">
                <a:alpha val="90000"/>
              </a:schemeClr>
            </a:solidFill>
            <a:ln w="12700" cap="flat" cmpd="sng" algn="ctr">
              <a:solidFill>
                <a:schemeClr val="accent2"/>
              </a:solidFill>
              <a:round/>
            </a:ln>
            <a:effectLst>
              <a:outerShdw blurRad="50800" dist="38100" dir="2700000" algn="tl" rotWithShape="0">
                <a:schemeClr val="accent2">
                  <a:lumMod val="75000"/>
                  <a:alpha val="40000"/>
                </a:scheme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alpha val="90000"/>
            </a:schemeClr>
          </a:solidFill>
          <a:ln w="19050">
            <a:solidFill>
              <a:schemeClr val="accent2">
                <a:lumMod val="75000"/>
              </a:schemeClr>
            </a:solidFill>
          </a:ln>
          <a:effectLst>
            <a:innerShdw blurRad="114300">
              <a:schemeClr val="accent2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2">
                <a:lumMod val="75000"/>
              </a:schemeClr>
            </a:contourClr>
          </a:sp3d>
        </c:spPr>
        <c:dLbl>
          <c:idx val="0"/>
          <c:layout>
            <c:manualLayout>
              <c:x val="4.3950144933680255E-2"/>
              <c:y val="2.9048537860480683E-2"/>
            </c:manualLayout>
          </c:layout>
          <c:spPr>
            <a:solidFill>
              <a:schemeClr val="lt1">
                <a:alpha val="90000"/>
              </a:schemeClr>
            </a:solidFill>
            <a:ln w="12700" cap="flat" cmpd="sng" algn="ctr">
              <a:solidFill>
                <a:schemeClr val="accent2"/>
              </a:solidFill>
              <a:round/>
            </a:ln>
            <a:effectLst>
              <a:outerShdw blurRad="50800" dist="38100" dir="2700000" algn="tl" rotWithShape="0">
                <a:schemeClr val="accent2">
                  <a:lumMod val="75000"/>
                  <a:alpha val="40000"/>
                </a:scheme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>
              <a:alpha val="90000"/>
            </a:schemeClr>
          </a:solidFill>
          <a:ln w="19050">
            <a:solidFill>
              <a:schemeClr val="accent2">
                <a:lumMod val="75000"/>
              </a:schemeClr>
            </a:solidFill>
          </a:ln>
          <a:effectLst>
            <a:innerShdw blurRad="114300">
              <a:schemeClr val="accent2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2">
                <a:lumMod val="75000"/>
              </a:schemeClr>
            </a:contourClr>
          </a:sp3d>
        </c:spPr>
        <c:dLbl>
          <c:idx val="0"/>
          <c:spPr>
            <a:solidFill>
              <a:schemeClr val="lt1">
                <a:alpha val="90000"/>
              </a:schemeClr>
            </a:solidFill>
            <a:ln w="12700" cap="flat" cmpd="sng" algn="ctr">
              <a:solidFill>
                <a:schemeClr val="accent2"/>
              </a:solidFill>
              <a:round/>
            </a:ln>
            <a:effectLst>
              <a:outerShdw blurRad="50800" dist="38100" dir="2700000" algn="tl" rotWithShape="0">
                <a:schemeClr val="accent2">
                  <a:lumMod val="75000"/>
                  <a:alpha val="40000"/>
                </a:scheme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alpha val="90000"/>
            </a:schemeClr>
          </a:solidFill>
          <a:ln w="19050">
            <a:solidFill>
              <a:schemeClr val="accent2">
                <a:lumMod val="75000"/>
              </a:schemeClr>
            </a:solidFill>
          </a:ln>
          <a:effectLst>
            <a:innerShdw blurRad="114300">
              <a:schemeClr val="accent2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2">
                <a:lumMod val="75000"/>
              </a:schemeClr>
            </a:contourClr>
          </a:sp3d>
        </c:spPr>
        <c:dLbl>
          <c:idx val="0"/>
          <c:spPr>
            <a:solidFill>
              <a:schemeClr val="lt1">
                <a:alpha val="90000"/>
              </a:schemeClr>
            </a:solidFill>
            <a:ln w="12700" cap="flat" cmpd="sng" algn="ctr">
              <a:solidFill>
                <a:schemeClr val="accent2"/>
              </a:solidFill>
              <a:round/>
            </a:ln>
            <a:effectLst>
              <a:outerShdw blurRad="50800" dist="38100" dir="2700000" algn="tl" rotWithShape="0">
                <a:schemeClr val="accent2">
                  <a:lumMod val="75000"/>
                  <a:alpha val="40000"/>
                </a:scheme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alpha val="90000"/>
            </a:schemeClr>
          </a:solidFill>
          <a:ln w="19050">
            <a:solidFill>
              <a:schemeClr val="accent2">
                <a:lumMod val="75000"/>
              </a:schemeClr>
            </a:solidFill>
          </a:ln>
          <a:effectLst>
            <a:innerShdw blurRad="114300">
              <a:schemeClr val="accent2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2">
                <a:lumMod val="75000"/>
              </a:schemeClr>
            </a:contourClr>
          </a:sp3d>
        </c:spPr>
        <c:dLbl>
          <c:idx val="0"/>
          <c:layout>
            <c:manualLayout>
              <c:x val="-1.1310656202472631E-2"/>
              <c:y val="-7.7856207695514143E-2"/>
            </c:manualLayout>
          </c:layout>
          <c:spPr>
            <a:solidFill>
              <a:schemeClr val="lt1">
                <a:alpha val="90000"/>
              </a:schemeClr>
            </a:solidFill>
            <a:ln w="12700" cap="flat" cmpd="sng" algn="ctr">
              <a:solidFill>
                <a:schemeClr val="accent2"/>
              </a:solidFill>
              <a:round/>
            </a:ln>
            <a:effectLst>
              <a:outerShdw blurRad="50800" dist="38100" dir="2700000" algn="tl" rotWithShape="0">
                <a:schemeClr val="accent2">
                  <a:lumMod val="75000"/>
                  <a:alpha val="40000"/>
                </a:scheme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solidFill>
              <a:sysClr val="window" lastClr="FFFFFF">
                <a:alpha val="90000"/>
              </a:sysClr>
            </a:solidFill>
            <a:ln w="12700" cap="flat" cmpd="sng" algn="ctr">
              <a:solidFill>
                <a:srgbClr val="156082"/>
              </a:solidFill>
              <a:round/>
            </a:ln>
            <a:effectLst>
              <a:outerShdw blurRad="50800" dist="38100" dir="2700000" algn="tl" rotWithShape="0">
                <a:srgbClr val="156082">
                  <a:lumMod val="75000"/>
                  <a:alpha val="40000"/>
                </a:srgb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alpha val="90000"/>
            </a:schemeClr>
          </a:solidFill>
          <a:ln w="19050">
            <a:solidFill>
              <a:schemeClr val="accent2">
                <a:lumMod val="75000"/>
              </a:schemeClr>
            </a:solidFill>
          </a:ln>
          <a:effectLst>
            <a:innerShdw blurRad="114300">
              <a:schemeClr val="accent2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2">
                <a:lumMod val="75000"/>
              </a:schemeClr>
            </a:contourClr>
          </a:sp3d>
        </c:spPr>
        <c:dLbl>
          <c:idx val="0"/>
          <c:layout>
            <c:manualLayout>
              <c:x val="4.0454911582506213E-2"/>
              <c:y val="-9.7891019994226031E-2"/>
            </c:manualLayout>
          </c:layout>
          <c:spPr>
            <a:solidFill>
              <a:schemeClr val="lt1">
                <a:alpha val="90000"/>
              </a:schemeClr>
            </a:solidFill>
            <a:ln w="12700" cap="flat" cmpd="sng" algn="ctr">
              <a:solidFill>
                <a:schemeClr val="accent2"/>
              </a:solidFill>
              <a:round/>
            </a:ln>
            <a:effectLst>
              <a:outerShdw blurRad="50800" dist="38100" dir="2700000" algn="tl" rotWithShape="0">
                <a:schemeClr val="accent2">
                  <a:lumMod val="75000"/>
                  <a:alpha val="40000"/>
                </a:scheme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>
              <a:alpha val="90000"/>
            </a:schemeClr>
          </a:solidFill>
          <a:ln w="19050">
            <a:solidFill>
              <a:schemeClr val="accent2">
                <a:lumMod val="75000"/>
              </a:schemeClr>
            </a:solidFill>
          </a:ln>
          <a:effectLst>
            <a:innerShdw blurRad="114300">
              <a:schemeClr val="accent2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2">
                <a:lumMod val="75000"/>
              </a:schemeClr>
            </a:contourClr>
          </a:sp3d>
        </c:spPr>
        <c:dLbl>
          <c:idx val="0"/>
          <c:layout>
            <c:manualLayout>
              <c:x val="0.10194242926865454"/>
              <c:y val="-5.250689136995508E-2"/>
            </c:manualLayout>
          </c:layout>
          <c:spPr>
            <a:solidFill>
              <a:schemeClr val="lt1">
                <a:alpha val="90000"/>
              </a:schemeClr>
            </a:solidFill>
            <a:ln w="12700" cap="flat" cmpd="sng" algn="ctr">
              <a:solidFill>
                <a:schemeClr val="accent2"/>
              </a:solidFill>
              <a:round/>
            </a:ln>
            <a:effectLst>
              <a:outerShdw blurRad="50800" dist="38100" dir="2700000" algn="tl" rotWithShape="0">
                <a:schemeClr val="accent2">
                  <a:lumMod val="75000"/>
                  <a:alpha val="40000"/>
                </a:scheme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alpha val="90000"/>
            </a:schemeClr>
          </a:solidFill>
          <a:ln w="19050">
            <a:solidFill>
              <a:schemeClr val="accent2">
                <a:lumMod val="75000"/>
              </a:schemeClr>
            </a:solidFill>
          </a:ln>
          <a:effectLst>
            <a:innerShdw blurRad="114300">
              <a:schemeClr val="accent2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2">
                <a:lumMod val="75000"/>
              </a:schemeClr>
            </a:contourClr>
          </a:sp3d>
        </c:spPr>
        <c:dLbl>
          <c:idx val="0"/>
          <c:spPr>
            <a:solidFill>
              <a:schemeClr val="lt1">
                <a:alpha val="90000"/>
              </a:schemeClr>
            </a:solidFill>
            <a:ln w="12700" cap="flat" cmpd="sng" algn="ctr">
              <a:solidFill>
                <a:schemeClr val="accent2"/>
              </a:solidFill>
              <a:round/>
            </a:ln>
            <a:effectLst>
              <a:outerShdw blurRad="50800" dist="38100" dir="2700000" algn="tl" rotWithShape="0">
                <a:schemeClr val="accent2">
                  <a:lumMod val="75000"/>
                  <a:alpha val="40000"/>
                </a:scheme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8788651189410036E-2"/>
          <c:y val="0.12935456854625341"/>
          <c:w val="0.9586648846507656"/>
          <c:h val="0.80220741868546419"/>
        </c:manualLayout>
      </c:layout>
      <c:pie3DChart>
        <c:varyColors val="1"/>
        <c:ser>
          <c:idx val="0"/>
          <c:order val="0"/>
          <c:tx>
            <c:strRef>
              <c:f>Totals!$M$10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alpha val="90000"/>
                </a:schemeClr>
              </a:solidFill>
              <a:ln w="19050">
                <a:solidFill>
                  <a:schemeClr val="accent2"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2C1E-455C-8BC6-4E202B350DBA}"/>
              </c:ext>
            </c:extLst>
          </c:dPt>
          <c:dPt>
            <c:idx val="1"/>
            <c:bubble3D val="0"/>
            <c:spPr>
              <a:solidFill>
                <a:schemeClr val="accent4">
                  <a:alpha val="90000"/>
                </a:schemeClr>
              </a:solidFill>
              <a:ln w="19050">
                <a:solidFill>
                  <a:schemeClr val="accent4">
                    <a:lumMod val="75000"/>
                  </a:schemeClr>
                </a:solidFill>
              </a:ln>
              <a:effectLst>
                <a:innerShdw blurRad="114300">
                  <a:schemeClr val="accent4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4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C1E-455C-8BC6-4E202B350DBA}"/>
              </c:ext>
            </c:extLst>
          </c:dPt>
          <c:dPt>
            <c:idx val="2"/>
            <c:bubble3D val="0"/>
            <c:spPr>
              <a:solidFill>
                <a:schemeClr val="accent6">
                  <a:alpha val="90000"/>
                </a:schemeClr>
              </a:solidFill>
              <a:ln w="19050">
                <a:solidFill>
                  <a:schemeClr val="accent6">
                    <a:lumMod val="75000"/>
                  </a:schemeClr>
                </a:solidFill>
              </a:ln>
              <a:effectLst>
                <a:innerShdw blurRad="114300">
                  <a:schemeClr val="accent6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6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2C1E-455C-8BC6-4E202B350DBA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  <a:alpha val="90000"/>
                </a:schemeClr>
              </a:solidFill>
              <a:ln w="19050">
                <a:solidFill>
                  <a:schemeClr val="accent2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C1E-455C-8BC6-4E202B350DBA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  <a:alpha val="90000"/>
                </a:schemeClr>
              </a:solidFill>
              <a:ln w="19050">
                <a:solidFill>
                  <a:schemeClr val="accent4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4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4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2C1E-455C-8BC6-4E202B350DBA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  <a:alpha val="90000"/>
                </a:schemeClr>
              </a:solidFill>
              <a:ln w="19050">
                <a:solidFill>
                  <a:schemeClr val="accent6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6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6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C1E-455C-8BC6-4E202B350DBA}"/>
              </c:ext>
            </c:extLst>
          </c:dPt>
          <c:dPt>
            <c:idx val="6"/>
            <c:bubble3D val="0"/>
            <c:spPr>
              <a:solidFill>
                <a:schemeClr val="accent2">
                  <a:lumMod val="80000"/>
                  <a:lumOff val="20000"/>
                  <a:alpha val="90000"/>
                </a:schemeClr>
              </a:solidFill>
              <a:ln w="19050">
                <a:solidFill>
                  <a:schemeClr val="accent2">
                    <a:lumMod val="80000"/>
                    <a:lumOff val="20000"/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80000"/>
                    <a:lumOff val="2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80000"/>
                    <a:lumOff val="2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2C1E-455C-8BC6-4E202B350DBA}"/>
              </c:ext>
            </c:extLst>
          </c:dPt>
          <c:dPt>
            <c:idx val="7"/>
            <c:bubble3D val="0"/>
            <c:spPr>
              <a:solidFill>
                <a:schemeClr val="accent4">
                  <a:lumMod val="80000"/>
                  <a:lumOff val="20000"/>
                  <a:alpha val="90000"/>
                </a:schemeClr>
              </a:solidFill>
              <a:ln w="19050">
                <a:solidFill>
                  <a:schemeClr val="accent4">
                    <a:lumMod val="80000"/>
                    <a:lumOff val="20000"/>
                    <a:lumMod val="75000"/>
                  </a:schemeClr>
                </a:solidFill>
              </a:ln>
              <a:effectLst>
                <a:innerShdw blurRad="114300">
                  <a:schemeClr val="accent4">
                    <a:lumMod val="80000"/>
                    <a:lumOff val="2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4">
                    <a:lumMod val="80000"/>
                    <a:lumOff val="2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2C1E-455C-8BC6-4E202B350DBA}"/>
              </c:ext>
            </c:extLst>
          </c:dPt>
          <c:dPt>
            <c:idx val="8"/>
            <c:bubble3D val="0"/>
            <c:spPr>
              <a:solidFill>
                <a:schemeClr val="accent6">
                  <a:lumMod val="80000"/>
                  <a:lumOff val="20000"/>
                  <a:alpha val="90000"/>
                </a:schemeClr>
              </a:solidFill>
              <a:ln w="19050">
                <a:solidFill>
                  <a:schemeClr val="accent6">
                    <a:lumMod val="80000"/>
                    <a:lumOff val="20000"/>
                    <a:lumMod val="75000"/>
                  </a:schemeClr>
                </a:solidFill>
              </a:ln>
              <a:effectLst>
                <a:innerShdw blurRad="114300">
                  <a:schemeClr val="accent6">
                    <a:lumMod val="80000"/>
                    <a:lumOff val="2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6">
                    <a:lumMod val="80000"/>
                    <a:lumOff val="2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2C1E-455C-8BC6-4E202B350DBA}"/>
              </c:ext>
            </c:extLst>
          </c:dPt>
          <c:dPt>
            <c:idx val="9"/>
            <c:bubble3D val="0"/>
            <c:spPr>
              <a:solidFill>
                <a:schemeClr val="accent2">
                  <a:lumMod val="80000"/>
                  <a:alpha val="90000"/>
                </a:schemeClr>
              </a:solidFill>
              <a:ln w="19050">
                <a:solidFill>
                  <a:schemeClr val="accent2">
                    <a:lumMod val="80000"/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8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8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2C1E-455C-8BC6-4E202B350DBA}"/>
              </c:ext>
            </c:extLst>
          </c:dPt>
          <c:dLbls>
            <c:dLbl>
              <c:idx val="0"/>
              <c:layout>
                <c:manualLayout>
                  <c:x val="6.8716316829794344E-2"/>
                  <c:y val="-5.8676514920814804E-3"/>
                </c:manualLayout>
              </c:layout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/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1E-455C-8BC6-4E202B350DBA}"/>
                </c:ext>
              </c:extLst>
            </c:dLbl>
            <c:dLbl>
              <c:idx val="1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4"/>
                  </a:solidFill>
                  <a:round/>
                </a:ln>
                <a:effectLst>
                  <a:outerShdw blurRad="50800" dist="38100" dir="2700000" algn="tl" rotWithShape="0">
                    <a:schemeClr val="accent4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4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2C1E-455C-8BC6-4E202B350DBA}"/>
                </c:ext>
              </c:extLst>
            </c:dLbl>
            <c:dLbl>
              <c:idx val="2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6"/>
                  </a:solidFill>
                  <a:round/>
                </a:ln>
                <a:effectLst>
                  <a:outerShdw blurRad="50800" dist="38100" dir="2700000" algn="tl" rotWithShape="0">
                    <a:schemeClr val="accent6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6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2C1E-455C-8BC6-4E202B350DBA}"/>
                </c:ext>
              </c:extLst>
            </c:dLbl>
            <c:dLbl>
              <c:idx val="3"/>
              <c:layout>
                <c:manualLayout>
                  <c:x val="4.3950144933680255E-2"/>
                  <c:y val="2.9048537860480683E-2"/>
                </c:manualLayout>
              </c:layout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C1E-455C-8BC6-4E202B350DBA}"/>
                </c:ext>
              </c:extLst>
            </c:dLbl>
            <c:dLbl>
              <c:idx val="4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4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4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4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6-2C1E-455C-8BC6-4E202B350DBA}"/>
                </c:ext>
              </c:extLst>
            </c:dLbl>
            <c:dLbl>
              <c:idx val="5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6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6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6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2C1E-455C-8BC6-4E202B350DBA}"/>
                </c:ext>
              </c:extLst>
            </c:dLbl>
            <c:dLbl>
              <c:idx val="6"/>
              <c:layout>
                <c:manualLayout>
                  <c:x val="-1.1310656202472631E-2"/>
                  <c:y val="-7.7856207695514143E-2"/>
                </c:manualLayout>
              </c:layout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>
                      <a:lumMod val="80000"/>
                      <a:lumOff val="2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80000"/>
                      <a:lumOff val="2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C1E-455C-8BC6-4E202B350DBA}"/>
                </c:ext>
              </c:extLst>
            </c:dLbl>
            <c:dLbl>
              <c:idx val="7"/>
              <c:layout>
                <c:manualLayout>
                  <c:x val="4.0454911582506213E-2"/>
                  <c:y val="-9.7891019994226031E-2"/>
                </c:manualLayout>
              </c:layout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4">
                      <a:lumMod val="80000"/>
                      <a:lumOff val="2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4">
                      <a:lumMod val="80000"/>
                      <a:lumOff val="2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C1E-455C-8BC6-4E202B350DBA}"/>
                </c:ext>
              </c:extLst>
            </c:dLbl>
            <c:dLbl>
              <c:idx val="8"/>
              <c:layout>
                <c:manualLayout>
                  <c:x val="0.10194242926865454"/>
                  <c:y val="-5.250689136995508E-2"/>
                </c:manualLayout>
              </c:layout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6">
                      <a:lumMod val="80000"/>
                      <a:lumOff val="2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6">
                      <a:lumMod val="80000"/>
                      <a:lumOff val="2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6">
                          <a:lumMod val="80000"/>
                          <a:lumOff val="2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C1E-455C-8BC6-4E202B350DBA}"/>
                </c:ext>
              </c:extLst>
            </c:dLbl>
            <c:dLbl>
              <c:idx val="9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>
                      <a:lumMod val="8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8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>
                          <a:lumMod val="8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2C1E-455C-8BC6-4E202B350DBA}"/>
                </c:ext>
              </c:extLst>
            </c:dLbl>
            <c:spPr>
              <a:solidFill>
                <a:sysClr val="window" lastClr="FFFFFF">
                  <a:alpha val="90000"/>
                </a:sysClr>
              </a:solidFill>
              <a:ln w="12700" cap="flat" cmpd="sng" algn="ctr">
                <a:solidFill>
                  <a:srgbClr val="E97132"/>
                </a:solidFill>
                <a:round/>
              </a:ln>
              <a:effectLst>
                <a:outerShdw blurRad="50800" dist="38100" dir="2700000" algn="tl" rotWithShape="0">
                  <a:srgbClr val="E97132">
                    <a:lumMod val="75000"/>
                    <a:alpha val="40000"/>
                  </a:srgb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Totals!$L$11:$L$21</c:f>
              <c:strCache>
                <c:ptCount val="10"/>
                <c:pt idx="0">
                  <c:v>BE58</c:v>
                </c:pt>
                <c:pt idx="1">
                  <c:v>C152</c:v>
                </c:pt>
                <c:pt idx="2">
                  <c:v>C172</c:v>
                </c:pt>
                <c:pt idx="3">
                  <c:v>C177</c:v>
                </c:pt>
                <c:pt idx="4">
                  <c:v>C550</c:v>
                </c:pt>
                <c:pt idx="5">
                  <c:v>CASS</c:v>
                </c:pt>
                <c:pt idx="6">
                  <c:v>P28A</c:v>
                </c:pt>
                <c:pt idx="7">
                  <c:v>PA30</c:v>
                </c:pt>
                <c:pt idx="8">
                  <c:v>T38C</c:v>
                </c:pt>
                <c:pt idx="9">
                  <c:v>T6II</c:v>
                </c:pt>
              </c:strCache>
            </c:strRef>
          </c:cat>
          <c:val>
            <c:numRef>
              <c:f>Totals!$M$11:$M$21</c:f>
              <c:numCache>
                <c:formatCode>0.0</c:formatCode>
                <c:ptCount val="10"/>
                <c:pt idx="0">
                  <c:v>45.3</c:v>
                </c:pt>
                <c:pt idx="1">
                  <c:v>99.6</c:v>
                </c:pt>
                <c:pt idx="2">
                  <c:v>1000.8000000000002</c:v>
                </c:pt>
                <c:pt idx="3">
                  <c:v>22.800000000000004</c:v>
                </c:pt>
                <c:pt idx="4">
                  <c:v>58.900000000000013</c:v>
                </c:pt>
                <c:pt idx="5">
                  <c:v>68.2</c:v>
                </c:pt>
                <c:pt idx="6">
                  <c:v>39</c:v>
                </c:pt>
                <c:pt idx="7">
                  <c:v>21.799999999999997</c:v>
                </c:pt>
                <c:pt idx="8">
                  <c:v>80.500000000000043</c:v>
                </c:pt>
                <c:pt idx="9">
                  <c:v>105.29999999999995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1E-455C-8BC6-4E202B350DBA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Flight Time (Last 24 Months)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Currencies!$B$33:$B$56</c:f>
              <c:strCache>
                <c:ptCount val="24"/>
                <c:pt idx="0">
                  <c:v>Nov-24</c:v>
                </c:pt>
                <c:pt idx="1">
                  <c:v>Dec-24</c:v>
                </c:pt>
                <c:pt idx="2">
                  <c:v>Jan-25</c:v>
                </c:pt>
                <c:pt idx="3">
                  <c:v>Feb-25</c:v>
                </c:pt>
                <c:pt idx="4">
                  <c:v>Mar-25</c:v>
                </c:pt>
                <c:pt idx="5">
                  <c:v>Apr-25</c:v>
                </c:pt>
                <c:pt idx="6">
                  <c:v>May-25</c:v>
                </c:pt>
                <c:pt idx="7">
                  <c:v>Jun-25</c:v>
                </c:pt>
                <c:pt idx="8">
                  <c:v>Jul-25</c:v>
                </c:pt>
                <c:pt idx="9">
                  <c:v>Aug-25</c:v>
                </c:pt>
                <c:pt idx="10">
                  <c:v>Sep-25</c:v>
                </c:pt>
                <c:pt idx="11">
                  <c:v>Oct-25</c:v>
                </c:pt>
                <c:pt idx="12">
                  <c:v>Nov-25</c:v>
                </c:pt>
                <c:pt idx="13">
                  <c:v>Dec-25</c:v>
                </c:pt>
                <c:pt idx="14">
                  <c:v>Jan-26</c:v>
                </c:pt>
                <c:pt idx="15">
                  <c:v>Feb-26</c:v>
                </c:pt>
                <c:pt idx="16">
                  <c:v>Mar-26</c:v>
                </c:pt>
                <c:pt idx="17">
                  <c:v>Apr-26</c:v>
                </c:pt>
                <c:pt idx="18">
                  <c:v>May-26</c:v>
                </c:pt>
                <c:pt idx="19">
                  <c:v>Jun-26</c:v>
                </c:pt>
                <c:pt idx="20">
                  <c:v>Jul-26</c:v>
                </c:pt>
                <c:pt idx="21">
                  <c:v>Aug-26</c:v>
                </c:pt>
                <c:pt idx="22">
                  <c:v>Sep-26</c:v>
                </c:pt>
                <c:pt idx="23">
                  <c:v>Oct-26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Currencies!$B$33:$B$56</c:f>
              <c:numCache>
                <c:formatCode>[$-409]mmm\-yy;@</c:formatCode>
                <c:ptCount val="24"/>
                <c:pt idx="0">
                  <c:v>45597</c:v>
                </c:pt>
                <c:pt idx="1">
                  <c:v>45627</c:v>
                </c:pt>
                <c:pt idx="2">
                  <c:v>45658</c:v>
                </c:pt>
                <c:pt idx="3">
                  <c:v>45689</c:v>
                </c:pt>
                <c:pt idx="4">
                  <c:v>45717</c:v>
                </c:pt>
                <c:pt idx="5">
                  <c:v>45748</c:v>
                </c:pt>
                <c:pt idx="6">
                  <c:v>45778</c:v>
                </c:pt>
                <c:pt idx="7">
                  <c:v>45809</c:v>
                </c:pt>
                <c:pt idx="8">
                  <c:v>45839</c:v>
                </c:pt>
                <c:pt idx="9">
                  <c:v>45870</c:v>
                </c:pt>
                <c:pt idx="10">
                  <c:v>45901</c:v>
                </c:pt>
                <c:pt idx="11">
                  <c:v>45931</c:v>
                </c:pt>
                <c:pt idx="12">
                  <c:v>45962</c:v>
                </c:pt>
                <c:pt idx="13">
                  <c:v>45992</c:v>
                </c:pt>
                <c:pt idx="14">
                  <c:v>46023</c:v>
                </c:pt>
                <c:pt idx="15">
                  <c:v>46054</c:v>
                </c:pt>
                <c:pt idx="16">
                  <c:v>46082</c:v>
                </c:pt>
                <c:pt idx="17">
                  <c:v>46113</c:v>
                </c:pt>
                <c:pt idx="18">
                  <c:v>46143</c:v>
                </c:pt>
                <c:pt idx="19">
                  <c:v>46174</c:v>
                </c:pt>
                <c:pt idx="20">
                  <c:v>46204</c:v>
                </c:pt>
                <c:pt idx="21">
                  <c:v>46235</c:v>
                </c:pt>
                <c:pt idx="22">
                  <c:v>46266</c:v>
                </c:pt>
                <c:pt idx="23">
                  <c:v>46296</c:v>
                </c:pt>
              </c:numCache>
            </c:numRef>
          </c:cat>
          <c:val>
            <c:numRef>
              <c:f>Currencies!$C$33:$C$56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15.2</c:v>
                </c:pt>
                <c:pt idx="14">
                  <c:v>15.6</c:v>
                </c:pt>
                <c:pt idx="15">
                  <c:v>25.5</c:v>
                </c:pt>
                <c:pt idx="16">
                  <c:v>24.799999999999997</c:v>
                </c:pt>
                <c:pt idx="17">
                  <c:v>25.8</c:v>
                </c:pt>
                <c:pt idx="18">
                  <c:v>0</c:v>
                </c:pt>
                <c:pt idx="19">
                  <c:v>4</c:v>
                </c:pt>
                <c:pt idx="20">
                  <c:v>17</c:v>
                </c:pt>
                <c:pt idx="21">
                  <c:v>20.999999999999996</c:v>
                </c:pt>
                <c:pt idx="22">
                  <c:v>29.099999999999994</c:v>
                </c:pt>
                <c:pt idx="23">
                  <c:v>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3F-4A60-A9D2-5590A614E1B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977960096"/>
        <c:axId val="582621167"/>
      </c:lineChart>
      <c:dateAx>
        <c:axId val="1977960096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621167"/>
        <c:crosses val="autoZero"/>
        <c:auto val="1"/>
        <c:lblOffset val="100"/>
        <c:baseTimeUnit val="months"/>
      </c:dateAx>
      <c:valAx>
        <c:axId val="582621167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crossAx val="197796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98613</xdr:colOff>
      <xdr:row>1</xdr:row>
      <xdr:rowOff>26889</xdr:rowOff>
    </xdr:from>
    <xdr:to>
      <xdr:col>17</xdr:col>
      <xdr:colOff>555812</xdr:colOff>
      <xdr:row>22</xdr:row>
      <xdr:rowOff>98611</xdr:rowOff>
    </xdr:to>
    <xdr:graphicFrame macro="">
      <xdr:nvGraphicFramePr>
        <xdr:cNvPr id="3" name="TypePieChart">
          <a:extLst>
            <a:ext uri="{FF2B5EF4-FFF2-40B4-BE49-F238E27FC236}">
              <a16:creationId xmlns:a16="http://schemas.microsoft.com/office/drawing/2014/main" id="{0169BFF1-698B-5E5F-A464-88C93DFB9B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320040</xdr:colOff>
      <xdr:row>12</xdr:row>
      <xdr:rowOff>163830</xdr:rowOff>
    </xdr:from>
    <xdr:to>
      <xdr:col>16</xdr:col>
      <xdr:colOff>7620</xdr:colOff>
      <xdr:row>23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87050EB-4D98-5B72-36C7-26DC256828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hn O'Dell" refreshedDate="46322.757933449073" createdVersion="8" refreshedVersion="8" minRefreshableVersion="3" recordCount="64" xr:uid="{4BFC49C5-94D2-4BEC-A5D6-A043BDB49A1C}">
  <cacheSource type="worksheet">
    <worksheetSource name="AircraftTable"/>
  </cacheSource>
  <cacheFields count="38">
    <cacheField name="Aircraft ID" numFmtId="0">
      <sharedItems/>
    </cacheField>
    <cacheField name="TypeCode" numFmtId="0">
      <sharedItems count="43">
        <s v="C172"/>
        <s v="SGS 2-33"/>
        <s v="C180"/>
        <s v="C177"/>
        <s v="SR20"/>
        <s v="AC912"/>
        <s v="C150"/>
        <s v="C560"/>
        <s v="C550"/>
        <s v="C182"/>
        <s v="BE9L"/>
        <s v="BE35"/>
        <s v="E300"/>
        <s v="CHAL2"/>
        <s v="C152"/>
        <s v="BE90"/>
        <s v="P28A"/>
        <s v="PA30"/>
        <s v="BE58"/>
        <s v="PA24"/>
        <s v="J3"/>
        <s v="DA42"/>
        <s v="PTS2"/>
        <s v="PA22"/>
        <s v="AA5"/>
        <s v="TAIL"/>
        <s v="S22T"/>
        <s v="T6"/>
        <s v="C182RG"/>
        <s v="RV4"/>
        <s v="8KCAB"/>
        <s v="GLST"/>
        <s v="CASS"/>
        <s v="RV8"/>
        <s v="VELO"/>
        <s v="AR6T"/>
        <s v="CH7B"/>
        <s v="C425"/>
        <s v="C170"/>
        <s v="DHC2"/>
        <s v="RNSS-9"/>
        <s v="T6II"/>
        <s v="T38C"/>
      </sharedItems>
    </cacheField>
    <cacheField name="Year" numFmtId="0">
      <sharedItems containsString="0" containsBlank="1" containsNumber="1" containsInteger="1" minValue="1947" maxValue="1981"/>
    </cacheField>
    <cacheField name="Make" numFmtId="0">
      <sharedItems/>
    </cacheField>
    <cacheField name="Model" numFmtId="0">
      <sharedItems containsMixedTypes="1" containsNumber="1" containsInteger="1" minValue="90" maxValue="560"/>
    </cacheField>
    <cacheField name="GearType" numFmtId="0">
      <sharedItems/>
    </cacheField>
    <cacheField name="EngineType" numFmtId="0">
      <sharedItems/>
    </cacheField>
    <cacheField name="aircraftClass (FAA)" numFmtId="0">
      <sharedItems count="9">
        <s v="Airplane Single Engine Land"/>
        <s v="Glider"/>
        <s v="Weight Shift Control"/>
        <s v="Airplane Multi Engine Land"/>
        <s v="Airplane Single Engine Sea"/>
        <s v="Airplane_Multi_Engine_Land" u="1"/>
        <s v="Airplane_Single_Engine_Sea" u="1"/>
        <s v="Airplane_Single_Engine_Land" u="1"/>
        <s v="Weight_Shift_Control_Land" u="1"/>
      </sharedItems>
    </cacheField>
    <cacheField name="complex (FAA)" numFmtId="0">
      <sharedItems containsBlank="1"/>
    </cacheField>
    <cacheField name="taa (FAA)" numFmtId="0">
      <sharedItems containsBlank="1"/>
    </cacheField>
    <cacheField name="highPerformance (FAA)" numFmtId="0">
      <sharedItems containsBlank="1"/>
    </cacheField>
    <cacheField name="pressurized (FAA)" numFmtId="0">
      <sharedItems containsBlank="1"/>
    </cacheField>
    <cacheField name="Flights" numFmtId="0">
      <sharedItems containsSemiMixedTypes="0" containsString="0" containsNumber="1" containsInteger="1" minValue="0" maxValue="501"/>
    </cacheField>
    <cacheField name="Total Time" numFmtId="164">
      <sharedItems containsSemiMixedTypes="0" containsString="0" containsNumber="1" minValue="0" maxValue="758.30000000000018"/>
    </cacheField>
    <cacheField name="PIC" numFmtId="164">
      <sharedItems containsSemiMixedTypes="0" containsString="0" containsNumber="1" minValue="0" maxValue="630.60000000000014"/>
    </cacheField>
    <cacheField name="PRI" numFmtId="164">
      <sharedItems containsSemiMixedTypes="0" containsString="0" containsNumber="1" minValue="0" maxValue="105.29999999999995"/>
    </cacheField>
    <cacheField name="SIC" numFmtId="0">
      <sharedItems containsSemiMixedTypes="0" containsString="0" containsNumber="1" minValue="0" maxValue="44.300000000000011"/>
    </cacheField>
    <cacheField name="Solo" numFmtId="0">
      <sharedItems containsSemiMixedTypes="0" containsString="0" containsNumber="1" containsInteger="1" minValue="0" maxValue="0"/>
    </cacheField>
    <cacheField name="Night" numFmtId="0">
      <sharedItems containsSemiMixedTypes="0" containsString="0" containsNumber="1" minValue="0" maxValue="57.000000000000014"/>
    </cacheField>
    <cacheField name="DualGiven" numFmtId="0">
      <sharedItems containsSemiMixedTypes="0" containsString="0" containsNumber="1" minValue="0" maxValue="158.79999999999993"/>
    </cacheField>
    <cacheField name="INST" numFmtId="0">
      <sharedItems containsSemiMixedTypes="0" containsString="0" containsNumber="1" containsInteger="1" minValue="0" maxValue="0"/>
    </cacheField>
    <cacheField name="Actual Inst" numFmtId="0">
      <sharedItems containsSemiMixedTypes="0" containsString="0" containsNumber="1" minValue="0" maxValue="7.7"/>
    </cacheField>
    <cacheField name="Sim Inst" numFmtId="0">
      <sharedItems containsSemiMixedTypes="0" containsString="0" containsNumber="1" minValue="0" maxValue="32.6"/>
    </cacheField>
    <cacheField name="XC" numFmtId="0">
      <sharedItems containsSemiMixedTypes="0" containsString="0" containsNumber="1" minValue="0" maxValue="416.59999999999968"/>
    </cacheField>
    <cacheField name="Dual Received" numFmtId="0">
      <sharedItems containsSemiMixedTypes="0" containsString="0" containsNumber="1" minValue="0" maxValue="155.4"/>
    </cacheField>
    <cacheField name="Formation" numFmtId="0">
      <sharedItems containsSemiMixedTypes="0" containsString="0" containsNumber="1" minValue="0" maxValue="42.100000000000016"/>
    </cacheField>
    <cacheField name="Day LDG" numFmtId="0">
      <sharedItems containsSemiMixedTypes="0" containsString="0" containsNumber="1" containsInteger="1" minValue="0" maxValue="1085"/>
    </cacheField>
    <cacheField name="Night LDG" numFmtId="0">
      <sharedItems containsSemiMixedTypes="0" containsString="0" containsNumber="1" containsInteger="1" minValue="0" maxValue="72"/>
    </cacheField>
    <cacheField name="Total LDG" numFmtId="0">
      <sharedItems containsSemiMixedTypes="0" containsString="0" containsNumber="1" containsInteger="1" minValue="0" maxValue="1157"/>
    </cacheField>
    <cacheField name="Holds" numFmtId="0">
      <sharedItems containsSemiMixedTypes="0" containsString="0" containsNumber="1" containsInteger="1" minValue="0" maxValue="22"/>
    </cacheField>
    <cacheField name="APPR" numFmtId="0">
      <sharedItems containsSemiMixedTypes="0" containsString="0" containsNumber="1" containsInteger="1" minValue="0" maxValue="88"/>
    </cacheField>
    <cacheField name="ILS" numFmtId="0">
      <sharedItems containsSemiMixedTypes="0" containsString="0" containsNumber="1" containsInteger="1" minValue="0" maxValue="26"/>
    </cacheField>
    <cacheField name="LOC" numFmtId="0">
      <sharedItems containsSemiMixedTypes="0" containsString="0" containsNumber="1" containsInteger="1" minValue="0" maxValue="9"/>
    </cacheField>
    <cacheField name="VOR/_x000a_TCN" numFmtId="0">
      <sharedItems containsSemiMixedTypes="0" containsString="0" containsNumber="1" containsInteger="1" minValue="0" maxValue="33"/>
    </cacheField>
    <cacheField name="RNAV" numFmtId="0">
      <sharedItems containsSemiMixedTypes="0" containsString="0" containsNumber="1" containsInteger="1" minValue="0" maxValue="14"/>
    </cacheField>
    <cacheField name="ASR" numFmtId="0">
      <sharedItems containsSemiMixedTypes="0" containsString="0" containsNumber="1" containsInteger="1" minValue="0" maxValue="2"/>
    </cacheField>
    <cacheField name="PAR" numFmtId="0">
      <sharedItems containsSemiMixedTypes="0" containsString="0" containsNumber="1" containsInteger="1" minValue="0" maxValue="1"/>
    </cacheField>
    <cacheField name="CIRCLE" numFmtId="0">
      <sharedItems containsSemiMixedTypes="0" containsString="0" containsNumber="1" containsInteger="1" minValue="0" maxValue="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s v="N53456"/>
    <x v="0"/>
    <n v="1981"/>
    <s v="Cessna"/>
    <n v="172"/>
    <s v="Fixed_Tricycle"/>
    <s v="Piston"/>
    <x v="0"/>
    <m/>
    <m/>
    <m/>
    <m/>
    <n v="1"/>
    <n v="1.5"/>
    <n v="1.5"/>
    <n v="0"/>
    <n v="0"/>
    <n v="0"/>
    <n v="0"/>
    <n v="0"/>
    <n v="0"/>
    <n v="0.2"/>
    <n v="1"/>
    <n v="0"/>
    <n v="1.5"/>
    <n v="0"/>
    <n v="1"/>
    <n v="0"/>
    <n v="1"/>
    <n v="0"/>
    <n v="2"/>
    <n v="0"/>
    <n v="0"/>
    <n v="1"/>
    <n v="1"/>
    <n v="0"/>
    <n v="0"/>
    <n v="0"/>
  </r>
  <r>
    <s v="N3613F"/>
    <x v="1"/>
    <m/>
    <s v="Schweiser"/>
    <s v="SGS 2-33"/>
    <s v="Skids"/>
    <s v="Non-powered"/>
    <x v="1"/>
    <m/>
    <m/>
    <m/>
    <m/>
    <n v="2"/>
    <n v="0.8"/>
    <n v="0"/>
    <n v="0"/>
    <n v="0"/>
    <n v="0"/>
    <n v="0"/>
    <n v="0"/>
    <n v="0"/>
    <n v="0"/>
    <n v="0"/>
    <n v="0"/>
    <n v="0.8"/>
    <n v="0"/>
    <n v="2"/>
    <n v="0"/>
    <n v="2"/>
    <n v="0"/>
    <n v="0"/>
    <n v="0"/>
    <n v="0"/>
    <n v="0"/>
    <n v="0"/>
    <n v="0"/>
    <n v="0"/>
    <n v="0"/>
  </r>
  <r>
    <s v="N5722S"/>
    <x v="1"/>
    <m/>
    <s v="Schweiser"/>
    <s v="SGS 2-33"/>
    <s v="Skids"/>
    <s v="Non-powered"/>
    <x v="1"/>
    <m/>
    <m/>
    <m/>
    <m/>
    <n v="3"/>
    <n v="1.9"/>
    <n v="0"/>
    <n v="0"/>
    <n v="0"/>
    <n v="0"/>
    <n v="0"/>
    <n v="0"/>
    <n v="0"/>
    <n v="0"/>
    <n v="0"/>
    <n v="0"/>
    <n v="1.9"/>
    <n v="0"/>
    <n v="3"/>
    <n v="0"/>
    <n v="3"/>
    <n v="0"/>
    <n v="1"/>
    <n v="0"/>
    <n v="0"/>
    <n v="0"/>
    <n v="0"/>
    <n v="0"/>
    <n v="0"/>
    <n v="0"/>
  </r>
  <r>
    <s v="N9008C"/>
    <x v="2"/>
    <m/>
    <s v="Cessna"/>
    <n v="180"/>
    <s v="Fixed_Tricycle"/>
    <s v="Piston"/>
    <x v="0"/>
    <m/>
    <m/>
    <b v="1"/>
    <m/>
    <n v="1"/>
    <n v="1"/>
    <n v="1"/>
    <n v="0"/>
    <n v="0"/>
    <n v="0"/>
    <n v="0"/>
    <n v="0"/>
    <n v="0"/>
    <n v="0"/>
    <n v="0"/>
    <n v="0"/>
    <n v="0"/>
    <n v="0"/>
    <n v="2"/>
    <n v="0"/>
    <n v="2"/>
    <n v="0"/>
    <n v="0"/>
    <n v="0"/>
    <n v="0"/>
    <n v="0"/>
    <n v="0"/>
    <n v="0"/>
    <n v="0"/>
    <n v="0"/>
  </r>
  <r>
    <s v="N2591V"/>
    <x v="3"/>
    <m/>
    <s v="Cessna"/>
    <n v="177"/>
    <s v="Retractable_Tricycle"/>
    <s v="Piston"/>
    <x v="0"/>
    <b v="1"/>
    <m/>
    <m/>
    <m/>
    <n v="9"/>
    <n v="10.9"/>
    <n v="10.9"/>
    <n v="0"/>
    <n v="0"/>
    <n v="0"/>
    <n v="0"/>
    <n v="0"/>
    <n v="0"/>
    <n v="0"/>
    <n v="0"/>
    <n v="3"/>
    <n v="4.8"/>
    <n v="0"/>
    <n v="34"/>
    <n v="0"/>
    <n v="34"/>
    <n v="0"/>
    <n v="2"/>
    <n v="0"/>
    <n v="0"/>
    <n v="0"/>
    <n v="0"/>
    <n v="0"/>
    <n v="0"/>
    <n v="0"/>
  </r>
  <r>
    <s v="N231CD"/>
    <x v="4"/>
    <m/>
    <s v="Cirrus"/>
    <s v="SR20"/>
    <s v="Fixed_Tricycle"/>
    <s v="Piston"/>
    <x v="0"/>
    <m/>
    <m/>
    <m/>
    <m/>
    <n v="1"/>
    <n v="1.2"/>
    <n v="1.2"/>
    <n v="0"/>
    <n v="0"/>
    <n v="0"/>
    <n v="0"/>
    <n v="1.2"/>
    <n v="0"/>
    <n v="0"/>
    <n v="0"/>
    <n v="0"/>
    <n v="0"/>
    <n v="0"/>
    <n v="1"/>
    <n v="0"/>
    <n v="1"/>
    <n v="0"/>
    <n v="1"/>
    <n v="0"/>
    <n v="0"/>
    <n v="0"/>
    <n v="0"/>
    <n v="0"/>
    <n v="0"/>
    <n v="0"/>
  </r>
  <r>
    <s v="N998AZ"/>
    <x v="5"/>
    <m/>
    <s v="Air Creation"/>
    <s v="Tanarg"/>
    <s v="Fixed_Tricycle"/>
    <s v="Piston"/>
    <x v="2"/>
    <m/>
    <m/>
    <m/>
    <m/>
    <n v="1"/>
    <n v="1"/>
    <n v="0"/>
    <n v="0"/>
    <n v="0"/>
    <n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n v="0"/>
    <n v="0"/>
  </r>
  <r>
    <s v="N4205U"/>
    <x v="6"/>
    <m/>
    <s v="Cessna"/>
    <n v="150"/>
    <s v="Fixed_Tricycle"/>
    <s v="Piston"/>
    <x v="0"/>
    <m/>
    <m/>
    <m/>
    <m/>
    <n v="1"/>
    <n v="1"/>
    <n v="1"/>
    <n v="0"/>
    <n v="0"/>
    <n v="0"/>
    <n v="0"/>
    <n v="0"/>
    <n v="0"/>
    <n v="0"/>
    <n v="0"/>
    <n v="0"/>
    <n v="1"/>
    <n v="0"/>
    <n v="4"/>
    <n v="0"/>
    <n v="4"/>
    <n v="0"/>
    <n v="0"/>
    <n v="0"/>
    <n v="0"/>
    <n v="0"/>
    <n v="0"/>
    <n v="0"/>
    <n v="0"/>
    <n v="0"/>
  </r>
  <r>
    <s v="N276GT"/>
    <x v="0"/>
    <m/>
    <s v="Cessna"/>
    <s v="172S"/>
    <s v="Fixed_Tricycle"/>
    <s v="Piston"/>
    <x v="0"/>
    <m/>
    <m/>
    <m/>
    <m/>
    <n v="1"/>
    <n v="1.8"/>
    <n v="1.8"/>
    <n v="0"/>
    <n v="0"/>
    <n v="0"/>
    <n v="0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</r>
  <r>
    <s v="N22AF"/>
    <x v="7"/>
    <m/>
    <s v="Cessna"/>
    <n v="560"/>
    <s v="Retractable_Tricycle"/>
    <s v="Turbofan"/>
    <x v="3"/>
    <m/>
    <m/>
    <b v="1"/>
    <b v="1"/>
    <n v="1"/>
    <n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</r>
  <r>
    <s v="N30741"/>
    <x v="3"/>
    <m/>
    <s v="Cessna"/>
    <n v="177"/>
    <s v="Fixed_Tricycle"/>
    <s v="Piston"/>
    <x v="0"/>
    <m/>
    <m/>
    <m/>
    <m/>
    <n v="6"/>
    <n v="11.900000000000002"/>
    <n v="11.900000000000002"/>
    <n v="0"/>
    <n v="0"/>
    <n v="0"/>
    <n v="1.1000000000000001"/>
    <n v="0"/>
    <n v="0"/>
    <n v="0.4"/>
    <n v="3.4"/>
    <n v="7.9"/>
    <n v="0"/>
    <n v="0"/>
    <n v="9"/>
    <n v="1"/>
    <n v="10"/>
    <n v="2"/>
    <n v="1"/>
    <n v="7"/>
    <n v="1"/>
    <n v="2"/>
    <n v="4"/>
    <n v="0"/>
    <n v="0"/>
    <n v="0"/>
  </r>
  <r>
    <s v="N387RE"/>
    <x v="8"/>
    <m/>
    <s v="Cessna"/>
    <n v="550"/>
    <s v="Retractable_Tricycle"/>
    <s v="Turbofan"/>
    <x v="3"/>
    <m/>
    <m/>
    <b v="1"/>
    <b v="1"/>
    <n v="47"/>
    <n v="0"/>
    <n v="0"/>
    <n v="0"/>
    <n v="0"/>
    <n v="0"/>
    <n v="0"/>
    <n v="0"/>
    <n v="0"/>
    <n v="0"/>
    <n v="0"/>
    <n v="0"/>
    <n v="0"/>
    <n v="0"/>
    <n v="70"/>
    <n v="0"/>
    <n v="70"/>
    <n v="0"/>
    <n v="1"/>
    <n v="0"/>
    <n v="0"/>
    <n v="0"/>
    <n v="1"/>
    <n v="0"/>
    <n v="0"/>
    <n v="0"/>
  </r>
  <r>
    <s v="N428HS"/>
    <x v="9"/>
    <n v="1966"/>
    <s v="Cessna"/>
    <n v="182"/>
    <s v="Fixed_Tricycle"/>
    <s v="Piston"/>
    <x v="0"/>
    <m/>
    <m/>
    <b v="1"/>
    <m/>
    <n v="1"/>
    <n v="0.8"/>
    <n v="0.8"/>
    <n v="0"/>
    <n v="0"/>
    <n v="0"/>
    <n v="0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</r>
  <r>
    <s v="N4476L"/>
    <x v="0"/>
    <m/>
    <s v="Cessna"/>
    <n v="172"/>
    <s v="Fixed_Tricycle"/>
    <s v="Piston"/>
    <x v="0"/>
    <m/>
    <m/>
    <m/>
    <m/>
    <n v="1"/>
    <n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</r>
  <r>
    <s v="N545C"/>
    <x v="10"/>
    <m/>
    <s v="Beechcraft"/>
    <s v="C90"/>
    <s v="Retractable_Tricycle"/>
    <s v="Turboprop"/>
    <x v="3"/>
    <m/>
    <m/>
    <m/>
    <b v="1"/>
    <n v="3"/>
    <n v="0"/>
    <n v="0"/>
    <n v="0"/>
    <n v="0"/>
    <n v="0"/>
    <n v="0"/>
    <n v="0"/>
    <n v="0"/>
    <n v="0"/>
    <n v="0"/>
    <n v="0"/>
    <n v="0"/>
    <n v="0"/>
    <n v="4"/>
    <n v="0"/>
    <n v="4"/>
    <n v="0"/>
    <n v="0"/>
    <n v="0"/>
    <n v="0"/>
    <n v="0"/>
    <n v="0"/>
    <n v="0"/>
    <n v="0"/>
    <n v="0"/>
  </r>
  <r>
    <s v="N6026U"/>
    <x v="11"/>
    <m/>
    <s v="Beechcraft"/>
    <s v="BE35"/>
    <s v="Retractable_Tricycle"/>
    <s v="Piston"/>
    <x v="0"/>
    <b v="1"/>
    <m/>
    <m/>
    <m/>
    <n v="1"/>
    <n v="0.5"/>
    <n v="0"/>
    <n v="0"/>
    <n v="0"/>
    <n v="0"/>
    <n v="0"/>
    <n v="0"/>
    <n v="0"/>
    <n v="0"/>
    <n v="0"/>
    <n v="0"/>
    <n v="0.5"/>
    <n v="0"/>
    <n v="2"/>
    <n v="0"/>
    <n v="2"/>
    <n v="0"/>
    <n v="0"/>
    <n v="0"/>
    <n v="0"/>
    <n v="0"/>
    <n v="0"/>
    <n v="0"/>
    <n v="0"/>
    <n v="0"/>
  </r>
  <r>
    <s v="N62244"/>
    <x v="0"/>
    <m/>
    <s v="Cessna"/>
    <n v="172"/>
    <s v="Fixed_Tricycle"/>
    <s v="Piston"/>
    <x v="0"/>
    <m/>
    <m/>
    <m/>
    <m/>
    <n v="13"/>
    <n v="15.600000000000001"/>
    <n v="13.100000000000001"/>
    <n v="0"/>
    <n v="0"/>
    <n v="0"/>
    <n v="1.6"/>
    <n v="0"/>
    <n v="0"/>
    <n v="1.3"/>
    <n v="12.599999999999998"/>
    <n v="0"/>
    <n v="8.5"/>
    <n v="0"/>
    <n v="14"/>
    <n v="1"/>
    <n v="15"/>
    <n v="2"/>
    <n v="20"/>
    <n v="9"/>
    <n v="0"/>
    <n v="6"/>
    <n v="14"/>
    <n v="0"/>
    <n v="0"/>
    <n v="1"/>
  </r>
  <r>
    <s v="N631TS"/>
    <x v="8"/>
    <m/>
    <s v="Cessna"/>
    <n v="550"/>
    <s v="Retractable_Tricycle"/>
    <s v="Turbofan"/>
    <x v="3"/>
    <m/>
    <m/>
    <m/>
    <b v="1"/>
    <n v="21"/>
    <n v="45.800000000000011"/>
    <n v="0"/>
    <n v="0"/>
    <n v="44.300000000000011"/>
    <n v="0"/>
    <n v="3.6000000000000005"/>
    <n v="0"/>
    <n v="0"/>
    <n v="7.7"/>
    <n v="2"/>
    <n v="18"/>
    <n v="15.3"/>
    <n v="0"/>
    <n v="34"/>
    <n v="2"/>
    <n v="36"/>
    <n v="0"/>
    <n v="2"/>
    <n v="4"/>
    <n v="0"/>
    <n v="0"/>
    <n v="6"/>
    <n v="0"/>
    <n v="1"/>
    <n v="4"/>
  </r>
  <r>
    <s v="N71PK"/>
    <x v="0"/>
    <m/>
    <s v="Cessna"/>
    <n v="172"/>
    <s v="Fixed_Tricycle"/>
    <s v="Piston"/>
    <x v="0"/>
    <m/>
    <m/>
    <m/>
    <m/>
    <n v="1"/>
    <n v="0.6"/>
    <n v="0"/>
    <n v="0"/>
    <n v="0"/>
    <n v="0"/>
    <n v="0"/>
    <n v="0"/>
    <n v="0"/>
    <n v="0"/>
    <n v="0"/>
    <n v="0"/>
    <n v="0.6"/>
    <n v="0"/>
    <n v="2"/>
    <n v="0"/>
    <n v="2"/>
    <n v="0"/>
    <n v="0"/>
    <n v="0"/>
    <n v="0"/>
    <n v="0"/>
    <n v="0"/>
    <n v="0"/>
    <n v="0"/>
    <n v="0"/>
  </r>
  <r>
    <s v="N968RC"/>
    <x v="0"/>
    <m/>
    <s v="Cessna"/>
    <n v="172"/>
    <s v="Fixed_Tricycle"/>
    <s v="Piston"/>
    <x v="0"/>
    <m/>
    <m/>
    <m/>
    <m/>
    <n v="13"/>
    <n v="15.600000000000001"/>
    <n v="11.5"/>
    <n v="0"/>
    <n v="0"/>
    <n v="0"/>
    <n v="1.5"/>
    <n v="0"/>
    <n v="0"/>
    <n v="0.5"/>
    <n v="6.9"/>
    <n v="0"/>
    <n v="8.0000000000000018"/>
    <n v="0"/>
    <n v="10"/>
    <n v="5"/>
    <n v="15"/>
    <n v="1"/>
    <n v="17"/>
    <n v="7"/>
    <n v="0"/>
    <n v="4"/>
    <n v="0"/>
    <n v="0"/>
    <n v="0"/>
    <n v="1"/>
  </r>
  <r>
    <s v="N771TA"/>
    <x v="12"/>
    <m/>
    <s v="Extra"/>
    <n v="300"/>
    <s v="Fixed_Tailwheel"/>
    <s v="Piston"/>
    <x v="0"/>
    <m/>
    <m/>
    <b v="1"/>
    <m/>
    <n v="3"/>
    <n v="1.8"/>
    <n v="0"/>
    <n v="0"/>
    <n v="0"/>
    <n v="0"/>
    <n v="0"/>
    <n v="0"/>
    <n v="0"/>
    <n v="0"/>
    <n v="0"/>
    <n v="0"/>
    <n v="1.8"/>
    <n v="0"/>
    <n v="3"/>
    <n v="0"/>
    <n v="3"/>
    <n v="0"/>
    <n v="0"/>
    <n v="0"/>
    <n v="0"/>
    <n v="0"/>
    <n v="0"/>
    <n v="0"/>
    <n v="0"/>
    <n v="0"/>
  </r>
  <r>
    <s v="N30073"/>
    <x v="13"/>
    <m/>
    <s v="Quad City"/>
    <s v="Challenger II"/>
    <s v="Fixed_Tricycle"/>
    <s v="Piston"/>
    <x v="0"/>
    <m/>
    <m/>
    <m/>
    <m/>
    <n v="4"/>
    <n v="4.5"/>
    <n v="4.5"/>
    <n v="0"/>
    <n v="0"/>
    <n v="0"/>
    <n v="0"/>
    <n v="0"/>
    <n v="0"/>
    <n v="0"/>
    <n v="0"/>
    <n v="0"/>
    <n v="0"/>
    <n v="0"/>
    <n v="12"/>
    <n v="0"/>
    <n v="12"/>
    <n v="0"/>
    <n v="0"/>
    <n v="0"/>
    <n v="0"/>
    <n v="0"/>
    <n v="0"/>
    <n v="0"/>
    <n v="0"/>
    <n v="0"/>
  </r>
  <r>
    <s v="N49681"/>
    <x v="14"/>
    <m/>
    <s v="Cessna"/>
    <n v="152"/>
    <s v="Fixed_Tricycle"/>
    <s v="Piston"/>
    <x v="0"/>
    <m/>
    <m/>
    <m/>
    <m/>
    <n v="85"/>
    <n v="98"/>
    <n v="98"/>
    <n v="0"/>
    <n v="0"/>
    <n v="0"/>
    <n v="1.3"/>
    <n v="98"/>
    <n v="0"/>
    <n v="0"/>
    <n v="0"/>
    <n v="8.6"/>
    <n v="0"/>
    <n v="0"/>
    <n v="248"/>
    <n v="9"/>
    <n v="257"/>
    <n v="0"/>
    <n v="3"/>
    <n v="0"/>
    <n v="0"/>
    <n v="0"/>
    <n v="0"/>
    <n v="0"/>
    <n v="0"/>
    <n v="0"/>
  </r>
  <r>
    <s v="N51DN"/>
    <x v="15"/>
    <m/>
    <s v="Beechcraft"/>
    <n v="90"/>
    <s v="Retractable_Tricycle"/>
    <s v="Turboprop"/>
    <x v="3"/>
    <b v="1"/>
    <m/>
    <b v="1"/>
    <b v="1"/>
    <n v="4"/>
    <n v="10.199999999999999"/>
    <n v="10.199999999999999"/>
    <n v="0"/>
    <n v="0"/>
    <n v="0"/>
    <n v="0.5"/>
    <n v="0"/>
    <n v="0"/>
    <n v="4.5999999999999996"/>
    <n v="0.3"/>
    <n v="10.199999999999999"/>
    <n v="0"/>
    <n v="0"/>
    <n v="3"/>
    <n v="1"/>
    <n v="4"/>
    <n v="0"/>
    <n v="1"/>
    <n v="1"/>
    <n v="1"/>
    <n v="1"/>
    <n v="0"/>
    <n v="0"/>
    <n v="0"/>
    <n v="1"/>
  </r>
  <r>
    <s v="N3010W"/>
    <x v="16"/>
    <m/>
    <s v="AICSA"/>
    <s v="PA-28-181 Archer II"/>
    <s v="Fixed_Tricycle"/>
    <s v="Piston"/>
    <x v="0"/>
    <m/>
    <m/>
    <m/>
    <m/>
    <n v="19"/>
    <n v="17.399999999999999"/>
    <n v="17.399999999999999"/>
    <n v="0"/>
    <n v="0"/>
    <n v="0"/>
    <n v="0"/>
    <n v="16.899999999999999"/>
    <n v="0"/>
    <n v="0"/>
    <n v="0"/>
    <n v="0"/>
    <n v="0"/>
    <n v="0"/>
    <n v="31"/>
    <n v="0"/>
    <n v="31"/>
    <n v="0"/>
    <n v="0"/>
    <n v="0"/>
    <n v="0"/>
    <n v="0"/>
    <n v="0"/>
    <n v="0"/>
    <n v="0"/>
    <n v="0"/>
  </r>
  <r>
    <s v="N40DA"/>
    <x v="17"/>
    <m/>
    <s v="Piper Aircraft"/>
    <s v="PA-30 Twin Comanche"/>
    <s v="Retractable_Tricycle"/>
    <s v="Piston"/>
    <x v="3"/>
    <b v="1"/>
    <m/>
    <m/>
    <m/>
    <n v="12"/>
    <n v="21.799999999999997"/>
    <n v="9.9"/>
    <n v="0"/>
    <n v="0"/>
    <n v="0"/>
    <n v="3.2"/>
    <n v="0"/>
    <n v="0"/>
    <n v="0"/>
    <n v="3.9999999999999996"/>
    <n v="3.2"/>
    <n v="17.500000000000004"/>
    <n v="0"/>
    <n v="34"/>
    <n v="10"/>
    <n v="44"/>
    <n v="1"/>
    <n v="3"/>
    <n v="3"/>
    <n v="0"/>
    <n v="1"/>
    <n v="3"/>
    <n v="0"/>
    <n v="0"/>
    <n v="1"/>
  </r>
  <r>
    <s v="N462W"/>
    <x v="18"/>
    <m/>
    <s v="Beechcraft"/>
    <s v="Baron 58"/>
    <s v="Retractable_Tricycle"/>
    <s v="Piston"/>
    <x v="3"/>
    <b v="1"/>
    <m/>
    <b v="1"/>
    <m/>
    <n v="31"/>
    <n v="45.3"/>
    <n v="45.3"/>
    <n v="0"/>
    <n v="0"/>
    <n v="0"/>
    <n v="5.3"/>
    <n v="0"/>
    <n v="0"/>
    <n v="1.6"/>
    <n v="4"/>
    <n v="37.9"/>
    <n v="0"/>
    <n v="0"/>
    <n v="57"/>
    <n v="8"/>
    <n v="65"/>
    <n v="9"/>
    <n v="7"/>
    <n v="11"/>
    <n v="1"/>
    <n v="1"/>
    <n v="14"/>
    <n v="0"/>
    <n v="0"/>
    <n v="0"/>
  </r>
  <r>
    <s v="N4963G"/>
    <x v="0"/>
    <m/>
    <s v="Cessna"/>
    <n v="172"/>
    <s v="Fixed_Tricycle"/>
    <s v="Piston"/>
    <x v="0"/>
    <m/>
    <m/>
    <m/>
    <m/>
    <n v="133"/>
    <n v="163.59999999999991"/>
    <n v="163.59999999999991"/>
    <n v="0"/>
    <n v="0"/>
    <n v="0"/>
    <n v="12.9"/>
    <n v="158.79999999999993"/>
    <n v="0"/>
    <n v="0"/>
    <n v="0"/>
    <n v="29.499999999999996"/>
    <n v="0"/>
    <n v="0.6"/>
    <n v="395"/>
    <n v="23"/>
    <n v="418"/>
    <n v="0"/>
    <n v="12"/>
    <n v="0"/>
    <n v="0"/>
    <n v="0"/>
    <n v="0"/>
    <n v="0"/>
    <n v="0"/>
    <n v="0"/>
  </r>
  <r>
    <s v="N5880W"/>
    <x v="16"/>
    <m/>
    <s v="AICSA"/>
    <s v="PA-28-140 Cherokee Cruiser"/>
    <s v="Fixed_Tricycle"/>
    <s v="Piston"/>
    <x v="0"/>
    <m/>
    <m/>
    <m/>
    <m/>
    <n v="1"/>
    <n v="0.5"/>
    <n v="0.5"/>
    <n v="0"/>
    <n v="0"/>
    <n v="0"/>
    <n v="0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</r>
  <r>
    <s v="N18GY"/>
    <x v="8"/>
    <m/>
    <s v="Cessna Aircraft"/>
    <s v="550 Citation II"/>
    <s v="Retractable_Tricycle"/>
    <s v="Turbofan"/>
    <x v="3"/>
    <m/>
    <m/>
    <m/>
    <b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9397P"/>
    <x v="19"/>
    <m/>
    <s v="Piper Aircraft"/>
    <s v="PA-24 Comanche"/>
    <s v="Retractable_Tricycle"/>
    <s v="Piston"/>
    <x v="0"/>
    <b v="1"/>
    <m/>
    <b v="1"/>
    <m/>
    <n v="2"/>
    <n v="3.3"/>
    <n v="0"/>
    <n v="0"/>
    <n v="0"/>
    <n v="0"/>
    <n v="0.6"/>
    <n v="0"/>
    <n v="0"/>
    <n v="0"/>
    <n v="0"/>
    <n v="3.3"/>
    <n v="3.3"/>
    <n v="0"/>
    <n v="2"/>
    <n v="1"/>
    <n v="3"/>
    <n v="0"/>
    <n v="0"/>
    <n v="0"/>
    <n v="0"/>
    <n v="0"/>
    <n v="0"/>
    <n v="0"/>
    <n v="0"/>
    <n v="0"/>
  </r>
  <r>
    <s v="N21XT"/>
    <x v="12"/>
    <m/>
    <s v="Extra"/>
    <s v="EA-330"/>
    <s v="Fixed_Tailwheel"/>
    <s v="Piston"/>
    <x v="0"/>
    <m/>
    <m/>
    <b v="1"/>
    <m/>
    <n v="2"/>
    <n v="1.2"/>
    <n v="0"/>
    <n v="0"/>
    <n v="0"/>
    <n v="0"/>
    <n v="0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</r>
  <r>
    <s v="N36056"/>
    <x v="16"/>
    <m/>
    <s v="Piper Aircraft"/>
    <s v="PA-28-161 Warrior II"/>
    <s v="Fixed_Tricycle"/>
    <s v="Piston"/>
    <x v="0"/>
    <m/>
    <m/>
    <m/>
    <m/>
    <n v="5"/>
    <n v="8.1"/>
    <n v="8.1"/>
    <n v="0"/>
    <n v="0"/>
    <n v="0"/>
    <n v="4.8"/>
    <n v="8.1"/>
    <n v="0"/>
    <n v="0"/>
    <n v="0"/>
    <n v="0"/>
    <n v="0"/>
    <n v="0"/>
    <n v="0"/>
    <n v="3"/>
    <n v="3"/>
    <n v="0"/>
    <n v="0"/>
    <n v="0"/>
    <n v="0"/>
    <n v="0"/>
    <n v="0"/>
    <n v="0"/>
    <n v="0"/>
    <n v="0"/>
  </r>
  <r>
    <s v="N98083"/>
    <x v="20"/>
    <n v="1947"/>
    <s v="Cub"/>
    <s v="J-3 Cub"/>
    <s v="Fixed_Tailwheel"/>
    <s v="Piston"/>
    <x v="0"/>
    <m/>
    <m/>
    <m/>
    <m/>
    <n v="5"/>
    <n v="6.7"/>
    <n v="1.1000000000000001"/>
    <n v="0"/>
    <n v="0"/>
    <n v="0"/>
    <n v="0"/>
    <n v="0"/>
    <n v="0"/>
    <n v="0"/>
    <n v="0"/>
    <n v="0"/>
    <n v="5.6"/>
    <n v="0"/>
    <n v="45"/>
    <n v="0"/>
    <n v="45"/>
    <n v="0"/>
    <n v="0"/>
    <n v="0"/>
    <n v="0"/>
    <n v="0"/>
    <n v="0"/>
    <n v="0"/>
    <n v="0"/>
    <n v="0"/>
  </r>
  <r>
    <s v="N68MJ"/>
    <x v="21"/>
    <m/>
    <s v="Diamond"/>
    <s v="DA-42NG"/>
    <s v="Retractable_Tricycle"/>
    <s v="Diesel"/>
    <x v="3"/>
    <b v="1"/>
    <m/>
    <m/>
    <m/>
    <n v="6"/>
    <n v="8.1"/>
    <n v="8.1"/>
    <n v="0"/>
    <n v="0"/>
    <n v="0"/>
    <n v="0"/>
    <n v="0"/>
    <n v="0"/>
    <n v="0"/>
    <n v="0"/>
    <n v="0"/>
    <n v="5.6999999999999993"/>
    <n v="0"/>
    <n v="16"/>
    <n v="0"/>
    <n v="16"/>
    <n v="0"/>
    <n v="0"/>
    <n v="0"/>
    <n v="0"/>
    <n v="0"/>
    <n v="0"/>
    <n v="0"/>
    <n v="0"/>
    <n v="0"/>
  </r>
  <r>
    <s v="N49BR"/>
    <x v="22"/>
    <m/>
    <s v="Aviat"/>
    <s v="Pitts S-2A"/>
    <s v="Fixed_Tailwheel"/>
    <s v="Piston"/>
    <x v="0"/>
    <m/>
    <m/>
    <m/>
    <m/>
    <n v="2"/>
    <n v="2.7"/>
    <n v="2.7"/>
    <n v="0"/>
    <n v="0"/>
    <n v="0"/>
    <n v="0"/>
    <n v="0"/>
    <n v="0"/>
    <n v="0"/>
    <n v="0"/>
    <n v="0"/>
    <n v="2.7"/>
    <n v="0"/>
    <n v="20"/>
    <n v="0"/>
    <n v="20"/>
    <n v="0"/>
    <n v="0"/>
    <n v="0"/>
    <n v="0"/>
    <n v="0"/>
    <n v="0"/>
    <n v="0"/>
    <n v="0"/>
    <n v="0"/>
  </r>
  <r>
    <s v="N7257D"/>
    <x v="23"/>
    <m/>
    <s v="Piper Aircraft"/>
    <s v="PA-22-150 Tri-Pacer"/>
    <s v="Floats"/>
    <s v="Piston"/>
    <x v="4"/>
    <m/>
    <m/>
    <m/>
    <m/>
    <n v="8"/>
    <n v="10.1"/>
    <n v="1.2"/>
    <n v="0"/>
    <n v="0"/>
    <n v="0"/>
    <n v="0"/>
    <n v="0"/>
    <n v="0"/>
    <n v="0"/>
    <n v="0"/>
    <n v="0"/>
    <n v="8.9"/>
    <n v="0.6"/>
    <n v="33"/>
    <n v="0"/>
    <n v="33"/>
    <n v="0"/>
    <n v="0"/>
    <n v="0"/>
    <n v="0"/>
    <n v="0"/>
    <n v="0"/>
    <n v="0"/>
    <n v="0"/>
    <n v="0"/>
  </r>
  <r>
    <s v="N812ST"/>
    <x v="23"/>
    <m/>
    <s v="Piper Aircraft"/>
    <s v="PA-22-150 Tri-Pacer"/>
    <s v="Floats"/>
    <s v="Piston"/>
    <x v="4"/>
    <m/>
    <m/>
    <m/>
    <m/>
    <n v="1"/>
    <n v="1.3"/>
    <n v="0"/>
    <n v="0"/>
    <n v="0"/>
    <n v="0"/>
    <n v="0"/>
    <n v="0"/>
    <n v="0"/>
    <n v="0"/>
    <n v="0"/>
    <n v="0"/>
    <n v="1.3"/>
    <n v="0.4"/>
    <n v="2"/>
    <n v="0"/>
    <n v="2"/>
    <n v="0"/>
    <n v="0"/>
    <n v="0"/>
    <n v="0"/>
    <n v="0"/>
    <n v="0"/>
    <n v="0"/>
    <n v="0"/>
    <n v="0"/>
  </r>
  <r>
    <s v="N39931"/>
    <x v="14"/>
    <m/>
    <s v="Cessna"/>
    <n v="152"/>
    <s v="Fixed_Tricycle"/>
    <s v="Piston"/>
    <x v="0"/>
    <m/>
    <m/>
    <m/>
    <m/>
    <n v="1"/>
    <n v="1.6"/>
    <n v="1.6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</r>
  <r>
    <s v="N5839L"/>
    <x v="24"/>
    <m/>
    <s v="American"/>
    <s v="AA-5 Traveler"/>
    <s v="Fixed_Tricycle"/>
    <s v="Piston"/>
    <x v="0"/>
    <m/>
    <m/>
    <m/>
    <m/>
    <n v="3"/>
    <n v="3.0999999999999996"/>
    <n v="3.0999999999999996"/>
    <n v="0"/>
    <n v="0"/>
    <n v="0"/>
    <n v="0"/>
    <n v="3.0999999999999996"/>
    <n v="0"/>
    <n v="0"/>
    <n v="0"/>
    <n v="0"/>
    <n v="0"/>
    <n v="0"/>
    <n v="5"/>
    <n v="0"/>
    <n v="5"/>
    <n v="0"/>
    <n v="0"/>
    <n v="0"/>
    <n v="0"/>
    <n v="0"/>
    <n v="0"/>
    <n v="0"/>
    <n v="0"/>
    <n v="0"/>
  </r>
  <r>
    <s v="N226RT"/>
    <x v="25"/>
    <m/>
    <s v="Wittman"/>
    <s v="Tailwind"/>
    <s v="Fixed_Tailwheel"/>
    <s v="Piston"/>
    <x v="0"/>
    <m/>
    <m/>
    <m/>
    <m/>
    <n v="1"/>
    <n v="1"/>
    <n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459CP"/>
    <x v="26"/>
    <m/>
    <s v="Cirrus"/>
    <s v="SR22T"/>
    <s v="Fixed_Tricycle"/>
    <s v="Piston"/>
    <x v="0"/>
    <m/>
    <b v="1"/>
    <b v="1"/>
    <m/>
    <n v="3"/>
    <n v="3.5"/>
    <n v="3.5"/>
    <n v="0"/>
    <n v="0"/>
    <n v="0"/>
    <n v="0"/>
    <n v="1.2"/>
    <n v="0"/>
    <n v="0"/>
    <n v="0"/>
    <n v="0.9"/>
    <n v="0"/>
    <n v="0"/>
    <n v="2"/>
    <n v="0"/>
    <n v="2"/>
    <n v="0"/>
    <n v="0"/>
    <n v="0"/>
    <n v="0"/>
    <n v="0"/>
    <n v="0"/>
    <n v="0"/>
    <n v="0"/>
    <n v="0"/>
  </r>
  <r>
    <s v="N6984C"/>
    <x v="27"/>
    <m/>
    <s v="North American"/>
    <s v="AT-6 Texan"/>
    <s v="Retractable_Tailwheel"/>
    <s v="Piston"/>
    <x v="0"/>
    <m/>
    <m/>
    <m/>
    <m/>
    <n v="1"/>
    <n v="0.5"/>
    <n v="0"/>
    <n v="0"/>
    <n v="0"/>
    <n v="0"/>
    <n v="0"/>
    <n v="0"/>
    <n v="0"/>
    <n v="0"/>
    <n v="0"/>
    <n v="0"/>
    <n v="0.5"/>
    <n v="0"/>
    <n v="1"/>
    <n v="0"/>
    <n v="1"/>
    <n v="0"/>
    <n v="0"/>
    <n v="0"/>
    <n v="0"/>
    <n v="0"/>
    <n v="0"/>
    <n v="0"/>
    <n v="0"/>
    <n v="0"/>
  </r>
  <r>
    <s v="N20773"/>
    <x v="0"/>
    <m/>
    <s v="Cessna"/>
    <s v="172S"/>
    <s v="Fixed_Tricycle"/>
    <s v="Piston"/>
    <x v="0"/>
    <m/>
    <m/>
    <m/>
    <m/>
    <n v="40"/>
    <n v="43.8"/>
    <n v="43.8"/>
    <n v="0"/>
    <n v="0"/>
    <n v="0"/>
    <n v="1.2"/>
    <n v="39.4"/>
    <n v="0"/>
    <n v="0"/>
    <n v="0"/>
    <n v="8.3000000000000007"/>
    <n v="0"/>
    <n v="1.2"/>
    <n v="107"/>
    <n v="5"/>
    <n v="112"/>
    <n v="0"/>
    <n v="4"/>
    <n v="0"/>
    <n v="0"/>
    <n v="0"/>
    <n v="1"/>
    <n v="0"/>
    <n v="0"/>
    <n v="0"/>
  </r>
  <r>
    <s v="N71WF"/>
    <x v="28"/>
    <m/>
    <s v="Cessna"/>
    <s v="Skylane"/>
    <s v="Retractable_Tricycle"/>
    <s v="Piston"/>
    <x v="0"/>
    <b v="1"/>
    <m/>
    <b v="1"/>
    <m/>
    <n v="1"/>
    <n v="0.6"/>
    <n v="0.6"/>
    <n v="0"/>
    <n v="0"/>
    <n v="0"/>
    <n v="0"/>
    <n v="0"/>
    <n v="0"/>
    <n v="0"/>
    <n v="0"/>
    <n v="0"/>
    <n v="0"/>
    <n v="0"/>
    <n v="2"/>
    <n v="0"/>
    <n v="2"/>
    <n v="0"/>
    <n v="0"/>
    <n v="0"/>
    <n v="0"/>
    <n v="0"/>
    <n v="0"/>
    <n v="0"/>
    <n v="0"/>
    <n v="0"/>
  </r>
  <r>
    <s v="N437DC"/>
    <x v="29"/>
    <m/>
    <s v="Vans"/>
    <s v="RV-4"/>
    <s v="Fixed_Tailwheel"/>
    <s v="Piston"/>
    <x v="0"/>
    <m/>
    <m/>
    <m/>
    <m/>
    <n v="1"/>
    <n v="0.8"/>
    <n v="0.8"/>
    <n v="0"/>
    <n v="0"/>
    <n v="0"/>
    <n v="0"/>
    <n v="0.8"/>
    <n v="0"/>
    <n v="0"/>
    <n v="0"/>
    <n v="0"/>
    <n v="0"/>
    <n v="0"/>
    <n v="2"/>
    <n v="0"/>
    <n v="2"/>
    <n v="0"/>
    <n v="0"/>
    <n v="0"/>
    <n v="0"/>
    <n v="0"/>
    <n v="0"/>
    <n v="0"/>
    <n v="0"/>
    <n v="0"/>
  </r>
  <r>
    <s v="N80BD"/>
    <x v="30"/>
    <m/>
    <s v="American Champion"/>
    <s v="Super Decathlon"/>
    <s v="Fixed_Tailwheel"/>
    <s v="Piston"/>
    <x v="0"/>
    <m/>
    <m/>
    <m/>
    <m/>
    <n v="3"/>
    <n v="2.9000000000000004"/>
    <n v="2.9000000000000004"/>
    <n v="0"/>
    <n v="0"/>
    <n v="0"/>
    <n v="0"/>
    <n v="0"/>
    <n v="0"/>
    <n v="0"/>
    <n v="0"/>
    <n v="0"/>
    <n v="1.8"/>
    <n v="0"/>
    <n v="5"/>
    <n v="0"/>
    <n v="5"/>
    <n v="0"/>
    <n v="0"/>
    <n v="0"/>
    <n v="0"/>
    <n v="0"/>
    <n v="0"/>
    <n v="0"/>
    <n v="0"/>
    <n v="0"/>
  </r>
  <r>
    <s v="N8EB"/>
    <x v="8"/>
    <m/>
    <s v="Cessna Aircraft"/>
    <s v="S550 Citation S/II"/>
    <s v="Retractable_Tricycle"/>
    <s v="Turbofan"/>
    <x v="3"/>
    <m/>
    <m/>
    <m/>
    <b v="1"/>
    <n v="4"/>
    <n v="5.0999999999999996"/>
    <n v="0"/>
    <n v="0"/>
    <n v="5.0999999999999996"/>
    <n v="0"/>
    <n v="1.5"/>
    <n v="0"/>
    <n v="0"/>
    <n v="0"/>
    <n v="0"/>
    <n v="0"/>
    <n v="0"/>
    <n v="2.4"/>
    <n v="4"/>
    <n v="1"/>
    <n v="5"/>
    <n v="0"/>
    <n v="0"/>
    <n v="0"/>
    <n v="0"/>
    <n v="0"/>
    <n v="0"/>
    <n v="0"/>
    <n v="0"/>
    <n v="0"/>
  </r>
  <r>
    <s v="N82RD"/>
    <x v="31"/>
    <m/>
    <s v="New Glastar"/>
    <s v="GlaStar"/>
    <s v="Fixed_Tailwheel"/>
    <s v="Piston"/>
    <x v="0"/>
    <m/>
    <m/>
    <m/>
    <m/>
    <n v="1"/>
    <n v="0.6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30267"/>
    <x v="32"/>
    <m/>
    <s v="Cassutt"/>
    <s v="IIIM"/>
    <s v="Fixed_Tailwheel"/>
    <s v="Piston"/>
    <x v="0"/>
    <m/>
    <m/>
    <m/>
    <m/>
    <n v="91"/>
    <n v="68.2"/>
    <n v="68.2"/>
    <n v="0"/>
    <n v="0"/>
    <n v="0"/>
    <n v="0"/>
    <n v="0"/>
    <n v="0"/>
    <n v="0"/>
    <n v="0"/>
    <n v="14.4"/>
    <n v="0"/>
    <n v="18.2"/>
    <n v="143"/>
    <n v="0"/>
    <n v="143"/>
    <n v="0"/>
    <n v="4"/>
    <n v="0"/>
    <n v="0"/>
    <n v="0"/>
    <n v="0"/>
    <n v="0"/>
    <n v="0"/>
    <n v="0"/>
  </r>
  <r>
    <s v="N292L"/>
    <x v="33"/>
    <m/>
    <s v="Vans"/>
    <s v="RV-8"/>
    <s v="Fixed_Tailwheel"/>
    <s v="Piston"/>
    <x v="0"/>
    <m/>
    <m/>
    <m/>
    <m/>
    <n v="1"/>
    <n v="0.4"/>
    <n v="0.4"/>
    <n v="0"/>
    <n v="0"/>
    <n v="0"/>
    <n v="0"/>
    <n v="0"/>
    <n v="0"/>
    <n v="0"/>
    <n v="0"/>
    <n v="0.4"/>
    <n v="0"/>
    <n v="0"/>
    <n v="0"/>
    <n v="0"/>
    <n v="0"/>
    <n v="0"/>
    <n v="0"/>
    <n v="0"/>
    <n v="0"/>
    <n v="0"/>
    <n v="0"/>
    <n v="0"/>
    <n v="0"/>
    <n v="0"/>
  </r>
  <r>
    <s v="N568ST"/>
    <x v="8"/>
    <m/>
    <s v="Cessna Aircraft"/>
    <s v="550 Citation II"/>
    <s v="Retractable_Tricycle"/>
    <s v="Turbofan"/>
    <x v="3"/>
    <m/>
    <m/>
    <m/>
    <b v="1"/>
    <n v="5"/>
    <n v="8"/>
    <n v="0"/>
    <n v="0"/>
    <n v="8"/>
    <n v="0"/>
    <n v="0"/>
    <n v="0"/>
    <n v="0"/>
    <n v="0"/>
    <n v="0"/>
    <n v="1.4"/>
    <n v="0"/>
    <n v="4.7"/>
    <n v="4"/>
    <n v="0"/>
    <n v="4"/>
    <n v="0"/>
    <n v="0"/>
    <n v="0"/>
    <n v="0"/>
    <n v="0"/>
    <n v="0"/>
    <n v="0"/>
    <n v="0"/>
    <n v="0"/>
  </r>
  <r>
    <s v="N49JF"/>
    <x v="34"/>
    <m/>
    <s v="Velocity"/>
    <s v="Velocity"/>
    <s v="Retractable_Tricycle"/>
    <s v="Piston"/>
    <x v="0"/>
    <m/>
    <m/>
    <m/>
    <m/>
    <n v="1"/>
    <n v="0.5"/>
    <n v="0.5"/>
    <n v="0"/>
    <n v="0"/>
    <n v="0"/>
    <n v="0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</r>
  <r>
    <s v="N34424"/>
    <x v="35"/>
    <m/>
    <s v="Aeronca"/>
    <s v="65 Tandem"/>
    <s v="Fixed_Tailwheel"/>
    <s v="Piston"/>
    <x v="0"/>
    <m/>
    <m/>
    <m/>
    <m/>
    <n v="1"/>
    <n v="0.4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67AS"/>
    <x v="12"/>
    <m/>
    <s v="Extra"/>
    <s v="300L"/>
    <s v="Fixed_Tailwheel"/>
    <s v="Piston"/>
    <x v="0"/>
    <m/>
    <m/>
    <b v="1"/>
    <m/>
    <n v="5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11681"/>
    <x v="36"/>
    <m/>
    <s v="Bellanca"/>
    <s v="7KCAB Citabria"/>
    <s v="Fixed_Tailwheel"/>
    <s v="Piston"/>
    <x v="0"/>
    <m/>
    <m/>
    <m/>
    <m/>
    <n v="1"/>
    <n v="1.4"/>
    <n v="1.4"/>
    <n v="0"/>
    <n v="0"/>
    <n v="0"/>
    <n v="0"/>
    <n v="0"/>
    <n v="0"/>
    <n v="0"/>
    <n v="0"/>
    <n v="0"/>
    <n v="1.4"/>
    <n v="0"/>
    <n v="1"/>
    <n v="0"/>
    <n v="1"/>
    <n v="0"/>
    <n v="0"/>
    <n v="0"/>
    <n v="0"/>
    <n v="0"/>
    <n v="0"/>
    <n v="0"/>
    <n v="0"/>
    <n v="0"/>
  </r>
  <r>
    <s v="N12268"/>
    <x v="37"/>
    <m/>
    <s v="Cessna"/>
    <n v="425"/>
    <s v="Retractable_Tricycle"/>
    <s v="Turboprop"/>
    <x v="3"/>
    <b v="1"/>
    <m/>
    <b v="1"/>
    <b v="1"/>
    <n v="1"/>
    <n v="0.7"/>
    <n v="0.7"/>
    <n v="0"/>
    <n v="0"/>
    <n v="0"/>
    <n v="0"/>
    <n v="0"/>
    <n v="0"/>
    <n v="0"/>
    <n v="0"/>
    <n v="0.7"/>
    <n v="0"/>
    <n v="0"/>
    <n v="1"/>
    <n v="0"/>
    <n v="1"/>
    <n v="0"/>
    <n v="0"/>
    <n v="0"/>
    <n v="0"/>
    <n v="0"/>
    <n v="0"/>
    <n v="0"/>
    <n v="0"/>
    <n v="0"/>
  </r>
  <r>
    <s v="N15518"/>
    <x v="16"/>
    <m/>
    <s v="Piper Aircraft"/>
    <s v="PA-28-140 Cherokee Cruiser"/>
    <s v="Fixed_Tricycle"/>
    <s v="Piston"/>
    <x v="0"/>
    <m/>
    <m/>
    <m/>
    <m/>
    <n v="7"/>
    <n v="13"/>
    <n v="13"/>
    <n v="0"/>
    <n v="0"/>
    <n v="0"/>
    <n v="3.4"/>
    <n v="13"/>
    <n v="0"/>
    <n v="0"/>
    <n v="0"/>
    <n v="3.4"/>
    <n v="0"/>
    <n v="0"/>
    <n v="31"/>
    <n v="2"/>
    <n v="33"/>
    <n v="0"/>
    <n v="0"/>
    <n v="0"/>
    <n v="0"/>
    <n v="0"/>
    <n v="0"/>
    <n v="0"/>
    <n v="0"/>
    <n v="0"/>
  </r>
  <r>
    <s v="N173RJ"/>
    <x v="38"/>
    <m/>
    <s v="Cessna Aircraft"/>
    <n v="170"/>
    <s v="Fixed_Tailwheel"/>
    <s v="Piston"/>
    <x v="0"/>
    <m/>
    <m/>
    <m/>
    <m/>
    <n v="1"/>
    <n v="2.2999999999999998"/>
    <n v="2.2999999999999998"/>
    <n v="0"/>
    <n v="0"/>
    <n v="0"/>
    <n v="2.2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1949B"/>
    <x v="39"/>
    <m/>
    <s v="DeHavilland"/>
    <s v="Beaver"/>
    <s v="Amphibian"/>
    <s v="Radial"/>
    <x v="4"/>
    <m/>
    <m/>
    <m/>
    <m/>
    <n v="1"/>
    <n v="0"/>
    <n v="0"/>
    <n v="0"/>
    <n v="0"/>
    <n v="0"/>
    <n v="0"/>
    <n v="0"/>
    <n v="0"/>
    <n v="0"/>
    <n v="0"/>
    <n v="0"/>
    <n v="0"/>
    <n v="0"/>
    <n v="4"/>
    <n v="0"/>
    <n v="4"/>
    <n v="0"/>
    <n v="0"/>
    <n v="0"/>
    <n v="0"/>
    <n v="0"/>
    <n v="0"/>
    <n v="0"/>
    <n v="0"/>
    <n v="0"/>
  </r>
  <r>
    <s v="N195R"/>
    <x v="40"/>
    <m/>
    <s v="Rans"/>
    <s v="S-9"/>
    <s v="Fixed_Tailwheel"/>
    <s v="Piston"/>
    <x v="0"/>
    <m/>
    <m/>
    <m/>
    <m/>
    <n v="3"/>
    <n v="3.4"/>
    <n v="3.4"/>
    <n v="0"/>
    <n v="0"/>
    <n v="0"/>
    <n v="0"/>
    <n v="0"/>
    <n v="0"/>
    <n v="0"/>
    <n v="0"/>
    <n v="3.4"/>
    <n v="0"/>
    <n v="3.2"/>
    <n v="4"/>
    <n v="0"/>
    <n v="4"/>
    <n v="0"/>
    <n v="0"/>
    <n v="0"/>
    <n v="0"/>
    <n v="0"/>
    <n v="0"/>
    <n v="0"/>
    <n v="0"/>
    <n v="0"/>
  </r>
  <r>
    <s v="N4389L"/>
    <x v="0"/>
    <n v="1966"/>
    <s v="Cessna"/>
    <s v="172G"/>
    <s v="Fixed_Tricycle"/>
    <s v="Piston"/>
    <x v="0"/>
    <m/>
    <m/>
    <m/>
    <m/>
    <n v="501"/>
    <n v="758.30000000000018"/>
    <n v="630.60000000000014"/>
    <n v="0"/>
    <n v="0"/>
    <n v="0"/>
    <n v="57.000000000000014"/>
    <n v="21.2"/>
    <n v="0"/>
    <n v="4.3000000000000007"/>
    <n v="32.6"/>
    <n v="416.59999999999968"/>
    <n v="155.4"/>
    <n v="37.799999999999997"/>
    <n v="1085"/>
    <n v="72"/>
    <n v="1157"/>
    <n v="22"/>
    <n v="88"/>
    <n v="21"/>
    <n v="9"/>
    <n v="33"/>
    <n v="0"/>
    <n v="0"/>
    <n v="0"/>
    <n v="11"/>
  </r>
  <r>
    <s v="T6A"/>
    <x v="41"/>
    <m/>
    <s v="Beechcraft"/>
    <s v="T-6 Texan II"/>
    <s v="Retractable_Tricycle"/>
    <s v="Turboprop"/>
    <x v="0"/>
    <b v="1"/>
    <m/>
    <b v="1"/>
    <b v="1"/>
    <n v="70"/>
    <n v="105.29999999999995"/>
    <n v="105.29999999999995"/>
    <n v="105.29999999999995"/>
    <n v="0"/>
    <n v="0"/>
    <n v="2.6"/>
    <n v="0"/>
    <n v="0"/>
    <n v="4.5"/>
    <n v="18.399999999999999"/>
    <n v="22.799999999999997"/>
    <n v="97.299999999999969"/>
    <n v="39.1"/>
    <n v="201"/>
    <n v="7"/>
    <n v="208"/>
    <n v="13"/>
    <n v="36"/>
    <n v="9"/>
    <n v="8"/>
    <n v="11"/>
    <n v="6"/>
    <n v="1"/>
    <n v="1"/>
    <n v="5"/>
  </r>
  <r>
    <s v="T38C"/>
    <x v="42"/>
    <m/>
    <s v="Northrop"/>
    <s v="T-38C Talon"/>
    <s v="Retractable_Tricycle"/>
    <s v="Turbojet"/>
    <x v="3"/>
    <m/>
    <m/>
    <m/>
    <b v="1"/>
    <n v="74"/>
    <n v="80.500000000000043"/>
    <n v="6.6000000000000005"/>
    <n v="80.500000000000043"/>
    <n v="0"/>
    <n v="0"/>
    <n v="2.2999999999999998"/>
    <n v="0"/>
    <n v="0"/>
    <n v="1.5"/>
    <n v="12.700000000000001"/>
    <n v="13.900000000000002"/>
    <n v="73.90000000000002"/>
    <n v="42.100000000000016"/>
    <n v="144"/>
    <n v="9"/>
    <n v="153"/>
    <n v="9"/>
    <n v="50"/>
    <n v="26"/>
    <n v="6"/>
    <n v="7"/>
    <n v="8"/>
    <n v="2"/>
    <n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00249D-772D-4CD9-920A-D8ABEBC2C7A0}" name="TypePieTable" cacheId="66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L10:M21" firstHeaderRow="1" firstDataRow="1" firstDataCol="1"/>
  <pivotFields count="38">
    <pivotField showAll="0"/>
    <pivotField axis="axisRow" showAll="0" measureFilter="1">
      <items count="44">
        <item x="30"/>
        <item x="24"/>
        <item x="5"/>
        <item x="35"/>
        <item x="11"/>
        <item x="18"/>
        <item x="15"/>
        <item x="10"/>
        <item x="6"/>
        <item x="14"/>
        <item x="38"/>
        <item x="0"/>
        <item x="3"/>
        <item x="2"/>
        <item x="9"/>
        <item x="28"/>
        <item x="37"/>
        <item x="8"/>
        <item x="7"/>
        <item x="32"/>
        <item x="36"/>
        <item x="13"/>
        <item x="21"/>
        <item x="39"/>
        <item x="12"/>
        <item x="31"/>
        <item x="20"/>
        <item x="16"/>
        <item x="23"/>
        <item x="19"/>
        <item x="17"/>
        <item x="22"/>
        <item x="40"/>
        <item x="29"/>
        <item x="33"/>
        <item x="26"/>
        <item x="1"/>
        <item x="4"/>
        <item x="42"/>
        <item x="27"/>
        <item x="41"/>
        <item x="25"/>
        <item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1">
    <i>
      <x v="5"/>
    </i>
    <i>
      <x v="9"/>
    </i>
    <i>
      <x v="11"/>
    </i>
    <i>
      <x v="12"/>
    </i>
    <i>
      <x v="17"/>
    </i>
    <i>
      <x v="19"/>
    </i>
    <i>
      <x v="27"/>
    </i>
    <i>
      <x v="30"/>
    </i>
    <i>
      <x v="38"/>
    </i>
    <i>
      <x v="40"/>
    </i>
    <i t="grand">
      <x/>
    </i>
  </rowItems>
  <colItems count="1">
    <i/>
  </colItems>
  <dataFields count="1">
    <dataField name="Total Time" fld="13" baseField="0" baseItem="0" numFmtId="164"/>
  </dataFields>
  <chartFormats count="1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B2A7BD-4916-420A-8937-CE3A8ABB5895}" name="TypeTable" cacheId="66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showHeaders="0" outline="1" outlineData="1" multipleFieldFilters="0" chartFormat="2">
  <location ref="H3:J48" firstHeaderRow="0" firstDataRow="1" firstDataCol="1"/>
  <pivotFields count="38">
    <pivotField showAll="0"/>
    <pivotField name="Type" axis="axisRow" showAll="0" sortType="descending">
      <items count="44">
        <item x="30"/>
        <item x="24"/>
        <item x="5"/>
        <item x="35"/>
        <item x="11"/>
        <item x="18"/>
        <item x="15"/>
        <item x="10"/>
        <item x="6"/>
        <item x="14"/>
        <item x="38"/>
        <item x="0"/>
        <item x="3"/>
        <item x="2"/>
        <item x="9"/>
        <item x="28"/>
        <item x="37"/>
        <item x="8"/>
        <item x="7"/>
        <item x="32"/>
        <item x="36"/>
        <item x="13"/>
        <item x="21"/>
        <item x="39"/>
        <item x="12"/>
        <item x="31"/>
        <item x="20"/>
        <item x="16"/>
        <item x="23"/>
        <item x="19"/>
        <item x="17"/>
        <item x="22"/>
        <item x="40"/>
        <item x="29"/>
        <item x="33"/>
        <item x="26"/>
        <item x="1"/>
        <item x="4"/>
        <item x="42"/>
        <item x="27"/>
        <item x="41"/>
        <item x="25"/>
        <item x="34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name="Aircraft Class" axis="axisRow" showAll="0">
      <items count="10">
        <item n=" Airplane Multi Engine Land" m="1" x="5"/>
        <item x="3"/>
        <item n=" Airplane Single Engine Land" x="0"/>
        <item n=" Airplane Single Engine Sea" sd="0" m="1" x="6"/>
        <item n=" Glider" sd="0" x="1"/>
        <item n=" Weight Shift Control" sd="0" x="2"/>
        <item n="Airplane Single Engine Land" sd="0" m="1" x="7"/>
        <item m="1" x="8"/>
        <item sd="0" x="4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7"/>
    <field x="1"/>
  </rowFields>
  <rowItems count="45">
    <i>
      <x v="1"/>
    </i>
    <i r="1">
      <x v="38"/>
    </i>
    <i r="1">
      <x v="17"/>
    </i>
    <i r="1">
      <x v="5"/>
    </i>
    <i r="1">
      <x v="30"/>
    </i>
    <i r="1">
      <x v="6"/>
    </i>
    <i r="1">
      <x v="22"/>
    </i>
    <i r="1">
      <x v="16"/>
    </i>
    <i r="1">
      <x v="7"/>
    </i>
    <i r="1">
      <x v="18"/>
    </i>
    <i>
      <x v="2"/>
    </i>
    <i r="1">
      <x v="11"/>
    </i>
    <i r="1">
      <x v="40"/>
    </i>
    <i r="1">
      <x v="9"/>
    </i>
    <i r="1">
      <x v="19"/>
    </i>
    <i r="1">
      <x v="27"/>
    </i>
    <i r="1">
      <x v="12"/>
    </i>
    <i r="1">
      <x v="26"/>
    </i>
    <i r="1">
      <x v="24"/>
    </i>
    <i r="1">
      <x v="21"/>
    </i>
    <i r="1">
      <x v="35"/>
    </i>
    <i r="1">
      <x v="32"/>
    </i>
    <i r="1">
      <x v="29"/>
    </i>
    <i r="1">
      <x v="1"/>
    </i>
    <i r="1">
      <x/>
    </i>
    <i r="1">
      <x v="31"/>
    </i>
    <i r="1">
      <x v="10"/>
    </i>
    <i r="1">
      <x v="20"/>
    </i>
    <i r="1">
      <x v="37"/>
    </i>
    <i r="1">
      <x v="41"/>
    </i>
    <i r="1">
      <x v="13"/>
    </i>
    <i r="1">
      <x v="8"/>
    </i>
    <i r="1">
      <x v="14"/>
    </i>
    <i r="1">
      <x v="33"/>
    </i>
    <i r="1">
      <x v="25"/>
    </i>
    <i r="1">
      <x v="15"/>
    </i>
    <i r="1">
      <x v="4"/>
    </i>
    <i r="1">
      <x v="42"/>
    </i>
    <i r="1">
      <x v="39"/>
    </i>
    <i r="1">
      <x v="34"/>
    </i>
    <i r="1">
      <x v="3"/>
    </i>
    <i>
      <x v="4"/>
    </i>
    <i>
      <x v="5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Flights" fld="12" baseField="0" baseItem="0"/>
    <dataField name="Total Time" fld="13" baseField="0" baseItem="0" numFmtId="164"/>
  </dataFields>
  <pivotTableStyleInfo name="PivotStyleLight1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659A70-B611-46B3-8A12-7A56AB027418}" name="MasterTable" displayName="MasterTable" ref="D3:AT1276" headerRowDxfId="107" dataDxfId="106" totalsRowDxfId="105">
  <autoFilter ref="D3:AT1276" xr:uid="{25659A70-B611-46B3-8A12-7A56AB027418}"/>
  <sortState xmlns:xlrd2="http://schemas.microsoft.com/office/spreadsheetml/2017/richdata2" ref="D4:AT1276">
    <sortCondition descending="1" ref="D3:D1276"/>
  </sortState>
  <tableColumns count="43">
    <tableColumn id="1" xr3:uid="{A754113A-233B-44BF-A02D-9FA452186E86}" name="Date" totalsRowLabel="Total" dataDxfId="104"/>
    <tableColumn id="2" xr3:uid="{CEB3CEAC-A9A7-49BF-AB6C-9CAC5AF51497}" name="Aircraft ID" dataDxfId="103"/>
    <tableColumn id="3" xr3:uid="{C23ED6F4-DB76-4DCE-8418-42A6EA78F21E}" name="From" dataDxfId="102"/>
    <tableColumn id="4" xr3:uid="{87981AA2-3755-415C-BCE3-CD576340F3D1}" name="To" dataDxfId="101"/>
    <tableColumn id="5" xr3:uid="{EE3D0E95-9183-47F5-A751-A4A5AE95E75A}" name="Route" dataDxfId="100"/>
    <tableColumn id="12" xr3:uid="{E2B48CF6-CD51-4B65-BBF2-A4A88808EAB3}" name="Total_x000a_Time" dataDxfId="99"/>
    <tableColumn id="13" xr3:uid="{BF89612E-1A04-4B1F-AE41-55F0508F1298}" name="PIC" dataDxfId="98"/>
    <tableColumn id="67" xr3:uid="{F109EA02-4EA7-4EB8-9452-B75187541B3E}" name="PRI _x000a_(Mil)" dataDxfId="97"/>
    <tableColumn id="14" xr3:uid="{F5B2E294-71AF-439A-BA05-F1D16AF13D24}" name="SIC" dataDxfId="96"/>
    <tableColumn id="9" xr3:uid="{39463B72-3E01-4DB1-B7C3-8F657C93CADA}" name="SEC_x000a_(MIL)" dataDxfId="95"/>
    <tableColumn id="15" xr3:uid="{4C82E63C-7A90-43D3-8666-E9222F861628}" name="Solo" dataDxfId="94"/>
    <tableColumn id="70" xr3:uid="{81DED9FE-CA0D-47F0-B97D-581ED389B270}" name="Dual_x000a_Given" dataDxfId="93"/>
    <tableColumn id="18" xr3:uid="{C49C0DDF-183A-428B-B12C-7907DD0E7915}" name="Dual_x000a_Received" dataDxfId="92"/>
    <tableColumn id="71" xr3:uid="{5C4A0FA5-3F86-4F79-A5B2-7585A95A14CD}" name="INST_x000a_(Mil)" dataDxfId="91"/>
    <tableColumn id="10" xr3:uid="{679DFACB-29C7-4D8A-A458-A88473A84ABB}" name="EVAL_x000a_(MIL)" dataDxfId="90"/>
    <tableColumn id="11" xr3:uid="{E75D961E-2A01-4EB9-9AF7-2CFE2CE3AE5E}" name="Night" dataDxfId="89"/>
    <tableColumn id="6" xr3:uid="{2FAF449C-C7CD-48EC-9C1B-07099781E5CB}" name="Cross_x000a_Country" dataDxfId="88"/>
    <tableColumn id="7" xr3:uid="{E2FB0606-79A2-412A-BCC0-39B2D9BF6533}" name="OTHER_x000a_(MIL)" dataDxfId="87"/>
    <tableColumn id="8" xr3:uid="{EE33D0AA-A2CF-4AEA-AFCF-FDE841A504F3}" name="Formation" dataDxfId="86"/>
    <tableColumn id="91" xr3:uid="{2D6395FE-B272-4150-95DF-BD13F3FD630A}" name="Takeoffs_x000a_Day" dataDxfId="85"/>
    <tableColumn id="96" xr3:uid="{2F3C3108-DAA6-4F45-ADAE-EFEDA66CCCD9}" name="Landings_x000a_Day" dataDxfId="84"/>
    <tableColumn id="95" xr3:uid="{65D6CE31-617B-4D4E-91D0-5EAFD4ED88FD}" name="Takeoffs_x000a_Night" dataDxfId="83"/>
    <tableColumn id="93" xr3:uid="{A976211F-08EF-4034-8ED0-FC76D0087DD3}" name="Landings_x000a_Night" dataDxfId="82"/>
    <tableColumn id="92" xr3:uid="{65DF4A92-A8EC-46BD-A3C9-85111ADA474E}" name="Landings_x000a_Total" dataDxfId="81">
      <calculatedColumnFormula>MasterTable[[#This Row],[Landings
Night]]+MasterTable[[#This Row],[Landings
Day]]</calculatedColumnFormula>
    </tableColumn>
    <tableColumn id="16" xr3:uid="{FF846DDE-D366-402E-BC01-B18F410FD26E}" name="Actual_x000a_Instrument" dataDxfId="80"/>
    <tableColumn id="17" xr3:uid="{251710DF-5FA9-43EC-AF5F-A9295458DA6A}" name="Simulated_x000a_Instrument" dataDxfId="79"/>
    <tableColumn id="31" xr3:uid="{CE115D46-E57A-4605-A124-0EE983ADBDE3}" name="Holds" dataDxfId="78"/>
    <tableColumn id="89" xr3:uid="{F2F80685-31DB-4284-8640-5186C8A1C301}" name="APPR" dataDxfId="77">
      <calculatedColumnFormula>SUM(MasterTable[[#This Row],[ILS]:[PAR]])</calculatedColumnFormula>
    </tableColumn>
    <tableColumn id="83" xr3:uid="{8530B890-5E7A-4AF7-A21F-C8E3D78FAD6D}" name="ILS" dataDxfId="76"/>
    <tableColumn id="84" xr3:uid="{343AB158-E4D7-46A3-BC6B-50F99C63B797}" name="LOC" dataDxfId="75"/>
    <tableColumn id="85" xr3:uid="{4C7983E4-0612-40E8-BBE3-BEA95F554EDA}" name="VOR/_x000a_TCN" dataDxfId="74"/>
    <tableColumn id="86" xr3:uid="{8807B30C-F677-4310-8C51-33ED49D2A12C}" name="RNAV" dataDxfId="73"/>
    <tableColumn id="87" xr3:uid="{16EDC11F-6B2A-429A-B994-205C759B2D88}" name="ASR" dataDxfId="72"/>
    <tableColumn id="88" xr3:uid="{89D4DE9C-D06E-49C9-9654-E8F82DD3E93B}" name="PAR" dataDxfId="71"/>
    <tableColumn id="90" xr3:uid="{98C88BF8-A1BC-48C8-AB49-5D30CD2D8787}" name="CIRCLE" dataDxfId="70"/>
    <tableColumn id="51" xr3:uid="{898819CA-5455-4F65-8136-D37632EACB46}" name="Comments" dataDxfId="69"/>
    <tableColumn id="52" xr3:uid="{1A223231-FE56-4D5A-9E97-0A99AB0A9760}" name="Flight Review_x000a_(FAA)" dataDxfId="68"/>
    <tableColumn id="53" xr3:uid="{E6ECCAB8-C0A3-4373-8434-09226274AA24}" name="IPC _x000a_(FAA)" dataDxfId="67"/>
    <tableColumn id="54" xr3:uid="{8385E33F-4027-4AF9-84BF-DB765CA20524}" name="Checkride_x000a_(FAA)" dataDxfId="66"/>
    <tableColumn id="77" xr3:uid="{E2A9234D-5111-48EB-9D8A-C625CCE707D7}" name="Checkride_x000a_(MIL)" dataDxfId="65"/>
    <tableColumn id="19" xr3:uid="{FA427B5A-7389-4D38-AABC-D32CB08E8B4E}" name="ClassCheck" dataDxfId="20">
      <calculatedColumnFormula>_xlfn.XLOOKUP(MasterTable[[#This Row],[Aircraft ID]],Aircraft!A:A,Aircraft!H:H)</calculatedColumnFormula>
    </tableColumn>
    <tableColumn id="98" xr3:uid="{1D54AB85-74C0-4F84-8C82-FB31814A6737}" name="VAL APR" dataDxfId="64" totalsRowDxfId="63">
      <calculatedColumnFormula>OR((SUM(MasterTable[[#This Row],[ILS]:[PAR]]) = MasterTable[[#This Row],[APPR]]))</calculatedColumnFormula>
    </tableColumn>
    <tableColumn id="100" xr3:uid="{F472A7C9-3069-46B2-8AAC-7275F954EF92}" name="VAL TT" dataDxfId="62" totalsRowDxfId="61">
      <calculatedColumnFormula>NOT(ISBLANK(MasterTable[[#This Row],[Total
Time]]))</calculatedColumnFormula>
    </tableColumn>
  </tableColumns>
  <tableStyleInfo name="TableStyleMedium2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E90BAC-AB2B-4CD5-BDAB-84314FB8FEF1}" name="AircraftTable" displayName="AircraftTable" ref="A1:AL65" totalsRowShown="0" headerRowDxfId="60" dataDxfId="59">
  <autoFilter ref="A1:AL65" xr:uid="{D7E90BAC-AB2B-4CD5-BDAB-84314FB8FEF1}"/>
  <tableColumns count="38">
    <tableColumn id="1" xr3:uid="{346DA1B8-D8A2-4F2C-9A98-72A013E3A7C7}" name="Aircraft ID" dataDxfId="58"/>
    <tableColumn id="2" xr3:uid="{7A1F3185-0BFA-4BB4-BC88-23826E71F0C2}" name="TypeCode" dataDxfId="57"/>
    <tableColumn id="3" xr3:uid="{FF6CE364-9F57-453A-A354-46199513E150}" name="Year" dataDxfId="56"/>
    <tableColumn id="4" xr3:uid="{E5FF2880-09B5-4762-9200-99D84048D28E}" name="Make" dataDxfId="55"/>
    <tableColumn id="5" xr3:uid="{BBC5A55F-5EC6-423B-8BC3-CA068F42E6C2}" name="Model" dataDxfId="54"/>
    <tableColumn id="6" xr3:uid="{95D00B98-5F3B-42E8-86F3-79199A8A8AF3}" name="GearType" dataDxfId="53"/>
    <tableColumn id="7" xr3:uid="{79C7353A-ABD5-4CEA-9DEA-34C2222D7C48}" name="EngineType" dataDxfId="52"/>
    <tableColumn id="9" xr3:uid="{239C2C23-76F9-4AC8-833C-6D67BEA3FEC3}" name="aircraftClass (FAA)" dataDxfId="51"/>
    <tableColumn id="10" xr3:uid="{F69D40EC-9DA8-4A40-8094-F93DE98A6293}" name="complex (FAA)" dataDxfId="50"/>
    <tableColumn id="11" xr3:uid="{14162C5E-E556-4949-83A3-0C7C654199C0}" name="taa (FAA)" dataDxfId="49"/>
    <tableColumn id="12" xr3:uid="{C2FDAB86-28DB-46B5-B99C-FFF9FFD5648E}" name="highPerformance (FAA)" dataDxfId="48"/>
    <tableColumn id="13" xr3:uid="{C54771F6-194C-4B31-990A-BC680D8DB9E8}" name="pressurized (FAA)" dataDxfId="47"/>
    <tableColumn id="35" xr3:uid="{68F62FA4-0515-4653-B6A4-940385CA123B}" name="Flights" dataDxfId="46">
      <calculatedColumnFormula>COUNTIF(MasterTable[Aircraft ID],Aircraft!A:A)</calculatedColumnFormula>
    </tableColumn>
    <tableColumn id="14" xr3:uid="{92A8E8FA-1DAA-444F-8450-C6737CB1EF90}" name="Total Time" dataDxfId="45">
      <calculatedColumnFormula>SUMIF(MasterTable[Aircraft ID],Aircraft!A:A,MasterTable[Total
Time])</calculatedColumnFormula>
    </tableColumn>
    <tableColumn id="36" xr3:uid="{E9F14825-194C-471F-9301-0E7C98BDC2F8}" name="PIC" dataDxfId="44">
      <calculatedColumnFormula>SUMIF(MasterTable[Aircraft ID],Aircraft!A:A,MasterTable[PIC])</calculatedColumnFormula>
    </tableColumn>
    <tableColumn id="37" xr3:uid="{ABF8C230-86CA-4DBB-8F8F-DC3C2757D099}" name="PRI" dataDxfId="43">
      <calculatedColumnFormula>SUMIF(MasterTable[Aircraft ID],Aircraft!A:A,MasterTable[PRI 
(Mil)])</calculatedColumnFormula>
    </tableColumn>
    <tableColumn id="19" xr3:uid="{310BFBAC-78C5-445D-AABA-94CEC37C4603}" name="SIC" dataDxfId="42">
      <calculatedColumnFormula>SUMIF(MasterTable[Aircraft ID],Aircraft!A:A,MasterTable[SIC])</calculatedColumnFormula>
    </tableColumn>
    <tableColumn id="8" xr3:uid="{713829C4-FCAC-4DD9-837B-C0881DCC06A3}" name="Solo" dataDxfId="41">
      <calculatedColumnFormula>SUMIF(MasterTable[Aircraft ID],Aircraft!A:A,MasterTable[Solo])</calculatedColumnFormula>
    </tableColumn>
    <tableColumn id="20" xr3:uid="{8D240563-6CDA-4144-BA55-216840F37E70}" name="Night" dataDxfId="40">
      <calculatedColumnFormula>SUMIF(MasterTable[Aircraft ID],Aircraft!A:A,MasterTable[Night])</calculatedColumnFormula>
    </tableColumn>
    <tableColumn id="21" xr3:uid="{4D005945-B791-48C8-A2D0-95C69215987B}" name="DualGiven" dataDxfId="39">
      <calculatedColumnFormula>SUMIF(MasterTable[Aircraft ID],Aircraft!A:A,MasterTable[Dual
Given])</calculatedColumnFormula>
    </tableColumn>
    <tableColumn id="22" xr3:uid="{5E4C27EC-5B88-4641-AB4D-0F9755194D89}" name="INST" dataDxfId="38">
      <calculatedColumnFormula>SUMIF(MasterTable[Aircraft ID],Aircraft!A:A,MasterTable[INST
(Mil)])</calculatedColumnFormula>
    </tableColumn>
    <tableColumn id="23" xr3:uid="{3BDAFFBC-1EAD-4E4B-984F-0181632B234B}" name="Actual Inst" dataDxfId="37">
      <calculatedColumnFormula>SUMIF(MasterTable[Aircraft ID],Aircraft!A:A,MasterTable[Actual
Instrument])</calculatedColumnFormula>
    </tableColumn>
    <tableColumn id="24" xr3:uid="{9EF17AE3-E3BA-4393-A9B6-80C033D0F5A8}" name="Sim Inst" dataDxfId="36">
      <calculatedColumnFormula>SUMIF(MasterTable[Aircraft ID],Aircraft!A:A,MasterTable[Simulated
Instrument])</calculatedColumnFormula>
    </tableColumn>
    <tableColumn id="25" xr3:uid="{46E7F0ED-FDC0-4888-848D-3184E52BFE05}" name="XC" dataDxfId="35">
      <calculatedColumnFormula>SUMIF(MasterTable[Aircraft ID],Aircraft!A:A,MasterTable[Cross
Country])</calculatedColumnFormula>
    </tableColumn>
    <tableColumn id="41" xr3:uid="{6677B779-255A-49B3-85AA-E4CB2BE0FA51}" name="Dual Received" dataDxfId="34">
      <calculatedColumnFormula>SUMIF(MasterTable[Aircraft ID],Aircraft!A:A,MasterTable[Dual
Received])</calculatedColumnFormula>
    </tableColumn>
    <tableColumn id="42" xr3:uid="{F6185CC4-7456-4766-A131-56DCBD55E598}" name="Formation" dataDxfId="33">
      <calculatedColumnFormula>SUMIF(MasterTable[Aircraft ID],Aircraft!A:A,MasterTable[Formation])</calculatedColumnFormula>
    </tableColumn>
    <tableColumn id="38" xr3:uid="{92A55CED-B955-405E-AAD7-AA40B8283B15}" name="Day LDG" dataDxfId="32">
      <calculatedColumnFormula>SUMIF(MasterTable[Aircraft ID],Aircraft!A:A,MasterTable[Landings
Day])</calculatedColumnFormula>
    </tableColumn>
    <tableColumn id="39" xr3:uid="{7E027008-FA08-438B-BB88-DB4F142D2AB7}" name="Night LDG" dataDxfId="31">
      <calculatedColumnFormula>SUMIF(MasterTable[Aircraft ID],Aircraft!A:A,MasterTable[Landings
Night])</calculatedColumnFormula>
    </tableColumn>
    <tableColumn id="40" xr3:uid="{7B12298E-2297-4B6E-B9D0-EE033F1020CF}" name="Total LDG" dataDxfId="30">
      <calculatedColumnFormula>SUMIF(MasterTable[Aircraft ID],Aircraft!A:A,MasterTable[Landings
Total])</calculatedColumnFormula>
    </tableColumn>
    <tableColumn id="26" xr3:uid="{A4BC17EA-6E3F-4DAC-B3C4-655335D0FE95}" name="Holds" dataDxfId="29">
      <calculatedColumnFormula>SUMIF(MasterTable[Aircraft ID],Aircraft!A:A,MasterTable[Holds])</calculatedColumnFormula>
    </tableColumn>
    <tableColumn id="27" xr3:uid="{D1D70857-B99B-47DA-A1F3-B9013BF1FD8A}" name="APPR" dataDxfId="28">
      <calculatedColumnFormula>SUMIF(MasterTable[Aircraft ID],Aircraft!$A:$A,Flights!AE:AE)</calculatedColumnFormula>
    </tableColumn>
    <tableColumn id="28" xr3:uid="{2FE65E9B-274B-4517-8DF6-B9311B1D723A}" name="ILS" dataDxfId="27">
      <calculatedColumnFormula>SUMIF(MasterTable[Aircraft ID],Aircraft!$A:$A,MasterTable[ILS])</calculatedColumnFormula>
    </tableColumn>
    <tableColumn id="29" xr3:uid="{B0B02AE6-BAE8-4EF7-A7DC-BF44E478B5EE}" name="LOC" dataDxfId="26">
      <calculatedColumnFormula>SUMIF(MasterTable[Aircraft ID],Aircraft!$A:$A,MasterTable[LOC])</calculatedColumnFormula>
    </tableColumn>
    <tableColumn id="30" xr3:uid="{8EF42692-FBB1-4108-929D-587EB31407EC}" name="VOR/_x000a_TCN" dataDxfId="25">
      <calculatedColumnFormula>SUMIF(MasterTable[Aircraft ID],Aircraft!$A:$A,MasterTable[VOR/
TCN])</calculatedColumnFormula>
    </tableColumn>
    <tableColumn id="31" xr3:uid="{7A7F1149-2162-4A95-B1DF-8B9BC158B89A}" name="RNAV" dataDxfId="24">
      <calculatedColumnFormula>SUMIF(MasterTable[Aircraft ID],Aircraft!$A:$A,MasterTable[RNAV])</calculatedColumnFormula>
    </tableColumn>
    <tableColumn id="32" xr3:uid="{1C80F46D-6E43-4E31-A860-0A6A4AB33BF0}" name="ASR" dataDxfId="23">
      <calculatedColumnFormula>SUMIF(MasterTable[Aircraft ID],Aircraft!$A:$A,MasterTable[ASR])</calculatedColumnFormula>
    </tableColumn>
    <tableColumn id="33" xr3:uid="{92DE538C-8DCA-4ECA-ABBF-74F6EDCD8816}" name="PAR" dataDxfId="22">
      <calculatedColumnFormula>SUMIF(MasterTable[Aircraft ID],Aircraft!$A:$A,MasterTable[PAR])</calculatedColumnFormula>
    </tableColumn>
    <tableColumn id="34" xr3:uid="{6437FEA2-6169-4B96-89ED-C4A5B7600D1D}" name="CIRCLE" dataDxfId="21">
      <calculatedColumnFormula>SUMIF(MasterTable[Aircraft ID],Aircraft!$A:$A,MasterTable[CIRCLE])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24DFD3-5394-467F-87B0-8C3E54DDB3E4}" name="Setup" displayName="Setup" ref="B2:D13" totalsRowShown="0">
  <autoFilter ref="B2:D13" xr:uid="{7224DFD3-5394-467F-87B0-8C3E54DDB3E4}"/>
  <tableColumns count="3">
    <tableColumn id="1" xr3:uid="{FFB21CA3-8C17-48FB-AE8E-5BD71476E558}" name="Gear Type"/>
    <tableColumn id="2" xr3:uid="{C107D9E1-D2A8-4196-B4DB-13393C9F8AF5}" name="Engine Type"/>
    <tableColumn id="3" xr3:uid="{CEBEE701-D633-4D8D-BC92-D9366A78CCE4}" name="AircraftClas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C7828-3421-4CAC-B146-841C50B1E627}">
  <sheetPr codeName="Sheet1">
    <tabColor theme="6" tint="0.39997558519241921"/>
  </sheetPr>
  <dimension ref="A1:AT1276"/>
  <sheetViews>
    <sheetView tabSelected="1" zoomScale="85" zoomScaleNormal="85" workbookViewId="0">
      <selection activeCell="E9" sqref="E9"/>
    </sheetView>
  </sheetViews>
  <sheetFormatPr defaultRowHeight="14.4" x14ac:dyDescent="0.3"/>
  <cols>
    <col min="1" max="1" width="0.88671875" style="2" customWidth="1"/>
    <col min="2" max="2" width="8.5546875" style="2" customWidth="1"/>
    <col min="3" max="3" width="0.88671875" style="2" customWidth="1"/>
    <col min="4" max="4" width="11.21875" style="22" bestFit="1" customWidth="1"/>
    <col min="5" max="5" width="9.21875" style="8" customWidth="1"/>
    <col min="6" max="8" width="8.88671875" style="8"/>
    <col min="9" max="12" width="6.77734375" style="10" customWidth="1"/>
    <col min="13" max="14" width="6.77734375" style="10" hidden="1" customWidth="1"/>
    <col min="15" max="15" width="6.77734375" style="10" customWidth="1"/>
    <col min="16" max="16" width="8.77734375" style="10" customWidth="1"/>
    <col min="17" max="19" width="6.77734375" style="10" customWidth="1"/>
    <col min="20" max="20" width="8.77734375" style="10" customWidth="1"/>
    <col min="21" max="21" width="6.77734375" style="10" customWidth="1"/>
    <col min="22" max="22" width="8.88671875" style="8"/>
    <col min="23" max="26" width="8.77734375" style="11" customWidth="1"/>
    <col min="27" max="27" width="8.77734375" style="10" hidden="1" customWidth="1"/>
    <col min="28" max="29" width="10.77734375" style="10" customWidth="1"/>
    <col min="30" max="30" width="7.109375" style="11" customWidth="1"/>
    <col min="31" max="31" width="0" style="17" hidden="1" customWidth="1"/>
    <col min="32" max="37" width="6.77734375" style="11" customWidth="1"/>
    <col min="38" max="38" width="6.77734375" style="8" customWidth="1"/>
    <col min="39" max="39" width="23.88671875" style="8" customWidth="1"/>
    <col min="40" max="43" width="12.77734375" style="27" customWidth="1"/>
    <col min="44" max="44" width="20" style="27" hidden="1" customWidth="1"/>
    <col min="45" max="45" width="2.109375" customWidth="1"/>
    <col min="46" max="46" width="2.33203125" customWidth="1"/>
  </cols>
  <sheetData>
    <row r="1" spans="1:46" ht="58.8" customHeight="1" x14ac:dyDescent="0.3">
      <c r="D1" s="103" t="s">
        <v>475</v>
      </c>
      <c r="E1" s="103"/>
      <c r="F1" s="103"/>
      <c r="G1" s="103"/>
      <c r="H1" s="103"/>
      <c r="I1" s="105" t="s">
        <v>474</v>
      </c>
      <c r="J1" s="105"/>
      <c r="K1" s="105"/>
      <c r="L1" s="105"/>
      <c r="M1" s="105"/>
      <c r="N1" s="105"/>
      <c r="O1" s="107" t="s">
        <v>473</v>
      </c>
      <c r="P1" s="107"/>
      <c r="Q1" s="107"/>
      <c r="R1" s="107"/>
      <c r="S1" s="108" t="s">
        <v>472</v>
      </c>
      <c r="T1" s="108"/>
      <c r="U1" s="108"/>
      <c r="V1" s="108"/>
      <c r="W1" s="106" t="s">
        <v>471</v>
      </c>
      <c r="X1" s="106"/>
      <c r="Y1" s="106"/>
      <c r="Z1" s="106"/>
      <c r="AA1" s="106"/>
      <c r="AB1" s="105" t="s">
        <v>470</v>
      </c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52" t="s">
        <v>379</v>
      </c>
      <c r="AN1" s="104" t="s">
        <v>476</v>
      </c>
      <c r="AO1" s="104"/>
      <c r="AP1" s="104"/>
      <c r="AQ1" s="104"/>
      <c r="AR1" s="92"/>
    </row>
    <row r="2" spans="1:46" ht="2.4" customHeight="1" thickBot="1" x14ac:dyDescent="0.35"/>
    <row r="3" spans="1:46" s="1" customFormat="1" ht="35.4" customHeight="1" thickTop="1" thickBot="1" x14ac:dyDescent="0.35">
      <c r="B3" s="4" t="s">
        <v>374</v>
      </c>
      <c r="C3" s="3"/>
      <c r="D3" s="1" t="s">
        <v>180</v>
      </c>
      <c r="E3" s="1" t="s">
        <v>391</v>
      </c>
      <c r="F3" s="1" t="s">
        <v>181</v>
      </c>
      <c r="G3" s="1" t="s">
        <v>182</v>
      </c>
      <c r="H3" s="1" t="s">
        <v>183</v>
      </c>
      <c r="I3" s="7" t="s">
        <v>390</v>
      </c>
      <c r="J3" s="6" t="s">
        <v>184</v>
      </c>
      <c r="K3" s="7" t="s">
        <v>392</v>
      </c>
      <c r="L3" s="6" t="s">
        <v>185</v>
      </c>
      <c r="M3" s="7" t="s">
        <v>467</v>
      </c>
      <c r="N3" s="7" t="s">
        <v>187</v>
      </c>
      <c r="O3" s="7" t="s">
        <v>389</v>
      </c>
      <c r="P3" s="7" t="s">
        <v>400</v>
      </c>
      <c r="Q3" s="7" t="s">
        <v>393</v>
      </c>
      <c r="R3" s="7" t="s">
        <v>468</v>
      </c>
      <c r="S3" s="6" t="s">
        <v>186</v>
      </c>
      <c r="T3" s="7" t="s">
        <v>399</v>
      </c>
      <c r="U3" s="7" t="s">
        <v>469</v>
      </c>
      <c r="V3" s="6" t="s">
        <v>380</v>
      </c>
      <c r="W3" s="9" t="s">
        <v>394</v>
      </c>
      <c r="X3" s="9" t="s">
        <v>396</v>
      </c>
      <c r="Y3" s="9" t="s">
        <v>395</v>
      </c>
      <c r="Z3" s="9" t="s">
        <v>397</v>
      </c>
      <c r="AA3" s="9" t="s">
        <v>398</v>
      </c>
      <c r="AB3" s="7" t="s">
        <v>377</v>
      </c>
      <c r="AC3" s="7" t="s">
        <v>378</v>
      </c>
      <c r="AD3" s="5" t="s">
        <v>188</v>
      </c>
      <c r="AE3" s="18" t="s">
        <v>405</v>
      </c>
      <c r="AF3" s="5" t="s">
        <v>382</v>
      </c>
      <c r="AG3" s="5" t="s">
        <v>383</v>
      </c>
      <c r="AH3" s="9" t="s">
        <v>384</v>
      </c>
      <c r="AI3" s="5" t="s">
        <v>385</v>
      </c>
      <c r="AJ3" s="5" t="s">
        <v>386</v>
      </c>
      <c r="AK3" s="5" t="s">
        <v>387</v>
      </c>
      <c r="AL3" s="5" t="s">
        <v>388</v>
      </c>
      <c r="AM3" s="1" t="s">
        <v>379</v>
      </c>
      <c r="AN3" s="28" t="s">
        <v>401</v>
      </c>
      <c r="AO3" s="28" t="s">
        <v>402</v>
      </c>
      <c r="AP3" s="28" t="s">
        <v>403</v>
      </c>
      <c r="AQ3" s="28" t="s">
        <v>404</v>
      </c>
      <c r="AR3" s="28" t="s">
        <v>563</v>
      </c>
      <c r="AS3" s="1" t="s">
        <v>406</v>
      </c>
      <c r="AT3" s="1" t="s">
        <v>407</v>
      </c>
    </row>
    <row r="4" spans="1:46" s="12" customFormat="1" ht="14.4" customHeight="1" thickTop="1" x14ac:dyDescent="0.3">
      <c r="B4" s="94"/>
      <c r="C4" s="20"/>
      <c r="D4" s="22">
        <v>46316</v>
      </c>
      <c r="E4" s="12" t="s">
        <v>375</v>
      </c>
      <c r="F4" s="12" t="s">
        <v>189</v>
      </c>
      <c r="G4" s="12" t="s">
        <v>189</v>
      </c>
      <c r="I4" s="14">
        <v>1.1000000000000001</v>
      </c>
      <c r="J4" s="13">
        <v>0</v>
      </c>
      <c r="K4" s="14">
        <v>1.1000000000000001</v>
      </c>
      <c r="L4" s="13">
        <v>0</v>
      </c>
      <c r="M4" s="14">
        <v>0</v>
      </c>
      <c r="N4" s="14">
        <v>0</v>
      </c>
      <c r="O4" s="14">
        <v>0</v>
      </c>
      <c r="P4" s="14">
        <v>1.1000000000000001</v>
      </c>
      <c r="Q4" s="14">
        <v>0</v>
      </c>
      <c r="R4" s="14">
        <v>0</v>
      </c>
      <c r="S4" s="13">
        <v>0</v>
      </c>
      <c r="T4" s="14">
        <v>0</v>
      </c>
      <c r="U4" s="14">
        <v>0</v>
      </c>
      <c r="V4" s="13">
        <v>1.1000000000000001</v>
      </c>
      <c r="W4" s="16">
        <v>3</v>
      </c>
      <c r="X4" s="16">
        <v>3</v>
      </c>
      <c r="Y4" s="16">
        <v>0</v>
      </c>
      <c r="Z4" s="16">
        <v>0</v>
      </c>
      <c r="AA4" s="16">
        <f>MasterTable[[#This Row],[Landings
Night]]+MasterTable[[#This Row],[Landings
Day]]</f>
        <v>3</v>
      </c>
      <c r="AB4" s="14">
        <v>0</v>
      </c>
      <c r="AC4" s="14">
        <v>0</v>
      </c>
      <c r="AD4" s="15">
        <v>0</v>
      </c>
      <c r="AE4" s="21">
        <f>SUM(MasterTable[[#This Row],[ILS]:[PAR]])</f>
        <v>0</v>
      </c>
      <c r="AF4" s="15"/>
      <c r="AG4" s="15"/>
      <c r="AH4" s="16"/>
      <c r="AI4" s="15"/>
      <c r="AJ4" s="15"/>
      <c r="AK4" s="15"/>
      <c r="AL4" s="15"/>
      <c r="AN4" s="29"/>
      <c r="AO4" s="29"/>
      <c r="AP4" s="29"/>
      <c r="AQ4" s="29"/>
      <c r="AR4" s="140" t="str">
        <f>_xlfn.XLOOKUP(MasterTable[[#This Row],[Aircraft ID]],Aircraft!A:A,Aircraft!H:H)</f>
        <v>Airplane Multi Engine Land</v>
      </c>
      <c r="AS4" s="12" t="b">
        <f>OR((SUM(MasterTable[[#This Row],[ILS]:[PAR]]) = MasterTable[[#This Row],[APPR]]))</f>
        <v>1</v>
      </c>
      <c r="AT4" s="12" t="b">
        <f>NOT(ISBLANK(MasterTable[[#This Row],[Total
Time]]))</f>
        <v>1</v>
      </c>
    </row>
    <row r="5" spans="1:46" s="12" customFormat="1" ht="14.4" customHeight="1" x14ac:dyDescent="0.3">
      <c r="B5" s="94"/>
      <c r="C5" s="20"/>
      <c r="D5" s="22">
        <v>46316</v>
      </c>
      <c r="E5" s="12" t="s">
        <v>375</v>
      </c>
      <c r="F5" s="12" t="s">
        <v>189</v>
      </c>
      <c r="G5" s="12" t="s">
        <v>189</v>
      </c>
      <c r="I5" s="14">
        <v>1</v>
      </c>
      <c r="J5" s="13">
        <v>0</v>
      </c>
      <c r="K5" s="14">
        <v>1</v>
      </c>
      <c r="L5" s="13">
        <v>0</v>
      </c>
      <c r="M5" s="14">
        <v>0</v>
      </c>
      <c r="N5" s="14">
        <v>0</v>
      </c>
      <c r="O5" s="14">
        <v>0</v>
      </c>
      <c r="P5" s="14">
        <v>1</v>
      </c>
      <c r="Q5" s="14">
        <v>0</v>
      </c>
      <c r="R5" s="14">
        <v>0</v>
      </c>
      <c r="S5" s="13">
        <v>0</v>
      </c>
      <c r="T5" s="14">
        <v>0</v>
      </c>
      <c r="U5" s="14">
        <v>0</v>
      </c>
      <c r="V5" s="13">
        <v>1</v>
      </c>
      <c r="W5" s="16">
        <v>1</v>
      </c>
      <c r="X5" s="16">
        <v>1</v>
      </c>
      <c r="Y5" s="16">
        <v>0</v>
      </c>
      <c r="Z5" s="16">
        <v>0</v>
      </c>
      <c r="AA5" s="16">
        <f>MasterTable[[#This Row],[Landings
Night]]+MasterTable[[#This Row],[Landings
Day]]</f>
        <v>1</v>
      </c>
      <c r="AB5" s="14">
        <v>0</v>
      </c>
      <c r="AC5" s="14">
        <v>0</v>
      </c>
      <c r="AD5" s="15">
        <v>0</v>
      </c>
      <c r="AE5" s="21">
        <f>SUM(MasterTable[[#This Row],[ILS]:[PAR]])</f>
        <v>0</v>
      </c>
      <c r="AF5" s="15"/>
      <c r="AG5" s="15"/>
      <c r="AH5" s="16"/>
      <c r="AI5" s="15"/>
      <c r="AJ5" s="15"/>
      <c r="AK5" s="15"/>
      <c r="AL5" s="15"/>
      <c r="AN5" s="29"/>
      <c r="AO5" s="29"/>
      <c r="AP5" s="29"/>
      <c r="AQ5" s="29"/>
      <c r="AR5" s="140" t="str">
        <f>_xlfn.XLOOKUP(MasterTable[[#This Row],[Aircraft ID]],Aircraft!A:A,Aircraft!H:H)</f>
        <v>Airplane Multi Engine Land</v>
      </c>
      <c r="AS5" s="12" t="b">
        <f>OR((SUM(MasterTable[[#This Row],[ILS]:[PAR]]) = MasterTable[[#This Row],[APPR]]))</f>
        <v>1</v>
      </c>
      <c r="AT5" s="12" t="b">
        <f>NOT(ISBLANK(MasterTable[[#This Row],[Total
Time]]))</f>
        <v>1</v>
      </c>
    </row>
    <row r="6" spans="1:46" s="12" customFormat="1" ht="14.4" customHeight="1" x14ac:dyDescent="0.3">
      <c r="B6" s="94"/>
      <c r="C6" s="20"/>
      <c r="D6" s="22">
        <v>46315</v>
      </c>
      <c r="E6" s="12" t="s">
        <v>375</v>
      </c>
      <c r="F6" s="12" t="s">
        <v>189</v>
      </c>
      <c r="G6" s="12" t="s">
        <v>189</v>
      </c>
      <c r="I6" s="14">
        <v>0.9</v>
      </c>
      <c r="J6" s="13">
        <v>0</v>
      </c>
      <c r="K6" s="14">
        <v>0.9</v>
      </c>
      <c r="L6" s="13">
        <v>0</v>
      </c>
      <c r="M6" s="14">
        <v>0</v>
      </c>
      <c r="N6" s="14">
        <v>0</v>
      </c>
      <c r="O6" s="14">
        <v>0</v>
      </c>
      <c r="P6" s="14">
        <v>0.9</v>
      </c>
      <c r="Q6" s="14">
        <v>0</v>
      </c>
      <c r="R6" s="14">
        <v>0</v>
      </c>
      <c r="S6" s="13">
        <v>0</v>
      </c>
      <c r="T6" s="14">
        <v>0</v>
      </c>
      <c r="U6" s="14">
        <v>0</v>
      </c>
      <c r="V6" s="13">
        <v>0.9</v>
      </c>
      <c r="W6" s="16">
        <v>1</v>
      </c>
      <c r="X6" s="16">
        <v>1</v>
      </c>
      <c r="Y6" s="16">
        <v>0</v>
      </c>
      <c r="Z6" s="16">
        <v>0</v>
      </c>
      <c r="AA6" s="16">
        <f>MasterTable[[#This Row],[Landings
Night]]+MasterTable[[#This Row],[Landings
Day]]</f>
        <v>1</v>
      </c>
      <c r="AB6" s="14">
        <v>0</v>
      </c>
      <c r="AC6" s="14">
        <v>0</v>
      </c>
      <c r="AD6" s="15">
        <v>0</v>
      </c>
      <c r="AE6" s="21">
        <f>SUM(MasterTable[[#This Row],[ILS]:[PAR]])</f>
        <v>0</v>
      </c>
      <c r="AF6" s="15"/>
      <c r="AG6" s="15"/>
      <c r="AH6" s="16"/>
      <c r="AI6" s="15"/>
      <c r="AJ6" s="15"/>
      <c r="AK6" s="15"/>
      <c r="AL6" s="15"/>
      <c r="AN6" s="29"/>
      <c r="AO6" s="29"/>
      <c r="AP6" s="29"/>
      <c r="AQ6" s="29"/>
      <c r="AR6" s="140" t="str">
        <f>_xlfn.XLOOKUP(MasterTable[[#This Row],[Aircraft ID]],Aircraft!A:A,Aircraft!H:H)</f>
        <v>Airplane Multi Engine Land</v>
      </c>
      <c r="AS6" s="12" t="b">
        <f>OR((SUM(MasterTable[[#This Row],[ILS]:[PAR]]) = MasterTable[[#This Row],[APPR]]))</f>
        <v>1</v>
      </c>
      <c r="AT6" s="12" t="b">
        <f>NOT(ISBLANK(MasterTable[[#This Row],[Total
Time]]))</f>
        <v>1</v>
      </c>
    </row>
    <row r="7" spans="1:46" s="12" customFormat="1" ht="14.4" customHeight="1" x14ac:dyDescent="0.3">
      <c r="B7" s="94"/>
      <c r="C7" s="20"/>
      <c r="D7" s="22">
        <v>46314</v>
      </c>
      <c r="E7" s="12" t="s">
        <v>375</v>
      </c>
      <c r="F7" s="12" t="s">
        <v>189</v>
      </c>
      <c r="G7" s="12" t="s">
        <v>189</v>
      </c>
      <c r="I7" s="14">
        <v>1</v>
      </c>
      <c r="J7" s="13">
        <v>0</v>
      </c>
      <c r="K7" s="14">
        <v>1</v>
      </c>
      <c r="L7" s="13">
        <v>0</v>
      </c>
      <c r="M7" s="14">
        <v>0</v>
      </c>
      <c r="N7" s="14">
        <v>0</v>
      </c>
      <c r="O7" s="14">
        <v>0</v>
      </c>
      <c r="P7" s="14">
        <v>1</v>
      </c>
      <c r="Q7" s="14">
        <v>0</v>
      </c>
      <c r="R7" s="14">
        <v>0</v>
      </c>
      <c r="S7" s="13">
        <v>0</v>
      </c>
      <c r="T7" s="14">
        <v>0</v>
      </c>
      <c r="U7" s="14">
        <v>0</v>
      </c>
      <c r="V7" s="13">
        <v>1</v>
      </c>
      <c r="W7" s="16">
        <v>2</v>
      </c>
      <c r="X7" s="16">
        <v>2</v>
      </c>
      <c r="Y7" s="16">
        <v>0</v>
      </c>
      <c r="Z7" s="16">
        <v>0</v>
      </c>
      <c r="AA7" s="16">
        <f>MasterTable[[#This Row],[Landings
Night]]+MasterTable[[#This Row],[Landings
Day]]</f>
        <v>2</v>
      </c>
      <c r="AB7" s="14">
        <v>0</v>
      </c>
      <c r="AC7" s="14">
        <v>0</v>
      </c>
      <c r="AD7" s="15">
        <v>0</v>
      </c>
      <c r="AE7" s="21">
        <f>SUM(MasterTable[[#This Row],[ILS]:[PAR]])</f>
        <v>0</v>
      </c>
      <c r="AF7" s="15"/>
      <c r="AG7" s="15"/>
      <c r="AH7" s="16"/>
      <c r="AI7" s="15"/>
      <c r="AJ7" s="15"/>
      <c r="AK7" s="15"/>
      <c r="AL7" s="15"/>
      <c r="AN7" s="29"/>
      <c r="AO7" s="29"/>
      <c r="AP7" s="29"/>
      <c r="AQ7" s="29" t="s">
        <v>410</v>
      </c>
      <c r="AR7" s="140" t="str">
        <f>_xlfn.XLOOKUP(MasterTable[[#This Row],[Aircraft ID]],Aircraft!A:A,Aircraft!H:H)</f>
        <v>Airplane Multi Engine Land</v>
      </c>
      <c r="AS7" s="12" t="b">
        <f>OR((SUM(MasterTable[[#This Row],[ILS]:[PAR]]) = MasterTable[[#This Row],[APPR]]))</f>
        <v>1</v>
      </c>
      <c r="AT7" s="12" t="b">
        <f>NOT(ISBLANK(MasterTable[[#This Row],[Total
Time]]))</f>
        <v>1</v>
      </c>
    </row>
    <row r="8" spans="1:46" s="12" customFormat="1" ht="14.4" customHeight="1" x14ac:dyDescent="0.3">
      <c r="B8" s="94"/>
      <c r="C8" s="20"/>
      <c r="D8" s="22">
        <v>46311</v>
      </c>
      <c r="E8" s="12" t="s">
        <v>375</v>
      </c>
      <c r="F8" s="12" t="s">
        <v>189</v>
      </c>
      <c r="G8" s="12" t="s">
        <v>189</v>
      </c>
      <c r="I8" s="14">
        <v>1.1000000000000001</v>
      </c>
      <c r="J8" s="13">
        <v>0</v>
      </c>
      <c r="K8" s="14">
        <v>1.1000000000000001</v>
      </c>
      <c r="L8" s="13">
        <v>0</v>
      </c>
      <c r="M8" s="14">
        <v>0</v>
      </c>
      <c r="N8" s="14">
        <v>0</v>
      </c>
      <c r="O8" s="14">
        <v>0</v>
      </c>
      <c r="P8" s="14">
        <v>1.1000000000000001</v>
      </c>
      <c r="Q8" s="14">
        <v>0</v>
      </c>
      <c r="R8" s="14">
        <v>0</v>
      </c>
      <c r="S8" s="13">
        <v>0</v>
      </c>
      <c r="T8" s="14">
        <v>0</v>
      </c>
      <c r="U8" s="14">
        <v>0</v>
      </c>
      <c r="V8" s="13">
        <v>1.1000000000000001</v>
      </c>
      <c r="W8" s="16">
        <v>1</v>
      </c>
      <c r="X8" s="16">
        <v>1</v>
      </c>
      <c r="Y8" s="16">
        <v>0</v>
      </c>
      <c r="Z8" s="16">
        <v>0</v>
      </c>
      <c r="AA8" s="16">
        <f>MasterTable[[#This Row],[Landings
Night]]+MasterTable[[#This Row],[Landings
Day]]</f>
        <v>1</v>
      </c>
      <c r="AB8" s="14">
        <v>0</v>
      </c>
      <c r="AC8" s="14">
        <v>0</v>
      </c>
      <c r="AD8" s="15">
        <v>0</v>
      </c>
      <c r="AE8" s="21">
        <f>SUM(MasterTable[[#This Row],[ILS]:[PAR]])</f>
        <v>0</v>
      </c>
      <c r="AF8" s="15"/>
      <c r="AG8" s="15"/>
      <c r="AH8" s="16"/>
      <c r="AI8" s="15"/>
      <c r="AJ8" s="15"/>
      <c r="AK8" s="15"/>
      <c r="AL8" s="15"/>
      <c r="AN8" s="29"/>
      <c r="AO8" s="29"/>
      <c r="AP8" s="29"/>
      <c r="AQ8" s="29"/>
      <c r="AR8" s="140" t="str">
        <f>_xlfn.XLOOKUP(MasterTable[[#This Row],[Aircraft ID]],Aircraft!A:A,Aircraft!H:H)</f>
        <v>Airplane Multi Engine Land</v>
      </c>
      <c r="AS8" s="12" t="b">
        <f>OR((SUM(MasterTable[[#This Row],[ILS]:[PAR]]) = MasterTable[[#This Row],[APPR]]))</f>
        <v>1</v>
      </c>
      <c r="AT8" s="12" t="b">
        <f>NOT(ISBLANK(MasterTable[[#This Row],[Total
Time]]))</f>
        <v>1</v>
      </c>
    </row>
    <row r="9" spans="1:46" s="12" customFormat="1" ht="14.4" customHeight="1" x14ac:dyDescent="0.3">
      <c r="B9" s="94"/>
      <c r="C9" s="20"/>
      <c r="D9" s="22">
        <v>46304</v>
      </c>
      <c r="E9" s="12" t="s">
        <v>375</v>
      </c>
      <c r="F9" s="12" t="s">
        <v>189</v>
      </c>
      <c r="G9" s="12" t="s">
        <v>189</v>
      </c>
      <c r="I9" s="14">
        <v>0.7</v>
      </c>
      <c r="J9" s="13">
        <v>0</v>
      </c>
      <c r="K9" s="14">
        <v>0.7</v>
      </c>
      <c r="L9" s="13">
        <v>0</v>
      </c>
      <c r="M9" s="14">
        <v>0</v>
      </c>
      <c r="N9" s="14">
        <v>0</v>
      </c>
      <c r="O9" s="14">
        <v>0</v>
      </c>
      <c r="P9" s="14">
        <v>0.7</v>
      </c>
      <c r="Q9" s="14">
        <v>0</v>
      </c>
      <c r="R9" s="14">
        <v>0</v>
      </c>
      <c r="S9" s="13">
        <v>0</v>
      </c>
      <c r="T9" s="14">
        <v>0</v>
      </c>
      <c r="U9" s="14">
        <v>0</v>
      </c>
      <c r="V9" s="13">
        <v>0.7</v>
      </c>
      <c r="W9" s="16">
        <v>1</v>
      </c>
      <c r="X9" s="16">
        <v>1</v>
      </c>
      <c r="Y9" s="16">
        <v>0</v>
      </c>
      <c r="Z9" s="16">
        <v>0</v>
      </c>
      <c r="AA9" s="16">
        <f>MasterTable[[#This Row],[Landings
Night]]+MasterTable[[#This Row],[Landings
Day]]</f>
        <v>1</v>
      </c>
      <c r="AB9" s="14">
        <v>0</v>
      </c>
      <c r="AC9" s="14">
        <v>0</v>
      </c>
      <c r="AD9" s="15">
        <v>0</v>
      </c>
      <c r="AE9" s="21">
        <f>SUM(MasterTable[[#This Row],[ILS]:[PAR]])</f>
        <v>0</v>
      </c>
      <c r="AF9" s="15"/>
      <c r="AG9" s="15"/>
      <c r="AH9" s="16"/>
      <c r="AI9" s="15"/>
      <c r="AJ9" s="15"/>
      <c r="AK9" s="15"/>
      <c r="AL9" s="15"/>
      <c r="AN9" s="29"/>
      <c r="AO9" s="29"/>
      <c r="AP9" s="29"/>
      <c r="AQ9" s="29"/>
      <c r="AR9" s="140" t="str">
        <f>_xlfn.XLOOKUP(MasterTable[[#This Row],[Aircraft ID]],Aircraft!A:A,Aircraft!H:H)</f>
        <v>Airplane Multi Engine Land</v>
      </c>
      <c r="AS9" s="12" t="b">
        <f>OR((SUM(MasterTable[[#This Row],[ILS]:[PAR]]) = MasterTable[[#This Row],[APPR]]))</f>
        <v>1</v>
      </c>
      <c r="AT9" s="12" t="b">
        <f>NOT(ISBLANK(MasterTable[[#This Row],[Total
Time]]))</f>
        <v>1</v>
      </c>
    </row>
    <row r="10" spans="1:46" s="12" customFormat="1" ht="14.4" customHeight="1" x14ac:dyDescent="0.3">
      <c r="B10" s="94"/>
      <c r="C10" s="20"/>
      <c r="D10" s="22">
        <v>46304</v>
      </c>
      <c r="E10" s="12" t="s">
        <v>375</v>
      </c>
      <c r="F10" s="12" t="s">
        <v>189</v>
      </c>
      <c r="G10" s="12" t="s">
        <v>189</v>
      </c>
      <c r="I10" s="14">
        <v>1.2</v>
      </c>
      <c r="J10" s="13">
        <v>0</v>
      </c>
      <c r="K10" s="14">
        <v>1.2</v>
      </c>
      <c r="L10" s="13">
        <v>0</v>
      </c>
      <c r="M10" s="14">
        <v>0</v>
      </c>
      <c r="N10" s="14">
        <v>0</v>
      </c>
      <c r="O10" s="14">
        <v>0</v>
      </c>
      <c r="P10" s="14">
        <v>1.2</v>
      </c>
      <c r="Q10" s="14">
        <v>0</v>
      </c>
      <c r="R10" s="14">
        <v>0</v>
      </c>
      <c r="S10" s="13">
        <v>0</v>
      </c>
      <c r="T10" s="14">
        <v>0</v>
      </c>
      <c r="U10" s="14">
        <v>0</v>
      </c>
      <c r="V10" s="13">
        <v>1.2</v>
      </c>
      <c r="W10" s="16">
        <v>1</v>
      </c>
      <c r="X10" s="16">
        <v>1</v>
      </c>
      <c r="Y10" s="16">
        <v>0</v>
      </c>
      <c r="Z10" s="16">
        <v>0</v>
      </c>
      <c r="AA10" s="16">
        <f>MasterTable[[#This Row],[Landings
Night]]+MasterTable[[#This Row],[Landings
Day]]</f>
        <v>1</v>
      </c>
      <c r="AB10" s="14">
        <v>0</v>
      </c>
      <c r="AC10" s="14">
        <v>0</v>
      </c>
      <c r="AD10" s="15">
        <v>0</v>
      </c>
      <c r="AE10" s="21">
        <f>SUM(MasterTable[[#This Row],[ILS]:[PAR]])</f>
        <v>0</v>
      </c>
      <c r="AF10" s="15"/>
      <c r="AG10" s="15"/>
      <c r="AH10" s="16"/>
      <c r="AI10" s="15"/>
      <c r="AJ10" s="15"/>
      <c r="AK10" s="15"/>
      <c r="AL10" s="15"/>
      <c r="AN10" s="29"/>
      <c r="AO10" s="29"/>
      <c r="AP10" s="29"/>
      <c r="AQ10" s="29"/>
      <c r="AR10" s="140" t="str">
        <f>_xlfn.XLOOKUP(MasterTable[[#This Row],[Aircraft ID]],Aircraft!A:A,Aircraft!H:H)</f>
        <v>Airplane Multi Engine Land</v>
      </c>
      <c r="AS10" s="12" t="b">
        <f>OR((SUM(MasterTable[[#This Row],[ILS]:[PAR]]) = MasterTable[[#This Row],[APPR]]))</f>
        <v>1</v>
      </c>
      <c r="AT10" s="12" t="b">
        <f>NOT(ISBLANK(MasterTable[[#This Row],[Total
Time]]))</f>
        <v>1</v>
      </c>
    </row>
    <row r="11" spans="1:46" s="12" customFormat="1" ht="14.4" customHeight="1" x14ac:dyDescent="0.3">
      <c r="B11" s="94"/>
      <c r="C11" s="20"/>
      <c r="D11" s="22">
        <v>46302</v>
      </c>
      <c r="E11" s="12" t="s">
        <v>375</v>
      </c>
      <c r="F11" s="12" t="s">
        <v>189</v>
      </c>
      <c r="G11" s="12" t="s">
        <v>189</v>
      </c>
      <c r="I11" s="14">
        <v>1.1000000000000001</v>
      </c>
      <c r="J11" s="13">
        <v>0</v>
      </c>
      <c r="K11" s="14">
        <v>1.1000000000000001</v>
      </c>
      <c r="L11" s="13">
        <v>0</v>
      </c>
      <c r="M11" s="14">
        <v>0</v>
      </c>
      <c r="N11" s="14">
        <v>0</v>
      </c>
      <c r="O11" s="14">
        <v>0</v>
      </c>
      <c r="P11" s="14">
        <v>1.1000000000000001</v>
      </c>
      <c r="Q11" s="14">
        <v>0</v>
      </c>
      <c r="R11" s="14">
        <v>0</v>
      </c>
      <c r="S11" s="13">
        <v>0</v>
      </c>
      <c r="T11" s="14">
        <v>0</v>
      </c>
      <c r="U11" s="14">
        <v>0</v>
      </c>
      <c r="V11" s="13">
        <v>1.1000000000000001</v>
      </c>
      <c r="W11" s="16">
        <v>1</v>
      </c>
      <c r="X11" s="16">
        <v>1</v>
      </c>
      <c r="Y11" s="16">
        <v>0</v>
      </c>
      <c r="Z11" s="16">
        <v>0</v>
      </c>
      <c r="AA11" s="16">
        <f>MasterTable[[#This Row],[Landings
Night]]+MasterTable[[#This Row],[Landings
Day]]</f>
        <v>1</v>
      </c>
      <c r="AB11" s="14">
        <v>0</v>
      </c>
      <c r="AC11" s="14">
        <v>0</v>
      </c>
      <c r="AD11" s="15">
        <v>0</v>
      </c>
      <c r="AE11" s="21">
        <f>SUM(MasterTable[[#This Row],[ILS]:[PAR]])</f>
        <v>0</v>
      </c>
      <c r="AF11" s="15"/>
      <c r="AG11" s="15"/>
      <c r="AH11" s="16"/>
      <c r="AI11" s="15"/>
      <c r="AJ11" s="15"/>
      <c r="AK11" s="15"/>
      <c r="AL11" s="15"/>
      <c r="AN11" s="29"/>
      <c r="AO11" s="29"/>
      <c r="AP11" s="29"/>
      <c r="AQ11" s="29"/>
      <c r="AR11" s="140" t="str">
        <f>_xlfn.XLOOKUP(MasterTable[[#This Row],[Aircraft ID]],Aircraft!A:A,Aircraft!H:H)</f>
        <v>Airplane Multi Engine Land</v>
      </c>
      <c r="AS11" s="12" t="b">
        <f>OR((SUM(MasterTable[[#This Row],[ILS]:[PAR]]) = MasterTable[[#This Row],[APPR]]))</f>
        <v>1</v>
      </c>
      <c r="AT11" s="12" t="b">
        <f>NOT(ISBLANK(MasterTable[[#This Row],[Total
Time]]))</f>
        <v>1</v>
      </c>
    </row>
    <row r="12" spans="1:46" s="12" customFormat="1" ht="14.4" customHeight="1" x14ac:dyDescent="0.3">
      <c r="A12" s="19"/>
      <c r="B12" s="53"/>
      <c r="C12" s="20"/>
      <c r="D12" s="22">
        <v>46296</v>
      </c>
      <c r="E12" s="12" t="s">
        <v>375</v>
      </c>
      <c r="F12" s="12" t="s">
        <v>189</v>
      </c>
      <c r="G12" s="12" t="s">
        <v>189</v>
      </c>
      <c r="I12" s="14">
        <v>1.3</v>
      </c>
      <c r="J12" s="13">
        <v>0</v>
      </c>
      <c r="K12" s="14">
        <v>1.3</v>
      </c>
      <c r="L12" s="13">
        <v>0</v>
      </c>
      <c r="M12" s="14">
        <v>0</v>
      </c>
      <c r="N12" s="14"/>
      <c r="O12" s="14">
        <v>0</v>
      </c>
      <c r="P12" s="14">
        <v>1.3</v>
      </c>
      <c r="Q12" s="14">
        <v>0</v>
      </c>
      <c r="R12" s="14">
        <v>0</v>
      </c>
      <c r="S12" s="13">
        <v>0</v>
      </c>
      <c r="T12" s="14">
        <v>0</v>
      </c>
      <c r="U12" s="14">
        <v>0</v>
      </c>
      <c r="V12" s="13">
        <v>0</v>
      </c>
      <c r="W12" s="16">
        <v>3</v>
      </c>
      <c r="X12" s="16">
        <v>3</v>
      </c>
      <c r="Y12" s="16">
        <v>0</v>
      </c>
      <c r="Z12" s="16">
        <v>0</v>
      </c>
      <c r="AA12" s="16">
        <f>MasterTable[[#This Row],[Landings
Night]]+MasterTable[[#This Row],[Landings
Day]]</f>
        <v>3</v>
      </c>
      <c r="AB12" s="14">
        <v>0</v>
      </c>
      <c r="AC12" s="14">
        <v>0</v>
      </c>
      <c r="AD12" s="15">
        <v>0</v>
      </c>
      <c r="AE12" s="21">
        <f>SUM(MasterTable[[#This Row],[ILS]:[PAR]])</f>
        <v>1</v>
      </c>
      <c r="AF12" s="15">
        <v>1</v>
      </c>
      <c r="AG12" s="15"/>
      <c r="AH12" s="16"/>
      <c r="AI12" s="15"/>
      <c r="AJ12" s="15"/>
      <c r="AK12" s="15"/>
      <c r="AL12" s="15"/>
      <c r="AN12" s="29"/>
      <c r="AO12" s="29"/>
      <c r="AP12" s="29"/>
      <c r="AQ12" s="29"/>
      <c r="AR12" s="140" t="str">
        <f>_xlfn.XLOOKUP(MasterTable[[#This Row],[Aircraft ID]],Aircraft!A:A,Aircraft!H:H)</f>
        <v>Airplane Multi Engine Land</v>
      </c>
      <c r="AS12" s="12" t="b">
        <f>OR((SUM(MasterTable[[#This Row],[ILS]:[PAR]]) = MasterTable[[#This Row],[APPR]]))</f>
        <v>1</v>
      </c>
      <c r="AT12" s="12" t="b">
        <f>NOT(ISBLANK(MasterTable[[#This Row],[Total
Time]]))</f>
        <v>1</v>
      </c>
    </row>
    <row r="13" spans="1:46" s="12" customFormat="1" ht="14.4" customHeight="1" x14ac:dyDescent="0.3">
      <c r="A13" s="19"/>
      <c r="B13" s="53"/>
      <c r="C13" s="20"/>
      <c r="D13" s="22">
        <v>46295</v>
      </c>
      <c r="E13" s="12" t="s">
        <v>375</v>
      </c>
      <c r="F13" s="12" t="s">
        <v>189</v>
      </c>
      <c r="G13" s="12" t="s">
        <v>189</v>
      </c>
      <c r="I13" s="14">
        <v>1.1000000000000001</v>
      </c>
      <c r="J13" s="13">
        <v>0</v>
      </c>
      <c r="K13" s="14">
        <v>1.1000000000000001</v>
      </c>
      <c r="L13" s="13">
        <v>0</v>
      </c>
      <c r="M13" s="14">
        <v>0</v>
      </c>
      <c r="N13" s="14"/>
      <c r="O13" s="14">
        <v>0</v>
      </c>
      <c r="P13" s="14">
        <v>1.1000000000000001</v>
      </c>
      <c r="Q13" s="14">
        <v>0</v>
      </c>
      <c r="R13" s="14">
        <v>0</v>
      </c>
      <c r="S13" s="13">
        <v>0</v>
      </c>
      <c r="T13" s="14">
        <v>0</v>
      </c>
      <c r="U13" s="14">
        <v>0</v>
      </c>
      <c r="V13" s="13">
        <v>1.1000000000000001</v>
      </c>
      <c r="W13" s="16">
        <v>1</v>
      </c>
      <c r="X13" s="16">
        <v>1</v>
      </c>
      <c r="Y13" s="16">
        <v>0</v>
      </c>
      <c r="Z13" s="16">
        <v>0</v>
      </c>
      <c r="AA13" s="16">
        <f>MasterTable[[#This Row],[Landings
Night]]+MasterTable[[#This Row],[Landings
Day]]</f>
        <v>1</v>
      </c>
      <c r="AB13" s="14">
        <v>0.4</v>
      </c>
      <c r="AC13" s="14">
        <v>0</v>
      </c>
      <c r="AD13" s="15">
        <v>0</v>
      </c>
      <c r="AE13" s="21">
        <f>SUM(MasterTable[[#This Row],[ILS]:[PAR]])</f>
        <v>0</v>
      </c>
      <c r="AF13" s="15"/>
      <c r="AG13" s="15"/>
      <c r="AH13" s="16"/>
      <c r="AI13" s="15"/>
      <c r="AJ13" s="15"/>
      <c r="AK13" s="15"/>
      <c r="AL13" s="15"/>
      <c r="AN13" s="29"/>
      <c r="AO13" s="29"/>
      <c r="AP13" s="29"/>
      <c r="AQ13" s="29" t="s">
        <v>410</v>
      </c>
      <c r="AR13" s="140" t="str">
        <f>_xlfn.XLOOKUP(MasterTable[[#This Row],[Aircraft ID]],Aircraft!A:A,Aircraft!H:H)</f>
        <v>Airplane Multi Engine Land</v>
      </c>
      <c r="AS13" s="12" t="b">
        <f>OR((SUM(MasterTable[[#This Row],[ILS]:[PAR]]) = MasterTable[[#This Row],[APPR]]))</f>
        <v>1</v>
      </c>
      <c r="AT13" s="12" t="b">
        <f>NOT(ISBLANK(MasterTable[[#This Row],[Total
Time]]))</f>
        <v>1</v>
      </c>
    </row>
    <row r="14" spans="1:46" s="12" customFormat="1" ht="14.4" customHeight="1" x14ac:dyDescent="0.3">
      <c r="A14" s="19"/>
      <c r="B14" s="53"/>
      <c r="C14" s="20"/>
      <c r="D14" s="22">
        <v>46294</v>
      </c>
      <c r="E14" s="12" t="s">
        <v>375</v>
      </c>
      <c r="F14" s="12" t="s">
        <v>189</v>
      </c>
      <c r="G14" s="12" t="s">
        <v>189</v>
      </c>
      <c r="I14" s="14">
        <v>1.1000000000000001</v>
      </c>
      <c r="J14" s="13">
        <v>0</v>
      </c>
      <c r="K14" s="14">
        <v>1.1000000000000001</v>
      </c>
      <c r="L14" s="13">
        <v>0</v>
      </c>
      <c r="M14" s="14">
        <v>0</v>
      </c>
      <c r="N14" s="14"/>
      <c r="O14" s="14">
        <v>0</v>
      </c>
      <c r="P14" s="14">
        <v>1.1000000000000001</v>
      </c>
      <c r="Q14" s="14">
        <v>0</v>
      </c>
      <c r="R14" s="14">
        <v>0</v>
      </c>
      <c r="S14" s="13">
        <v>0</v>
      </c>
      <c r="T14" s="14">
        <v>0</v>
      </c>
      <c r="U14" s="14">
        <v>0</v>
      </c>
      <c r="V14" s="13">
        <v>1.1000000000000001</v>
      </c>
      <c r="W14" s="16">
        <v>1</v>
      </c>
      <c r="X14" s="16">
        <v>1</v>
      </c>
      <c r="Y14" s="16">
        <v>0</v>
      </c>
      <c r="Z14" s="16">
        <v>0</v>
      </c>
      <c r="AA14" s="16">
        <f>MasterTable[[#This Row],[Landings
Night]]+MasterTable[[#This Row],[Landings
Day]]</f>
        <v>1</v>
      </c>
      <c r="AB14" s="14">
        <v>0</v>
      </c>
      <c r="AC14" s="14">
        <v>0</v>
      </c>
      <c r="AD14" s="15">
        <v>0</v>
      </c>
      <c r="AE14" s="21">
        <f>SUM(MasterTable[[#This Row],[ILS]:[PAR]])</f>
        <v>0</v>
      </c>
      <c r="AF14" s="15"/>
      <c r="AG14" s="15"/>
      <c r="AH14" s="16"/>
      <c r="AI14" s="15"/>
      <c r="AJ14" s="15"/>
      <c r="AK14" s="15"/>
      <c r="AL14" s="15"/>
      <c r="AN14" s="29"/>
      <c r="AO14" s="29"/>
      <c r="AP14" s="29"/>
      <c r="AQ14" s="29"/>
      <c r="AR14" s="140" t="str">
        <f>_xlfn.XLOOKUP(MasterTable[[#This Row],[Aircraft ID]],Aircraft!A:A,Aircraft!H:H)</f>
        <v>Airplane Multi Engine Land</v>
      </c>
      <c r="AS14" s="12" t="b">
        <f>OR((SUM(MasterTable[[#This Row],[ILS]:[PAR]]) = MasterTable[[#This Row],[APPR]]))</f>
        <v>1</v>
      </c>
      <c r="AT14" s="12" t="b">
        <f>NOT(ISBLANK(MasterTable[[#This Row],[Total
Time]]))</f>
        <v>1</v>
      </c>
    </row>
    <row r="15" spans="1:46" s="12" customFormat="1" ht="14.4" customHeight="1" x14ac:dyDescent="0.3">
      <c r="A15" s="19"/>
      <c r="B15" s="53"/>
      <c r="C15" s="20"/>
      <c r="D15" s="22">
        <v>46294</v>
      </c>
      <c r="E15" s="12" t="s">
        <v>375</v>
      </c>
      <c r="F15" s="12" t="s">
        <v>189</v>
      </c>
      <c r="G15" s="12" t="s">
        <v>189</v>
      </c>
      <c r="I15" s="14">
        <v>1.2</v>
      </c>
      <c r="J15" s="13">
        <v>0</v>
      </c>
      <c r="K15" s="14">
        <v>1.2</v>
      </c>
      <c r="L15" s="13">
        <v>0</v>
      </c>
      <c r="M15" s="14">
        <v>0</v>
      </c>
      <c r="N15" s="14"/>
      <c r="O15" s="14">
        <v>0</v>
      </c>
      <c r="P15" s="14">
        <v>1.2</v>
      </c>
      <c r="Q15" s="14">
        <v>0</v>
      </c>
      <c r="R15" s="14">
        <v>0</v>
      </c>
      <c r="S15" s="13">
        <v>0</v>
      </c>
      <c r="T15" s="14">
        <v>0</v>
      </c>
      <c r="U15" s="14">
        <v>0</v>
      </c>
      <c r="V15" s="13">
        <v>1.2</v>
      </c>
      <c r="W15" s="16">
        <v>1</v>
      </c>
      <c r="X15" s="16">
        <v>1</v>
      </c>
      <c r="Y15" s="16">
        <v>0</v>
      </c>
      <c r="Z15" s="16">
        <v>0</v>
      </c>
      <c r="AA15" s="16">
        <f>MasterTable[[#This Row],[Landings
Night]]+MasterTable[[#This Row],[Landings
Day]]</f>
        <v>1</v>
      </c>
      <c r="AB15" s="14">
        <v>0</v>
      </c>
      <c r="AC15" s="14">
        <v>0</v>
      </c>
      <c r="AD15" s="15">
        <v>0</v>
      </c>
      <c r="AE15" s="21">
        <f>SUM(MasterTable[[#This Row],[ILS]:[PAR]])</f>
        <v>0</v>
      </c>
      <c r="AF15" s="15"/>
      <c r="AG15" s="15"/>
      <c r="AH15" s="16"/>
      <c r="AI15" s="15"/>
      <c r="AJ15" s="15"/>
      <c r="AK15" s="15"/>
      <c r="AL15" s="15"/>
      <c r="AN15" s="29"/>
      <c r="AO15" s="29"/>
      <c r="AP15" s="29"/>
      <c r="AQ15" s="29"/>
      <c r="AR15" s="140" t="str">
        <f>_xlfn.XLOOKUP(MasterTable[[#This Row],[Aircraft ID]],Aircraft!A:A,Aircraft!H:H)</f>
        <v>Airplane Multi Engine Land</v>
      </c>
      <c r="AS15" s="12" t="b">
        <f>OR((SUM(MasterTable[[#This Row],[ILS]:[PAR]]) = MasterTable[[#This Row],[APPR]]))</f>
        <v>1</v>
      </c>
      <c r="AT15" s="12" t="b">
        <f>NOT(ISBLANK(MasterTable[[#This Row],[Total
Time]]))</f>
        <v>1</v>
      </c>
    </row>
    <row r="16" spans="1:46" s="12" customFormat="1" ht="14.4" customHeight="1" x14ac:dyDescent="0.3">
      <c r="A16" s="19"/>
      <c r="B16" s="53"/>
      <c r="C16" s="20"/>
      <c r="D16" s="22">
        <v>46290</v>
      </c>
      <c r="E16" s="12" t="s">
        <v>375</v>
      </c>
      <c r="F16" s="12" t="s">
        <v>189</v>
      </c>
      <c r="G16" s="12" t="s">
        <v>189</v>
      </c>
      <c r="I16" s="14">
        <v>1.1000000000000001</v>
      </c>
      <c r="J16" s="13">
        <v>0</v>
      </c>
      <c r="K16" s="14">
        <v>1.1000000000000001</v>
      </c>
      <c r="L16" s="13">
        <v>0</v>
      </c>
      <c r="M16" s="13">
        <v>0</v>
      </c>
      <c r="N16" s="13"/>
      <c r="O16" s="14">
        <v>0</v>
      </c>
      <c r="P16" s="14">
        <v>1.1000000000000001</v>
      </c>
      <c r="Q16" s="14">
        <v>0</v>
      </c>
      <c r="R16" s="14">
        <v>0</v>
      </c>
      <c r="S16" s="13">
        <v>0</v>
      </c>
      <c r="T16" s="14">
        <v>0</v>
      </c>
      <c r="U16" s="14">
        <v>0</v>
      </c>
      <c r="V16" s="13">
        <v>1.1000000000000001</v>
      </c>
      <c r="W16" s="16">
        <v>1</v>
      </c>
      <c r="X16" s="16">
        <v>1</v>
      </c>
      <c r="Y16" s="16">
        <v>0</v>
      </c>
      <c r="Z16" s="16">
        <v>0</v>
      </c>
      <c r="AA16" s="16">
        <f>MasterTable[[#This Row],[Landings
Night]]+MasterTable[[#This Row],[Landings
Day]]</f>
        <v>1</v>
      </c>
      <c r="AB16" s="14">
        <v>0</v>
      </c>
      <c r="AC16" s="14">
        <v>0</v>
      </c>
      <c r="AD16" s="15">
        <v>0</v>
      </c>
      <c r="AE16" s="21">
        <f>SUM(MasterTable[[#This Row],[ILS]:[PAR]])</f>
        <v>0</v>
      </c>
      <c r="AF16" s="15"/>
      <c r="AG16" s="15"/>
      <c r="AH16" s="16"/>
      <c r="AI16" s="15"/>
      <c r="AJ16" s="15"/>
      <c r="AK16" s="15"/>
      <c r="AL16" s="15"/>
      <c r="AN16" s="29"/>
      <c r="AO16" s="29"/>
      <c r="AP16" s="29"/>
      <c r="AQ16" s="29"/>
      <c r="AR16" s="140" t="str">
        <f>_xlfn.XLOOKUP(MasterTable[[#This Row],[Aircraft ID]],Aircraft!A:A,Aircraft!H:H)</f>
        <v>Airplane Multi Engine Land</v>
      </c>
      <c r="AS16" s="12" t="b">
        <f>OR((SUM(MasterTable[[#This Row],[ILS]:[PAR]]) = MasterTable[[#This Row],[APPR]]))</f>
        <v>1</v>
      </c>
      <c r="AT16" s="12" t="b">
        <f>NOT(ISBLANK(MasterTable[[#This Row],[Total
Time]]))</f>
        <v>1</v>
      </c>
    </row>
    <row r="17" spans="1:46" s="12" customFormat="1" ht="14.4" customHeight="1" x14ac:dyDescent="0.3">
      <c r="A17" s="19"/>
      <c r="B17" s="53"/>
      <c r="C17" s="20"/>
      <c r="D17" s="22">
        <v>46289</v>
      </c>
      <c r="E17" s="12" t="s">
        <v>375</v>
      </c>
      <c r="F17" s="12" t="s">
        <v>189</v>
      </c>
      <c r="G17" s="12" t="s">
        <v>189</v>
      </c>
      <c r="I17" s="14">
        <v>1.1000000000000001</v>
      </c>
      <c r="J17" s="13">
        <v>0</v>
      </c>
      <c r="K17" s="14">
        <v>1.1000000000000001</v>
      </c>
      <c r="L17" s="13">
        <v>0</v>
      </c>
      <c r="M17" s="13">
        <v>0</v>
      </c>
      <c r="N17" s="13"/>
      <c r="O17" s="14">
        <v>0</v>
      </c>
      <c r="P17" s="14">
        <v>1.1000000000000001</v>
      </c>
      <c r="Q17" s="14">
        <v>0</v>
      </c>
      <c r="R17" s="14">
        <v>0</v>
      </c>
      <c r="S17" s="13">
        <v>0</v>
      </c>
      <c r="T17" s="14">
        <v>0</v>
      </c>
      <c r="U17" s="14">
        <v>0</v>
      </c>
      <c r="V17" s="13">
        <v>1.1000000000000001</v>
      </c>
      <c r="W17" s="16">
        <v>1</v>
      </c>
      <c r="X17" s="16">
        <v>1</v>
      </c>
      <c r="Y17" s="16">
        <v>0</v>
      </c>
      <c r="Z17" s="16">
        <v>0</v>
      </c>
      <c r="AA17" s="16">
        <f>MasterTable[[#This Row],[Landings
Night]]+MasterTable[[#This Row],[Landings
Day]]</f>
        <v>1</v>
      </c>
      <c r="AB17" s="14">
        <v>0</v>
      </c>
      <c r="AC17" s="14">
        <v>0</v>
      </c>
      <c r="AD17" s="15">
        <v>0</v>
      </c>
      <c r="AE17" s="21">
        <f>SUM(MasterTable[[#This Row],[ILS]:[PAR]])</f>
        <v>0</v>
      </c>
      <c r="AF17" s="15"/>
      <c r="AG17" s="15"/>
      <c r="AH17" s="16"/>
      <c r="AI17" s="15"/>
      <c r="AJ17" s="15"/>
      <c r="AK17" s="15"/>
      <c r="AL17" s="15"/>
      <c r="AN17" s="29"/>
      <c r="AO17" s="29"/>
      <c r="AP17" s="29"/>
      <c r="AQ17" s="29"/>
      <c r="AR17" s="140" t="str">
        <f>_xlfn.XLOOKUP(MasterTable[[#This Row],[Aircraft ID]],Aircraft!A:A,Aircraft!H:H)</f>
        <v>Airplane Multi Engine Land</v>
      </c>
      <c r="AS17" s="12" t="b">
        <f>OR((SUM(MasterTable[[#This Row],[ILS]:[PAR]]) = MasterTable[[#This Row],[APPR]]))</f>
        <v>1</v>
      </c>
      <c r="AT17" s="12" t="b">
        <f>NOT(ISBLANK(MasterTable[[#This Row],[Total
Time]]))</f>
        <v>1</v>
      </c>
    </row>
    <row r="18" spans="1:46" s="12" customFormat="1" ht="14.4" customHeight="1" x14ac:dyDescent="0.3">
      <c r="A18" s="19"/>
      <c r="B18" s="53"/>
      <c r="C18" s="20"/>
      <c r="D18" s="22">
        <v>46288</v>
      </c>
      <c r="E18" s="12" t="s">
        <v>375</v>
      </c>
      <c r="F18" s="12" t="s">
        <v>189</v>
      </c>
      <c r="G18" s="12" t="s">
        <v>189</v>
      </c>
      <c r="I18" s="14">
        <v>1.1000000000000001</v>
      </c>
      <c r="J18" s="13">
        <v>0</v>
      </c>
      <c r="K18" s="14">
        <v>1.1000000000000001</v>
      </c>
      <c r="L18" s="13">
        <v>0</v>
      </c>
      <c r="M18" s="13">
        <v>0</v>
      </c>
      <c r="N18" s="13"/>
      <c r="O18" s="14">
        <v>0</v>
      </c>
      <c r="P18" s="14">
        <v>1.1000000000000001</v>
      </c>
      <c r="Q18" s="14">
        <v>0</v>
      </c>
      <c r="R18" s="14">
        <v>0</v>
      </c>
      <c r="S18" s="13">
        <v>0</v>
      </c>
      <c r="T18" s="14">
        <v>0</v>
      </c>
      <c r="U18" s="14">
        <v>0</v>
      </c>
      <c r="V18" s="13">
        <v>0</v>
      </c>
      <c r="W18" s="16">
        <v>5</v>
      </c>
      <c r="X18" s="16">
        <v>5</v>
      </c>
      <c r="Y18" s="16">
        <v>0</v>
      </c>
      <c r="Z18" s="16">
        <v>0</v>
      </c>
      <c r="AA18" s="16">
        <f>MasterTable[[#This Row],[Landings
Night]]+MasterTable[[#This Row],[Landings
Day]]</f>
        <v>5</v>
      </c>
      <c r="AB18" s="14">
        <v>0</v>
      </c>
      <c r="AC18" s="14">
        <v>0</v>
      </c>
      <c r="AD18" s="15">
        <v>0</v>
      </c>
      <c r="AE18" s="21">
        <f>SUM(MasterTable[[#This Row],[ILS]:[PAR]])</f>
        <v>0</v>
      </c>
      <c r="AF18" s="15"/>
      <c r="AG18" s="15"/>
      <c r="AH18" s="16"/>
      <c r="AI18" s="15"/>
      <c r="AJ18" s="15"/>
      <c r="AK18" s="15"/>
      <c r="AL18" s="15"/>
      <c r="AM18" s="12" t="s">
        <v>433</v>
      </c>
      <c r="AN18" s="29"/>
      <c r="AO18" s="29"/>
      <c r="AP18" s="29"/>
      <c r="AQ18" s="29"/>
      <c r="AR18" s="140" t="str">
        <f>_xlfn.XLOOKUP(MasterTable[[#This Row],[Aircraft ID]],Aircraft!A:A,Aircraft!H:H)</f>
        <v>Airplane Multi Engine Land</v>
      </c>
      <c r="AS18" s="12" t="b">
        <f>OR((SUM(MasterTable[[#This Row],[ILS]:[PAR]]) = MasterTable[[#This Row],[APPR]]))</f>
        <v>1</v>
      </c>
      <c r="AT18" s="12" t="b">
        <f>NOT(ISBLANK(MasterTable[[#This Row],[Total
Time]]))</f>
        <v>1</v>
      </c>
    </row>
    <row r="19" spans="1:46" s="12" customFormat="1" ht="14.4" customHeight="1" x14ac:dyDescent="0.3">
      <c r="A19" s="19"/>
      <c r="B19" s="53"/>
      <c r="C19" s="20"/>
      <c r="D19" s="22">
        <v>46288</v>
      </c>
      <c r="E19" s="12" t="s">
        <v>375</v>
      </c>
      <c r="F19" s="12" t="s">
        <v>189</v>
      </c>
      <c r="G19" s="12" t="s">
        <v>189</v>
      </c>
      <c r="I19" s="14">
        <v>1.2</v>
      </c>
      <c r="J19" s="13">
        <v>0</v>
      </c>
      <c r="K19" s="14">
        <v>1.2</v>
      </c>
      <c r="L19" s="13">
        <v>0</v>
      </c>
      <c r="M19" s="13">
        <v>0</v>
      </c>
      <c r="N19" s="13"/>
      <c r="O19" s="14">
        <v>0</v>
      </c>
      <c r="P19" s="14">
        <v>1.2</v>
      </c>
      <c r="Q19" s="14">
        <v>0</v>
      </c>
      <c r="R19" s="14">
        <v>0</v>
      </c>
      <c r="S19" s="13">
        <v>0</v>
      </c>
      <c r="T19" s="14">
        <v>0</v>
      </c>
      <c r="U19" s="14">
        <v>0</v>
      </c>
      <c r="V19" s="13">
        <v>1.2</v>
      </c>
      <c r="W19" s="16">
        <v>1</v>
      </c>
      <c r="X19" s="16">
        <v>1</v>
      </c>
      <c r="Y19" s="16">
        <v>0</v>
      </c>
      <c r="Z19" s="16">
        <v>0</v>
      </c>
      <c r="AA19" s="16">
        <f>MasterTable[[#This Row],[Landings
Night]]+MasterTable[[#This Row],[Landings
Day]]</f>
        <v>1</v>
      </c>
      <c r="AB19" s="14">
        <v>0</v>
      </c>
      <c r="AC19" s="14">
        <v>0</v>
      </c>
      <c r="AD19" s="15">
        <v>0</v>
      </c>
      <c r="AE19" s="21">
        <f>SUM(MasterTable[[#This Row],[ILS]:[PAR]])</f>
        <v>0</v>
      </c>
      <c r="AF19" s="15"/>
      <c r="AG19" s="15"/>
      <c r="AH19" s="16"/>
      <c r="AI19" s="15"/>
      <c r="AJ19" s="15"/>
      <c r="AK19" s="15"/>
      <c r="AL19" s="15"/>
      <c r="AN19" s="29"/>
      <c r="AO19" s="29"/>
      <c r="AP19" s="29"/>
      <c r="AQ19" s="29"/>
      <c r="AR19" s="140" t="str">
        <f>_xlfn.XLOOKUP(MasterTable[[#This Row],[Aircraft ID]],Aircraft!A:A,Aircraft!H:H)</f>
        <v>Airplane Multi Engine Land</v>
      </c>
      <c r="AS19" s="12" t="b">
        <f>OR((SUM(MasterTable[[#This Row],[ILS]:[PAR]]) = MasterTable[[#This Row],[APPR]]))</f>
        <v>1</v>
      </c>
      <c r="AT19" s="12" t="b">
        <f>NOT(ISBLANK(MasterTable[[#This Row],[Total
Time]]))</f>
        <v>1</v>
      </c>
    </row>
    <row r="20" spans="1:46" s="12" customFormat="1" ht="14.4" customHeight="1" x14ac:dyDescent="0.3">
      <c r="A20" s="19"/>
      <c r="B20" s="53"/>
      <c r="C20" s="20"/>
      <c r="D20" s="22">
        <v>46287</v>
      </c>
      <c r="E20" s="12" t="s">
        <v>375</v>
      </c>
      <c r="F20" s="12" t="s">
        <v>189</v>
      </c>
      <c r="G20" s="12" t="s">
        <v>189</v>
      </c>
      <c r="I20" s="14">
        <v>1.2</v>
      </c>
      <c r="J20" s="13">
        <v>0</v>
      </c>
      <c r="K20" s="14">
        <v>1.2</v>
      </c>
      <c r="L20" s="13">
        <v>0</v>
      </c>
      <c r="M20" s="13">
        <v>0</v>
      </c>
      <c r="N20" s="13"/>
      <c r="O20" s="14">
        <v>0</v>
      </c>
      <c r="P20" s="14">
        <v>1.2</v>
      </c>
      <c r="Q20" s="14">
        <v>0</v>
      </c>
      <c r="R20" s="14">
        <v>0</v>
      </c>
      <c r="S20" s="13">
        <v>0</v>
      </c>
      <c r="T20" s="14">
        <v>0</v>
      </c>
      <c r="U20" s="14">
        <v>0</v>
      </c>
      <c r="V20" s="13">
        <v>1.2</v>
      </c>
      <c r="W20" s="16">
        <v>1</v>
      </c>
      <c r="X20" s="16">
        <v>1</v>
      </c>
      <c r="Y20" s="16">
        <v>0</v>
      </c>
      <c r="Z20" s="16">
        <v>0</v>
      </c>
      <c r="AA20" s="16">
        <f>MasterTable[[#This Row],[Landings
Night]]+MasterTable[[#This Row],[Landings
Day]]</f>
        <v>1</v>
      </c>
      <c r="AB20" s="14">
        <v>0</v>
      </c>
      <c r="AC20" s="14">
        <v>0</v>
      </c>
      <c r="AD20" s="15">
        <v>0</v>
      </c>
      <c r="AE20" s="21">
        <f>SUM(MasterTable[[#This Row],[ILS]:[PAR]])</f>
        <v>1</v>
      </c>
      <c r="AF20" s="15"/>
      <c r="AG20" s="15"/>
      <c r="AH20" s="16"/>
      <c r="AI20" s="15">
        <v>1</v>
      </c>
      <c r="AJ20" s="15"/>
      <c r="AK20" s="15"/>
      <c r="AL20" s="15"/>
      <c r="AN20" s="29"/>
      <c r="AO20" s="29"/>
      <c r="AP20" s="29"/>
      <c r="AQ20" s="29"/>
      <c r="AR20" s="140" t="str">
        <f>_xlfn.XLOOKUP(MasterTable[[#This Row],[Aircraft ID]],Aircraft!A:A,Aircraft!H:H)</f>
        <v>Airplane Multi Engine Land</v>
      </c>
      <c r="AS20" s="12" t="b">
        <f>OR((SUM(MasterTable[[#This Row],[ILS]:[PAR]]) = MasterTable[[#This Row],[APPR]]))</f>
        <v>1</v>
      </c>
      <c r="AT20" s="12" t="b">
        <f>NOT(ISBLANK(MasterTable[[#This Row],[Total
Time]]))</f>
        <v>1</v>
      </c>
    </row>
    <row r="21" spans="1:46" s="12" customFormat="1" ht="14.4" customHeight="1" x14ac:dyDescent="0.3">
      <c r="A21" s="19"/>
      <c r="B21" s="53"/>
      <c r="C21" s="20"/>
      <c r="D21" s="22">
        <v>46286</v>
      </c>
      <c r="E21" s="12" t="s">
        <v>375</v>
      </c>
      <c r="F21" s="12" t="s">
        <v>189</v>
      </c>
      <c r="G21" s="12" t="s">
        <v>189</v>
      </c>
      <c r="I21" s="14">
        <v>0.9</v>
      </c>
      <c r="J21" s="13">
        <v>0.9</v>
      </c>
      <c r="K21" s="14">
        <v>0.9</v>
      </c>
      <c r="L21" s="13">
        <v>0</v>
      </c>
      <c r="M21" s="13">
        <v>0</v>
      </c>
      <c r="N21" s="13"/>
      <c r="O21" s="14">
        <v>0</v>
      </c>
      <c r="P21" s="14">
        <v>0</v>
      </c>
      <c r="Q21" s="14">
        <v>0</v>
      </c>
      <c r="R21" s="14">
        <v>0</v>
      </c>
      <c r="S21" s="13">
        <v>0</v>
      </c>
      <c r="T21" s="14">
        <v>0</v>
      </c>
      <c r="U21" s="14">
        <v>0</v>
      </c>
      <c r="V21" s="13">
        <v>0.9</v>
      </c>
      <c r="W21" s="16">
        <v>2</v>
      </c>
      <c r="X21" s="16">
        <v>2</v>
      </c>
      <c r="Y21" s="16">
        <v>0</v>
      </c>
      <c r="Z21" s="16">
        <v>0</v>
      </c>
      <c r="AA21" s="16">
        <f>MasterTable[[#This Row],[Landings
Night]]+MasterTable[[#This Row],[Landings
Day]]</f>
        <v>2</v>
      </c>
      <c r="AB21" s="14">
        <v>0</v>
      </c>
      <c r="AC21" s="14">
        <v>0</v>
      </c>
      <c r="AD21" s="15">
        <v>0</v>
      </c>
      <c r="AE21" s="21">
        <f>SUM(MasterTable[[#This Row],[ILS]:[PAR]])</f>
        <v>0</v>
      </c>
      <c r="AF21" s="15"/>
      <c r="AG21" s="15"/>
      <c r="AH21" s="16"/>
      <c r="AI21" s="15"/>
      <c r="AJ21" s="15"/>
      <c r="AK21" s="15"/>
      <c r="AL21" s="15"/>
      <c r="AN21" s="29"/>
      <c r="AO21" s="29"/>
      <c r="AP21" s="29"/>
      <c r="AQ21" s="29"/>
      <c r="AR21" s="140" t="str">
        <f>_xlfn.XLOOKUP(MasterTable[[#This Row],[Aircraft ID]],Aircraft!A:A,Aircraft!H:H)</f>
        <v>Airplane Multi Engine Land</v>
      </c>
      <c r="AS21" s="12" t="b">
        <f>OR((SUM(MasterTable[[#This Row],[ILS]:[PAR]]) = MasterTable[[#This Row],[APPR]]))</f>
        <v>1</v>
      </c>
      <c r="AT21" s="12" t="b">
        <f>NOT(ISBLANK(MasterTable[[#This Row],[Total
Time]]))</f>
        <v>1</v>
      </c>
    </row>
    <row r="22" spans="1:46" s="12" customFormat="1" ht="14.4" customHeight="1" x14ac:dyDescent="0.3">
      <c r="A22" s="19"/>
      <c r="B22" s="53"/>
      <c r="C22" s="20"/>
      <c r="D22" s="22">
        <v>46286</v>
      </c>
      <c r="E22" s="12" t="s">
        <v>375</v>
      </c>
      <c r="F22" s="12" t="s">
        <v>189</v>
      </c>
      <c r="G22" s="12" t="s">
        <v>189</v>
      </c>
      <c r="I22" s="14">
        <v>1.2</v>
      </c>
      <c r="J22" s="13">
        <v>0</v>
      </c>
      <c r="K22" s="14">
        <v>1.2</v>
      </c>
      <c r="L22" s="13">
        <v>0</v>
      </c>
      <c r="M22" s="13">
        <v>0</v>
      </c>
      <c r="N22" s="13"/>
      <c r="O22" s="14">
        <v>0</v>
      </c>
      <c r="P22" s="14">
        <v>1.2</v>
      </c>
      <c r="Q22" s="14">
        <v>0</v>
      </c>
      <c r="R22" s="14">
        <v>0</v>
      </c>
      <c r="S22" s="13">
        <v>0</v>
      </c>
      <c r="T22" s="14">
        <v>0</v>
      </c>
      <c r="U22" s="14">
        <v>0</v>
      </c>
      <c r="V22" s="13">
        <v>1.2</v>
      </c>
      <c r="W22" s="16">
        <v>2</v>
      </c>
      <c r="X22" s="16">
        <v>2</v>
      </c>
      <c r="Y22" s="16">
        <v>0</v>
      </c>
      <c r="Z22" s="16">
        <v>0</v>
      </c>
      <c r="AA22" s="16">
        <f>MasterTable[[#This Row],[Landings
Night]]+MasterTable[[#This Row],[Landings
Day]]</f>
        <v>2</v>
      </c>
      <c r="AB22" s="14">
        <v>0</v>
      </c>
      <c r="AC22" s="14">
        <v>0</v>
      </c>
      <c r="AD22" s="15">
        <v>0</v>
      </c>
      <c r="AE22" s="21">
        <f>SUM(MasterTable[[#This Row],[ILS]:[PAR]])</f>
        <v>1</v>
      </c>
      <c r="AF22" s="15">
        <v>1</v>
      </c>
      <c r="AG22" s="15"/>
      <c r="AH22" s="16"/>
      <c r="AI22" s="15"/>
      <c r="AJ22" s="15"/>
      <c r="AK22" s="15"/>
      <c r="AL22" s="15"/>
      <c r="AN22" s="29"/>
      <c r="AO22" s="29"/>
      <c r="AP22" s="29"/>
      <c r="AQ22" s="29"/>
      <c r="AR22" s="140" t="str">
        <f>_xlfn.XLOOKUP(MasterTable[[#This Row],[Aircraft ID]],Aircraft!A:A,Aircraft!H:H)</f>
        <v>Airplane Multi Engine Land</v>
      </c>
      <c r="AS22" s="12" t="b">
        <f>OR((SUM(MasterTable[[#This Row],[ILS]:[PAR]]) = MasterTable[[#This Row],[APPR]]))</f>
        <v>1</v>
      </c>
      <c r="AT22" s="12" t="b">
        <f>NOT(ISBLANK(MasterTable[[#This Row],[Total
Time]]))</f>
        <v>1</v>
      </c>
    </row>
    <row r="23" spans="1:46" s="12" customFormat="1" ht="14.4" customHeight="1" x14ac:dyDescent="0.3">
      <c r="A23" s="19"/>
      <c r="B23" s="53"/>
      <c r="C23" s="20"/>
      <c r="D23" s="22">
        <v>46283</v>
      </c>
      <c r="E23" s="12" t="s">
        <v>375</v>
      </c>
      <c r="F23" s="12" t="s">
        <v>189</v>
      </c>
      <c r="G23" s="12" t="s">
        <v>189</v>
      </c>
      <c r="I23" s="14">
        <v>1.2</v>
      </c>
      <c r="J23" s="13">
        <v>0</v>
      </c>
      <c r="K23" s="14">
        <v>1.2</v>
      </c>
      <c r="L23" s="13">
        <v>0</v>
      </c>
      <c r="M23" s="13">
        <v>0</v>
      </c>
      <c r="N23" s="13"/>
      <c r="O23" s="14">
        <v>0</v>
      </c>
      <c r="P23" s="14">
        <v>1.2</v>
      </c>
      <c r="Q23" s="14">
        <v>0</v>
      </c>
      <c r="R23" s="14">
        <v>0</v>
      </c>
      <c r="S23" s="13">
        <v>0</v>
      </c>
      <c r="T23" s="14">
        <v>0</v>
      </c>
      <c r="U23" s="14">
        <v>0</v>
      </c>
      <c r="V23" s="13">
        <v>1.2</v>
      </c>
      <c r="W23" s="16">
        <v>2</v>
      </c>
      <c r="X23" s="16">
        <v>2</v>
      </c>
      <c r="Y23" s="16">
        <v>0</v>
      </c>
      <c r="Z23" s="16">
        <v>0</v>
      </c>
      <c r="AA23" s="16">
        <f>MasterTable[[#This Row],[Landings
Night]]+MasterTable[[#This Row],[Landings
Day]]</f>
        <v>2</v>
      </c>
      <c r="AB23" s="14">
        <v>0</v>
      </c>
      <c r="AC23" s="14">
        <v>0</v>
      </c>
      <c r="AD23" s="15">
        <v>0</v>
      </c>
      <c r="AE23" s="21">
        <f>SUM(MasterTable[[#This Row],[ILS]:[PAR]])</f>
        <v>0</v>
      </c>
      <c r="AF23" s="15"/>
      <c r="AG23" s="15"/>
      <c r="AH23" s="16"/>
      <c r="AI23" s="15"/>
      <c r="AJ23" s="15"/>
      <c r="AK23" s="15"/>
      <c r="AL23" s="15"/>
      <c r="AN23" s="29"/>
      <c r="AO23" s="29"/>
      <c r="AP23" s="29"/>
      <c r="AQ23" s="29" t="s">
        <v>410</v>
      </c>
      <c r="AR23" s="140" t="str">
        <f>_xlfn.XLOOKUP(MasterTable[[#This Row],[Aircraft ID]],Aircraft!A:A,Aircraft!H:H)</f>
        <v>Airplane Multi Engine Land</v>
      </c>
      <c r="AS23" s="12" t="b">
        <f>OR((SUM(MasterTable[[#This Row],[ILS]:[PAR]]) = MasterTable[[#This Row],[APPR]]))</f>
        <v>1</v>
      </c>
      <c r="AT23" s="12" t="b">
        <f>NOT(ISBLANK(MasterTable[[#This Row],[Total
Time]]))</f>
        <v>1</v>
      </c>
    </row>
    <row r="24" spans="1:46" s="12" customFormat="1" ht="14.4" customHeight="1" x14ac:dyDescent="0.3">
      <c r="A24" s="19"/>
      <c r="B24" s="53"/>
      <c r="C24" s="20"/>
      <c r="D24" s="22">
        <v>46282</v>
      </c>
      <c r="E24" s="12" t="s">
        <v>375</v>
      </c>
      <c r="F24" s="12" t="s">
        <v>189</v>
      </c>
      <c r="G24" s="12" t="s">
        <v>189</v>
      </c>
      <c r="I24" s="14">
        <v>1.1000000000000001</v>
      </c>
      <c r="J24" s="13">
        <v>0</v>
      </c>
      <c r="K24" s="14">
        <v>1.1000000000000001</v>
      </c>
      <c r="L24" s="13">
        <v>0</v>
      </c>
      <c r="M24" s="13">
        <v>0</v>
      </c>
      <c r="N24" s="13"/>
      <c r="O24" s="14">
        <v>0</v>
      </c>
      <c r="P24" s="14">
        <v>1.1000000000000001</v>
      </c>
      <c r="Q24" s="14">
        <v>0</v>
      </c>
      <c r="R24" s="14">
        <v>0</v>
      </c>
      <c r="S24" s="13">
        <v>0</v>
      </c>
      <c r="T24" s="14">
        <v>0</v>
      </c>
      <c r="U24" s="14">
        <v>0</v>
      </c>
      <c r="V24" s="13">
        <v>1.1000000000000001</v>
      </c>
      <c r="W24" s="16">
        <v>1</v>
      </c>
      <c r="X24" s="16">
        <v>1</v>
      </c>
      <c r="Y24" s="16">
        <v>0</v>
      </c>
      <c r="Z24" s="16">
        <v>0</v>
      </c>
      <c r="AA24" s="16">
        <f>MasterTable[[#This Row],[Landings
Night]]+MasterTable[[#This Row],[Landings
Day]]</f>
        <v>1</v>
      </c>
      <c r="AB24" s="14">
        <v>0</v>
      </c>
      <c r="AC24" s="14">
        <v>0</v>
      </c>
      <c r="AD24" s="15">
        <v>0</v>
      </c>
      <c r="AE24" s="21">
        <f>SUM(MasterTable[[#This Row],[ILS]:[PAR]])</f>
        <v>1</v>
      </c>
      <c r="AF24" s="15">
        <v>1</v>
      </c>
      <c r="AG24" s="15"/>
      <c r="AH24" s="16"/>
      <c r="AI24" s="15"/>
      <c r="AJ24" s="15"/>
      <c r="AK24" s="15"/>
      <c r="AL24" s="15"/>
      <c r="AN24" s="29"/>
      <c r="AO24" s="29"/>
      <c r="AP24" s="29"/>
      <c r="AQ24" s="29"/>
      <c r="AR24" s="140" t="str">
        <f>_xlfn.XLOOKUP(MasterTable[[#This Row],[Aircraft ID]],Aircraft!A:A,Aircraft!H:H)</f>
        <v>Airplane Multi Engine Land</v>
      </c>
      <c r="AS24" s="12" t="b">
        <f>OR((SUM(MasterTable[[#This Row],[ILS]:[PAR]]) = MasterTable[[#This Row],[APPR]]))</f>
        <v>1</v>
      </c>
      <c r="AT24" s="12" t="b">
        <f>NOT(ISBLANK(MasterTable[[#This Row],[Total
Time]]))</f>
        <v>1</v>
      </c>
    </row>
    <row r="25" spans="1:46" s="12" customFormat="1" ht="14.4" customHeight="1" x14ac:dyDescent="0.3">
      <c r="A25" s="19"/>
      <c r="B25" s="19"/>
      <c r="C25" s="19"/>
      <c r="D25" s="22">
        <v>46282</v>
      </c>
      <c r="E25" s="12" t="s">
        <v>375</v>
      </c>
      <c r="F25" s="12" t="s">
        <v>189</v>
      </c>
      <c r="G25" s="12" t="s">
        <v>189</v>
      </c>
      <c r="I25" s="14">
        <v>1.1000000000000001</v>
      </c>
      <c r="J25" s="13">
        <v>0</v>
      </c>
      <c r="K25" s="14">
        <v>1.1000000000000001</v>
      </c>
      <c r="L25" s="13">
        <v>0</v>
      </c>
      <c r="M25" s="13">
        <v>0</v>
      </c>
      <c r="N25" s="13"/>
      <c r="O25" s="14">
        <v>0</v>
      </c>
      <c r="P25" s="14">
        <v>1.1000000000000001</v>
      </c>
      <c r="Q25" s="14">
        <v>0</v>
      </c>
      <c r="R25" s="14">
        <v>0</v>
      </c>
      <c r="S25" s="13">
        <v>0</v>
      </c>
      <c r="T25" s="14">
        <v>0</v>
      </c>
      <c r="U25" s="14">
        <v>0</v>
      </c>
      <c r="V25" s="13">
        <v>1.1000000000000001</v>
      </c>
      <c r="W25" s="16">
        <v>1</v>
      </c>
      <c r="X25" s="16">
        <v>1</v>
      </c>
      <c r="Y25" s="16">
        <v>0</v>
      </c>
      <c r="Z25" s="16">
        <v>0</v>
      </c>
      <c r="AA25" s="16">
        <f>MasterTable[[#This Row],[Landings
Night]]+MasterTable[[#This Row],[Landings
Day]]</f>
        <v>1</v>
      </c>
      <c r="AB25" s="14">
        <v>0</v>
      </c>
      <c r="AC25" s="14">
        <v>0</v>
      </c>
      <c r="AD25" s="15">
        <v>0</v>
      </c>
      <c r="AE25" s="21">
        <f>SUM(MasterTable[[#This Row],[ILS]:[PAR]])</f>
        <v>1</v>
      </c>
      <c r="AF25" s="15">
        <v>1</v>
      </c>
      <c r="AG25" s="15"/>
      <c r="AH25" s="16"/>
      <c r="AI25" s="15"/>
      <c r="AJ25" s="15"/>
      <c r="AK25" s="15"/>
      <c r="AL25" s="15"/>
      <c r="AN25" s="29"/>
      <c r="AO25" s="29"/>
      <c r="AP25" s="29"/>
      <c r="AQ25" s="29"/>
      <c r="AR25" s="140" t="str">
        <f>_xlfn.XLOOKUP(MasterTable[[#This Row],[Aircraft ID]],Aircraft!A:A,Aircraft!H:H)</f>
        <v>Airplane Multi Engine Land</v>
      </c>
      <c r="AS25" s="12" t="b">
        <f>OR((SUM(MasterTable[[#This Row],[ILS]:[PAR]]) = MasterTable[[#This Row],[APPR]]))</f>
        <v>1</v>
      </c>
      <c r="AT25" s="12" t="b">
        <f>NOT(ISBLANK(MasterTable[[#This Row],[Total
Time]]))</f>
        <v>1</v>
      </c>
    </row>
    <row r="26" spans="1:46" s="12" customFormat="1" ht="14.4" customHeight="1" x14ac:dyDescent="0.3">
      <c r="A26" s="19"/>
      <c r="B26" s="19"/>
      <c r="C26" s="19"/>
      <c r="D26" s="22">
        <v>46281</v>
      </c>
      <c r="E26" s="12" t="s">
        <v>375</v>
      </c>
      <c r="F26" s="12" t="s">
        <v>189</v>
      </c>
      <c r="G26" s="12" t="s">
        <v>189</v>
      </c>
      <c r="I26" s="14">
        <v>1.1000000000000001</v>
      </c>
      <c r="J26" s="13">
        <v>0</v>
      </c>
      <c r="K26" s="14">
        <v>1.1000000000000001</v>
      </c>
      <c r="L26" s="13">
        <v>0</v>
      </c>
      <c r="M26" s="13">
        <v>0</v>
      </c>
      <c r="N26" s="13"/>
      <c r="O26" s="14">
        <v>0</v>
      </c>
      <c r="P26" s="14">
        <v>1.1000000000000001</v>
      </c>
      <c r="Q26" s="14">
        <v>0</v>
      </c>
      <c r="R26" s="14">
        <v>0</v>
      </c>
      <c r="S26" s="13">
        <v>0</v>
      </c>
      <c r="T26" s="14">
        <v>0</v>
      </c>
      <c r="U26" s="14">
        <v>0</v>
      </c>
      <c r="V26" s="13">
        <v>1.1000000000000001</v>
      </c>
      <c r="W26" s="16">
        <v>1</v>
      </c>
      <c r="X26" s="16">
        <v>1</v>
      </c>
      <c r="Y26" s="16">
        <v>0</v>
      </c>
      <c r="Z26" s="16">
        <v>0</v>
      </c>
      <c r="AA26" s="16">
        <f>MasterTable[[#This Row],[Landings
Night]]+MasterTable[[#This Row],[Landings
Day]]</f>
        <v>1</v>
      </c>
      <c r="AB26" s="14">
        <v>0</v>
      </c>
      <c r="AC26" s="14">
        <v>0</v>
      </c>
      <c r="AD26" s="15">
        <v>0</v>
      </c>
      <c r="AE26" s="21">
        <f>SUM(MasterTable[[#This Row],[ILS]:[PAR]])</f>
        <v>1</v>
      </c>
      <c r="AF26" s="15">
        <v>1</v>
      </c>
      <c r="AG26" s="15"/>
      <c r="AH26" s="16"/>
      <c r="AI26" s="15"/>
      <c r="AJ26" s="15"/>
      <c r="AK26" s="15"/>
      <c r="AL26" s="15"/>
      <c r="AN26" s="29"/>
      <c r="AO26" s="29"/>
      <c r="AP26" s="29"/>
      <c r="AQ26" s="29"/>
      <c r="AR26" s="140" t="str">
        <f>_xlfn.XLOOKUP(MasterTable[[#This Row],[Aircraft ID]],Aircraft!A:A,Aircraft!H:H)</f>
        <v>Airplane Multi Engine Land</v>
      </c>
      <c r="AS26" s="12" t="b">
        <f>OR((SUM(MasterTable[[#This Row],[ILS]:[PAR]]) = MasterTable[[#This Row],[APPR]]))</f>
        <v>1</v>
      </c>
      <c r="AT26" s="12" t="b">
        <f>NOT(ISBLANK(MasterTable[[#This Row],[Total
Time]]))</f>
        <v>1</v>
      </c>
    </row>
    <row r="27" spans="1:46" s="12" customFormat="1" ht="13.8" customHeight="1" x14ac:dyDescent="0.3">
      <c r="A27" s="19"/>
      <c r="B27" s="19"/>
      <c r="C27" s="19"/>
      <c r="D27" s="22">
        <v>46281</v>
      </c>
      <c r="E27" s="12" t="s">
        <v>375</v>
      </c>
      <c r="F27" s="12" t="s">
        <v>189</v>
      </c>
      <c r="G27" s="12" t="s">
        <v>189</v>
      </c>
      <c r="I27" s="14">
        <v>1.1000000000000001</v>
      </c>
      <c r="J27" s="13">
        <v>1.1000000000000001</v>
      </c>
      <c r="K27" s="14">
        <v>1.1000000000000001</v>
      </c>
      <c r="L27" s="13">
        <v>0</v>
      </c>
      <c r="M27" s="13">
        <v>0</v>
      </c>
      <c r="N27" s="13"/>
      <c r="O27" s="14">
        <v>0</v>
      </c>
      <c r="P27" s="14">
        <v>0</v>
      </c>
      <c r="Q27" s="14">
        <v>0</v>
      </c>
      <c r="R27" s="14">
        <v>0</v>
      </c>
      <c r="S27" s="13">
        <v>0</v>
      </c>
      <c r="T27" s="14">
        <v>0</v>
      </c>
      <c r="U27" s="14">
        <v>0</v>
      </c>
      <c r="V27" s="13">
        <v>1.1000000000000001</v>
      </c>
      <c r="W27" s="16">
        <v>1</v>
      </c>
      <c r="X27" s="16">
        <v>1</v>
      </c>
      <c r="Y27" s="16">
        <v>0</v>
      </c>
      <c r="Z27" s="16">
        <v>0</v>
      </c>
      <c r="AA27" s="16">
        <f>MasterTable[[#This Row],[Landings
Night]]+MasterTable[[#This Row],[Landings
Day]]</f>
        <v>1</v>
      </c>
      <c r="AB27" s="14">
        <v>0</v>
      </c>
      <c r="AC27" s="14">
        <v>0</v>
      </c>
      <c r="AD27" s="15">
        <v>0</v>
      </c>
      <c r="AE27" s="21">
        <f>SUM(MasterTable[[#This Row],[ILS]:[PAR]])</f>
        <v>0</v>
      </c>
      <c r="AF27" s="15"/>
      <c r="AG27" s="15"/>
      <c r="AH27" s="16"/>
      <c r="AI27" s="15"/>
      <c r="AJ27" s="15"/>
      <c r="AK27" s="15"/>
      <c r="AL27" s="15"/>
      <c r="AN27" s="29"/>
      <c r="AO27" s="29"/>
      <c r="AP27" s="29"/>
      <c r="AQ27" s="29"/>
      <c r="AR27" s="140" t="str">
        <f>_xlfn.XLOOKUP(MasterTable[[#This Row],[Aircraft ID]],Aircraft!A:A,Aircraft!H:H)</f>
        <v>Airplane Multi Engine Land</v>
      </c>
      <c r="AS27" s="12" t="b">
        <f>OR((SUM(MasterTable[[#This Row],[ILS]:[PAR]]) = MasterTable[[#This Row],[APPR]]))</f>
        <v>1</v>
      </c>
      <c r="AT27" s="12" t="b">
        <f>NOT(ISBLANK(MasterTable[[#This Row],[Total
Time]]))</f>
        <v>1</v>
      </c>
    </row>
    <row r="28" spans="1:46" s="12" customFormat="1" ht="14.4" customHeight="1" x14ac:dyDescent="0.3">
      <c r="A28" s="19"/>
      <c r="B28" s="19"/>
      <c r="C28" s="19"/>
      <c r="D28" s="22">
        <v>46280</v>
      </c>
      <c r="E28" s="12" t="s">
        <v>375</v>
      </c>
      <c r="F28" s="12" t="s">
        <v>189</v>
      </c>
      <c r="G28" s="12" t="s">
        <v>189</v>
      </c>
      <c r="I28" s="14">
        <v>1.2</v>
      </c>
      <c r="J28" s="13">
        <v>0</v>
      </c>
      <c r="K28" s="14">
        <v>1.2</v>
      </c>
      <c r="L28" s="13">
        <v>0</v>
      </c>
      <c r="M28" s="13">
        <v>0</v>
      </c>
      <c r="N28" s="13"/>
      <c r="O28" s="14">
        <v>0</v>
      </c>
      <c r="P28" s="14">
        <v>1.2</v>
      </c>
      <c r="Q28" s="14">
        <v>0</v>
      </c>
      <c r="R28" s="14">
        <v>0</v>
      </c>
      <c r="S28" s="13">
        <v>0</v>
      </c>
      <c r="T28" s="14">
        <v>0</v>
      </c>
      <c r="U28" s="14">
        <v>0</v>
      </c>
      <c r="V28" s="13">
        <v>1.2</v>
      </c>
      <c r="W28" s="16">
        <v>1</v>
      </c>
      <c r="X28" s="16">
        <v>1</v>
      </c>
      <c r="Y28" s="16">
        <v>0</v>
      </c>
      <c r="Z28" s="16">
        <v>0</v>
      </c>
      <c r="AA28" s="16">
        <f>MasterTable[[#This Row],[Landings
Night]]+MasterTable[[#This Row],[Landings
Day]]</f>
        <v>1</v>
      </c>
      <c r="AB28" s="14">
        <v>0</v>
      </c>
      <c r="AC28" s="14">
        <v>0</v>
      </c>
      <c r="AD28" s="15">
        <v>0</v>
      </c>
      <c r="AE28" s="21">
        <f>SUM(MasterTable[[#This Row],[ILS]:[PAR]])</f>
        <v>1</v>
      </c>
      <c r="AF28" s="15"/>
      <c r="AG28" s="15"/>
      <c r="AH28" s="16"/>
      <c r="AI28" s="15">
        <v>1</v>
      </c>
      <c r="AJ28" s="15"/>
      <c r="AK28" s="15"/>
      <c r="AL28" s="15"/>
      <c r="AN28" s="29"/>
      <c r="AO28" s="29"/>
      <c r="AP28" s="29"/>
      <c r="AQ28" s="29"/>
      <c r="AR28" s="140" t="str">
        <f>_xlfn.XLOOKUP(MasterTable[[#This Row],[Aircraft ID]],Aircraft!A:A,Aircraft!H:H)</f>
        <v>Airplane Multi Engine Land</v>
      </c>
      <c r="AS28" s="12" t="b">
        <f>OR((SUM(MasterTable[[#This Row],[ILS]:[PAR]]) = MasterTable[[#This Row],[APPR]]))</f>
        <v>1</v>
      </c>
      <c r="AT28" s="12" t="b">
        <f>NOT(ISBLANK(MasterTable[[#This Row],[Total
Time]]))</f>
        <v>1</v>
      </c>
    </row>
    <row r="29" spans="1:46" s="12" customFormat="1" ht="14.4" customHeight="1" x14ac:dyDescent="0.3">
      <c r="A29" s="19"/>
      <c r="B29" s="19"/>
      <c r="C29" s="19"/>
      <c r="D29" s="22">
        <v>46280</v>
      </c>
      <c r="E29" s="12" t="s">
        <v>375</v>
      </c>
      <c r="F29" s="12" t="s">
        <v>189</v>
      </c>
      <c r="G29" s="12" t="s">
        <v>189</v>
      </c>
      <c r="I29" s="14">
        <v>1.1000000000000001</v>
      </c>
      <c r="J29" s="13">
        <v>0</v>
      </c>
      <c r="K29" s="14">
        <v>1.1000000000000001</v>
      </c>
      <c r="L29" s="13">
        <v>0</v>
      </c>
      <c r="M29" s="13">
        <v>0</v>
      </c>
      <c r="N29" s="13"/>
      <c r="O29" s="14">
        <v>0</v>
      </c>
      <c r="P29" s="14">
        <v>1.1000000000000001</v>
      </c>
      <c r="Q29" s="14">
        <v>0</v>
      </c>
      <c r="R29" s="14">
        <v>0</v>
      </c>
      <c r="S29" s="13">
        <v>0</v>
      </c>
      <c r="T29" s="14">
        <v>0</v>
      </c>
      <c r="U29" s="14">
        <v>0</v>
      </c>
      <c r="V29" s="13">
        <v>1.1000000000000001</v>
      </c>
      <c r="W29" s="16">
        <v>1</v>
      </c>
      <c r="X29" s="16">
        <v>1</v>
      </c>
      <c r="Y29" s="16">
        <v>0</v>
      </c>
      <c r="Z29" s="16">
        <v>0</v>
      </c>
      <c r="AA29" s="16">
        <f>MasterTable[[#This Row],[Landings
Night]]+MasterTable[[#This Row],[Landings
Day]]</f>
        <v>1</v>
      </c>
      <c r="AB29" s="14">
        <v>0</v>
      </c>
      <c r="AC29" s="14">
        <v>0</v>
      </c>
      <c r="AD29" s="15">
        <v>0</v>
      </c>
      <c r="AE29" s="21">
        <f>SUM(MasterTable[[#This Row],[ILS]:[PAR]])</f>
        <v>1</v>
      </c>
      <c r="AF29" s="15">
        <v>1</v>
      </c>
      <c r="AG29" s="15"/>
      <c r="AH29" s="16"/>
      <c r="AI29" s="15"/>
      <c r="AJ29" s="15"/>
      <c r="AK29" s="15"/>
      <c r="AL29" s="15"/>
      <c r="AN29" s="29"/>
      <c r="AO29" s="29"/>
      <c r="AP29" s="29"/>
      <c r="AQ29" s="29"/>
      <c r="AR29" s="140" t="str">
        <f>_xlfn.XLOOKUP(MasterTable[[#This Row],[Aircraft ID]],Aircraft!A:A,Aircraft!H:H)</f>
        <v>Airplane Multi Engine Land</v>
      </c>
      <c r="AS29" s="12" t="b">
        <f>OR((SUM(MasterTable[[#This Row],[ILS]:[PAR]]) = MasterTable[[#This Row],[APPR]]))</f>
        <v>1</v>
      </c>
      <c r="AT29" s="12" t="b">
        <f>NOT(ISBLANK(MasterTable[[#This Row],[Total
Time]]))</f>
        <v>1</v>
      </c>
    </row>
    <row r="30" spans="1:46" s="12" customFormat="1" ht="14.4" customHeight="1" x14ac:dyDescent="0.3">
      <c r="A30" s="19"/>
      <c r="B30" s="19"/>
      <c r="C30" s="19"/>
      <c r="D30" s="22">
        <v>46275</v>
      </c>
      <c r="E30" s="12" t="s">
        <v>375</v>
      </c>
      <c r="F30" s="12" t="s">
        <v>189</v>
      </c>
      <c r="G30" s="12" t="s">
        <v>189</v>
      </c>
      <c r="I30" s="14">
        <v>1.2</v>
      </c>
      <c r="J30" s="13">
        <v>0</v>
      </c>
      <c r="K30" s="14">
        <v>1.2</v>
      </c>
      <c r="L30" s="13">
        <v>0</v>
      </c>
      <c r="M30" s="13">
        <v>0</v>
      </c>
      <c r="N30" s="13"/>
      <c r="O30" s="14">
        <v>0</v>
      </c>
      <c r="P30" s="14">
        <v>1.2</v>
      </c>
      <c r="Q30" s="14">
        <v>0</v>
      </c>
      <c r="R30" s="14">
        <v>0</v>
      </c>
      <c r="S30" s="13">
        <v>0</v>
      </c>
      <c r="T30" s="14">
        <v>0</v>
      </c>
      <c r="U30" s="14">
        <v>0</v>
      </c>
      <c r="V30" s="13">
        <v>1.2</v>
      </c>
      <c r="W30" s="16">
        <v>1</v>
      </c>
      <c r="X30" s="16">
        <v>1</v>
      </c>
      <c r="Y30" s="16">
        <v>0</v>
      </c>
      <c r="Z30" s="16">
        <v>0</v>
      </c>
      <c r="AA30" s="16">
        <f>MasterTable[[#This Row],[Landings
Night]]+MasterTable[[#This Row],[Landings
Day]]</f>
        <v>1</v>
      </c>
      <c r="AB30" s="14">
        <v>0</v>
      </c>
      <c r="AC30" s="14">
        <v>0</v>
      </c>
      <c r="AD30" s="15">
        <v>0</v>
      </c>
      <c r="AE30" s="21">
        <f>SUM(MasterTable[[#This Row],[ILS]:[PAR]])</f>
        <v>1</v>
      </c>
      <c r="AF30" s="15">
        <v>1</v>
      </c>
      <c r="AG30" s="15"/>
      <c r="AH30" s="16"/>
      <c r="AI30" s="15"/>
      <c r="AJ30" s="15"/>
      <c r="AK30" s="15"/>
      <c r="AL30" s="15"/>
      <c r="AN30" s="29"/>
      <c r="AO30" s="29"/>
      <c r="AP30" s="29"/>
      <c r="AQ30" s="29"/>
      <c r="AR30" s="140" t="str">
        <f>_xlfn.XLOOKUP(MasterTable[[#This Row],[Aircraft ID]],Aircraft!A:A,Aircraft!H:H)</f>
        <v>Airplane Multi Engine Land</v>
      </c>
      <c r="AS30" s="12" t="b">
        <f>OR((SUM(MasterTable[[#This Row],[ILS]:[PAR]]) = MasterTable[[#This Row],[APPR]]))</f>
        <v>1</v>
      </c>
      <c r="AT30" s="12" t="b">
        <f>NOT(ISBLANK(MasterTable[[#This Row],[Total
Time]]))</f>
        <v>1</v>
      </c>
    </row>
    <row r="31" spans="1:46" s="12" customFormat="1" ht="14.4" customHeight="1" x14ac:dyDescent="0.3">
      <c r="A31" s="19"/>
      <c r="B31" s="19"/>
      <c r="C31" s="19"/>
      <c r="D31" s="22">
        <v>46275</v>
      </c>
      <c r="E31" s="12" t="s">
        <v>375</v>
      </c>
      <c r="F31" s="12" t="s">
        <v>189</v>
      </c>
      <c r="G31" s="12" t="s">
        <v>189</v>
      </c>
      <c r="I31" s="14">
        <v>1</v>
      </c>
      <c r="J31" s="13">
        <v>0</v>
      </c>
      <c r="K31" s="14">
        <v>1</v>
      </c>
      <c r="L31" s="13">
        <v>0</v>
      </c>
      <c r="M31" s="13">
        <v>0</v>
      </c>
      <c r="N31" s="13"/>
      <c r="O31" s="14">
        <v>0</v>
      </c>
      <c r="P31" s="14">
        <v>1</v>
      </c>
      <c r="Q31" s="14">
        <v>0</v>
      </c>
      <c r="R31" s="14">
        <v>0</v>
      </c>
      <c r="S31" s="13">
        <v>0</v>
      </c>
      <c r="T31" s="14">
        <v>0</v>
      </c>
      <c r="U31" s="14">
        <v>0</v>
      </c>
      <c r="V31" s="13">
        <v>1</v>
      </c>
      <c r="W31" s="16">
        <v>2</v>
      </c>
      <c r="X31" s="16">
        <v>2</v>
      </c>
      <c r="Y31" s="16">
        <v>0</v>
      </c>
      <c r="Z31" s="16">
        <v>0</v>
      </c>
      <c r="AA31" s="16">
        <f>MasterTable[[#This Row],[Landings
Night]]+MasterTable[[#This Row],[Landings
Day]]</f>
        <v>2</v>
      </c>
      <c r="AB31" s="14">
        <v>0</v>
      </c>
      <c r="AC31" s="14">
        <v>0</v>
      </c>
      <c r="AD31" s="15">
        <v>0</v>
      </c>
      <c r="AE31" s="21">
        <f>SUM(MasterTable[[#This Row],[ILS]:[PAR]])</f>
        <v>1</v>
      </c>
      <c r="AF31" s="15"/>
      <c r="AG31" s="15"/>
      <c r="AH31" s="16"/>
      <c r="AI31" s="15">
        <v>1</v>
      </c>
      <c r="AJ31" s="15"/>
      <c r="AK31" s="15"/>
      <c r="AL31" s="15"/>
      <c r="AN31" s="29"/>
      <c r="AO31" s="29"/>
      <c r="AP31" s="29"/>
      <c r="AQ31" s="29"/>
      <c r="AR31" s="140" t="str">
        <f>_xlfn.XLOOKUP(MasterTable[[#This Row],[Aircraft ID]],Aircraft!A:A,Aircraft!H:H)</f>
        <v>Airplane Multi Engine Land</v>
      </c>
      <c r="AS31" s="12" t="b">
        <f>OR((SUM(MasterTable[[#This Row],[ILS]:[PAR]]) = MasterTable[[#This Row],[APPR]]))</f>
        <v>1</v>
      </c>
      <c r="AT31" s="12" t="b">
        <f>NOT(ISBLANK(MasterTable[[#This Row],[Total
Time]]))</f>
        <v>1</v>
      </c>
    </row>
    <row r="32" spans="1:46" s="12" customFormat="1" ht="14.4" customHeight="1" x14ac:dyDescent="0.3">
      <c r="A32" s="19"/>
      <c r="B32" s="19"/>
      <c r="C32" s="19"/>
      <c r="D32" s="22">
        <v>46274</v>
      </c>
      <c r="E32" s="12" t="s">
        <v>375</v>
      </c>
      <c r="F32" s="12" t="s">
        <v>189</v>
      </c>
      <c r="G32" s="12" t="s">
        <v>189</v>
      </c>
      <c r="I32" s="14">
        <v>1</v>
      </c>
      <c r="J32" s="13">
        <v>1</v>
      </c>
      <c r="K32" s="14">
        <v>1</v>
      </c>
      <c r="L32" s="13">
        <v>0</v>
      </c>
      <c r="M32" s="13">
        <v>0</v>
      </c>
      <c r="N32" s="13"/>
      <c r="O32" s="14">
        <v>0</v>
      </c>
      <c r="P32" s="14">
        <v>0</v>
      </c>
      <c r="Q32" s="14">
        <v>0</v>
      </c>
      <c r="R32" s="14">
        <v>0</v>
      </c>
      <c r="S32" s="13">
        <v>0</v>
      </c>
      <c r="T32" s="14">
        <v>0</v>
      </c>
      <c r="U32" s="14">
        <v>0</v>
      </c>
      <c r="V32" s="13">
        <v>1</v>
      </c>
      <c r="W32" s="16">
        <v>1</v>
      </c>
      <c r="X32" s="16">
        <v>1</v>
      </c>
      <c r="Y32" s="16">
        <v>0</v>
      </c>
      <c r="Z32" s="16">
        <v>0</v>
      </c>
      <c r="AA32" s="16">
        <f>MasterTable[[#This Row],[Landings
Night]]+MasterTable[[#This Row],[Landings
Day]]</f>
        <v>1</v>
      </c>
      <c r="AB32" s="14">
        <v>0</v>
      </c>
      <c r="AC32" s="14">
        <v>0</v>
      </c>
      <c r="AD32" s="15">
        <v>0</v>
      </c>
      <c r="AE32" s="21">
        <f>SUM(MasterTable[[#This Row],[ILS]:[PAR]])</f>
        <v>1</v>
      </c>
      <c r="AF32" s="15">
        <v>1</v>
      </c>
      <c r="AG32" s="15"/>
      <c r="AH32" s="16"/>
      <c r="AI32" s="15"/>
      <c r="AJ32" s="15"/>
      <c r="AK32" s="15"/>
      <c r="AL32" s="15"/>
      <c r="AN32" s="29"/>
      <c r="AO32" s="29"/>
      <c r="AP32" s="29"/>
      <c r="AQ32" s="29"/>
      <c r="AR32" s="140" t="str">
        <f>_xlfn.XLOOKUP(MasterTable[[#This Row],[Aircraft ID]],Aircraft!A:A,Aircraft!H:H)</f>
        <v>Airplane Multi Engine Land</v>
      </c>
      <c r="AS32" s="12" t="b">
        <f>OR((SUM(MasterTable[[#This Row],[ILS]:[PAR]]) = MasterTable[[#This Row],[APPR]]))</f>
        <v>1</v>
      </c>
      <c r="AT32" s="12" t="b">
        <f>NOT(ISBLANK(MasterTable[[#This Row],[Total
Time]]))</f>
        <v>1</v>
      </c>
    </row>
    <row r="33" spans="1:46" s="12" customFormat="1" ht="14.4" customHeight="1" x14ac:dyDescent="0.3">
      <c r="A33" s="19"/>
      <c r="B33" s="19"/>
      <c r="C33" s="19"/>
      <c r="D33" s="22">
        <v>46274</v>
      </c>
      <c r="E33" s="12" t="s">
        <v>375</v>
      </c>
      <c r="F33" s="12" t="s">
        <v>189</v>
      </c>
      <c r="G33" s="12" t="s">
        <v>189</v>
      </c>
      <c r="I33" s="14">
        <v>1.2</v>
      </c>
      <c r="J33" s="13">
        <v>0</v>
      </c>
      <c r="K33" s="14">
        <v>1.2</v>
      </c>
      <c r="L33" s="13">
        <v>0</v>
      </c>
      <c r="M33" s="13">
        <v>0</v>
      </c>
      <c r="N33" s="13"/>
      <c r="O33" s="14">
        <v>0</v>
      </c>
      <c r="P33" s="14">
        <v>1.2</v>
      </c>
      <c r="Q33" s="14">
        <v>0</v>
      </c>
      <c r="R33" s="14">
        <v>0</v>
      </c>
      <c r="S33" s="13">
        <v>0</v>
      </c>
      <c r="T33" s="14">
        <v>0</v>
      </c>
      <c r="U33" s="14">
        <v>0</v>
      </c>
      <c r="V33" s="13">
        <v>1.2</v>
      </c>
      <c r="W33" s="16">
        <v>1</v>
      </c>
      <c r="X33" s="16">
        <v>1</v>
      </c>
      <c r="Y33" s="16">
        <v>0</v>
      </c>
      <c r="Z33" s="16">
        <v>0</v>
      </c>
      <c r="AA33" s="16">
        <f>MasterTable[[#This Row],[Landings
Night]]+MasterTable[[#This Row],[Landings
Day]]</f>
        <v>1</v>
      </c>
      <c r="AB33" s="14">
        <v>0</v>
      </c>
      <c r="AC33" s="14">
        <v>0</v>
      </c>
      <c r="AD33" s="15">
        <v>0</v>
      </c>
      <c r="AE33" s="21">
        <f>SUM(MasterTable[[#This Row],[ILS]:[PAR]])</f>
        <v>0</v>
      </c>
      <c r="AF33" s="15"/>
      <c r="AG33" s="15"/>
      <c r="AH33" s="16"/>
      <c r="AI33" s="15"/>
      <c r="AJ33" s="15"/>
      <c r="AK33" s="15"/>
      <c r="AL33" s="15"/>
      <c r="AN33" s="29"/>
      <c r="AO33" s="29"/>
      <c r="AP33" s="29"/>
      <c r="AQ33" s="29"/>
      <c r="AR33" s="140" t="str">
        <f>_xlfn.XLOOKUP(MasterTable[[#This Row],[Aircraft ID]],Aircraft!A:A,Aircraft!H:H)</f>
        <v>Airplane Multi Engine Land</v>
      </c>
      <c r="AS33" s="12" t="b">
        <f>OR((SUM(MasterTable[[#This Row],[ILS]:[PAR]]) = MasterTable[[#This Row],[APPR]]))</f>
        <v>1</v>
      </c>
      <c r="AT33" s="12" t="b">
        <f>NOT(ISBLANK(MasterTable[[#This Row],[Total
Time]]))</f>
        <v>1</v>
      </c>
    </row>
    <row r="34" spans="1:46" s="12" customFormat="1" ht="14.4" customHeight="1" x14ac:dyDescent="0.3">
      <c r="A34" s="19"/>
      <c r="B34" s="19"/>
      <c r="C34" s="19"/>
      <c r="D34" s="22">
        <v>46269</v>
      </c>
      <c r="E34" s="12" t="s">
        <v>375</v>
      </c>
      <c r="F34" s="12" t="s">
        <v>189</v>
      </c>
      <c r="G34" s="12" t="s">
        <v>189</v>
      </c>
      <c r="I34" s="14">
        <v>1.2</v>
      </c>
      <c r="J34" s="13">
        <v>0</v>
      </c>
      <c r="K34" s="14">
        <v>1.2</v>
      </c>
      <c r="L34" s="13">
        <v>0</v>
      </c>
      <c r="M34" s="13">
        <v>0</v>
      </c>
      <c r="N34" s="13"/>
      <c r="O34" s="14">
        <v>0</v>
      </c>
      <c r="P34" s="14">
        <v>1.2</v>
      </c>
      <c r="Q34" s="14">
        <v>0</v>
      </c>
      <c r="R34" s="14">
        <v>0</v>
      </c>
      <c r="S34" s="13">
        <v>0</v>
      </c>
      <c r="T34" s="14">
        <v>0</v>
      </c>
      <c r="U34" s="14">
        <v>0</v>
      </c>
      <c r="V34" s="13">
        <v>1.2</v>
      </c>
      <c r="W34" s="16">
        <v>1</v>
      </c>
      <c r="X34" s="16">
        <v>1</v>
      </c>
      <c r="Y34" s="16">
        <v>0</v>
      </c>
      <c r="Z34" s="16">
        <v>0</v>
      </c>
      <c r="AA34" s="16">
        <f>MasterTable[[#This Row],[Landings
Night]]+MasterTable[[#This Row],[Landings
Day]]</f>
        <v>1</v>
      </c>
      <c r="AB34" s="14">
        <v>0</v>
      </c>
      <c r="AC34" s="14">
        <v>0</v>
      </c>
      <c r="AD34" s="15">
        <v>0</v>
      </c>
      <c r="AE34" s="21">
        <f>SUM(MasterTable[[#This Row],[ILS]:[PAR]])</f>
        <v>1</v>
      </c>
      <c r="AF34" s="15">
        <v>1</v>
      </c>
      <c r="AG34" s="15"/>
      <c r="AH34" s="16"/>
      <c r="AI34" s="15"/>
      <c r="AJ34" s="15"/>
      <c r="AK34" s="15"/>
      <c r="AL34" s="15"/>
      <c r="AN34" s="29"/>
      <c r="AO34" s="29"/>
      <c r="AP34" s="29"/>
      <c r="AQ34" s="29"/>
      <c r="AR34" s="140" t="str">
        <f>_xlfn.XLOOKUP(MasterTable[[#This Row],[Aircraft ID]],Aircraft!A:A,Aircraft!H:H)</f>
        <v>Airplane Multi Engine Land</v>
      </c>
      <c r="AS34" s="12" t="b">
        <f>OR((SUM(MasterTable[[#This Row],[ILS]:[PAR]]) = MasterTable[[#This Row],[APPR]]))</f>
        <v>1</v>
      </c>
      <c r="AT34" s="12" t="b">
        <f>NOT(ISBLANK(MasterTable[[#This Row],[Total
Time]]))</f>
        <v>1</v>
      </c>
    </row>
    <row r="35" spans="1:46" s="12" customFormat="1" ht="14.4" customHeight="1" x14ac:dyDescent="0.3">
      <c r="A35" s="19"/>
      <c r="B35" s="19"/>
      <c r="C35" s="19"/>
      <c r="D35" s="22">
        <v>46268</v>
      </c>
      <c r="E35" s="12" t="s">
        <v>375</v>
      </c>
      <c r="F35" s="12" t="s">
        <v>189</v>
      </c>
      <c r="G35" s="12" t="s">
        <v>189</v>
      </c>
      <c r="I35" s="14">
        <v>1.2</v>
      </c>
      <c r="J35" s="13">
        <v>0</v>
      </c>
      <c r="K35" s="14">
        <v>1.2</v>
      </c>
      <c r="L35" s="13">
        <v>0</v>
      </c>
      <c r="M35" s="13">
        <v>0</v>
      </c>
      <c r="N35" s="13"/>
      <c r="O35" s="14">
        <v>0</v>
      </c>
      <c r="P35" s="14">
        <v>1.2</v>
      </c>
      <c r="Q35" s="14">
        <v>0</v>
      </c>
      <c r="R35" s="14">
        <v>0</v>
      </c>
      <c r="S35" s="13">
        <v>0</v>
      </c>
      <c r="T35" s="14">
        <v>0</v>
      </c>
      <c r="U35" s="14">
        <v>0</v>
      </c>
      <c r="V35" s="13">
        <v>1.2</v>
      </c>
      <c r="W35" s="16">
        <v>1</v>
      </c>
      <c r="X35" s="16">
        <v>1</v>
      </c>
      <c r="Y35" s="16">
        <v>0</v>
      </c>
      <c r="Z35" s="16">
        <v>0</v>
      </c>
      <c r="AA35" s="16">
        <f>MasterTable[[#This Row],[Landings
Night]]+MasterTable[[#This Row],[Landings
Day]]</f>
        <v>1</v>
      </c>
      <c r="AB35" s="14">
        <v>0</v>
      </c>
      <c r="AC35" s="14">
        <v>0</v>
      </c>
      <c r="AD35" s="15">
        <v>0</v>
      </c>
      <c r="AE35" s="21">
        <f>SUM(MasterTable[[#This Row],[ILS]:[PAR]])</f>
        <v>0</v>
      </c>
      <c r="AF35" s="15"/>
      <c r="AG35" s="15"/>
      <c r="AH35" s="16"/>
      <c r="AI35" s="15"/>
      <c r="AJ35" s="15"/>
      <c r="AK35" s="15"/>
      <c r="AL35" s="15"/>
      <c r="AN35" s="29"/>
      <c r="AO35" s="29"/>
      <c r="AP35" s="29"/>
      <c r="AQ35" s="29"/>
      <c r="AR35" s="140" t="str">
        <f>_xlfn.XLOOKUP(MasterTable[[#This Row],[Aircraft ID]],Aircraft!A:A,Aircraft!H:H)</f>
        <v>Airplane Multi Engine Land</v>
      </c>
      <c r="AS35" s="12" t="b">
        <f>OR((SUM(MasterTable[[#This Row],[ILS]:[PAR]]) = MasterTable[[#This Row],[APPR]]))</f>
        <v>1</v>
      </c>
      <c r="AT35" s="12" t="b">
        <f>NOT(ISBLANK(MasterTable[[#This Row],[Total
Time]]))</f>
        <v>1</v>
      </c>
    </row>
    <row r="36" spans="1:46" s="12" customFormat="1" ht="14.4" customHeight="1" x14ac:dyDescent="0.3">
      <c r="A36" s="19"/>
      <c r="B36" s="19"/>
      <c r="C36" s="19"/>
      <c r="D36" s="22">
        <v>46267</v>
      </c>
      <c r="E36" s="12" t="s">
        <v>375</v>
      </c>
      <c r="F36" s="12" t="s">
        <v>189</v>
      </c>
      <c r="G36" s="12" t="s">
        <v>189</v>
      </c>
      <c r="I36" s="14">
        <v>0.9</v>
      </c>
      <c r="J36" s="13">
        <v>0.9</v>
      </c>
      <c r="K36" s="14">
        <v>0.9</v>
      </c>
      <c r="L36" s="13">
        <v>0</v>
      </c>
      <c r="M36" s="13">
        <v>0</v>
      </c>
      <c r="N36" s="13"/>
      <c r="O36" s="14">
        <v>0</v>
      </c>
      <c r="P36" s="14">
        <v>0</v>
      </c>
      <c r="Q36" s="14">
        <v>0</v>
      </c>
      <c r="R36" s="14">
        <v>0</v>
      </c>
      <c r="S36" s="13">
        <v>0</v>
      </c>
      <c r="T36" s="14">
        <v>0</v>
      </c>
      <c r="U36" s="14">
        <v>0</v>
      </c>
      <c r="V36" s="13">
        <v>0.9</v>
      </c>
      <c r="W36" s="16">
        <v>1</v>
      </c>
      <c r="X36" s="16">
        <v>1</v>
      </c>
      <c r="Y36" s="16">
        <v>0</v>
      </c>
      <c r="Z36" s="16">
        <v>0</v>
      </c>
      <c r="AA36" s="16">
        <f>MasterTable[[#This Row],[Landings
Night]]+MasterTable[[#This Row],[Landings
Day]]</f>
        <v>1</v>
      </c>
      <c r="AB36" s="14">
        <v>0</v>
      </c>
      <c r="AC36" s="14">
        <v>0</v>
      </c>
      <c r="AD36" s="15">
        <v>0</v>
      </c>
      <c r="AE36" s="21">
        <f>SUM(MasterTable[[#This Row],[ILS]:[PAR]])</f>
        <v>1</v>
      </c>
      <c r="AF36" s="15">
        <v>1</v>
      </c>
      <c r="AG36" s="15"/>
      <c r="AH36" s="16"/>
      <c r="AI36" s="15"/>
      <c r="AJ36" s="15"/>
      <c r="AK36" s="15"/>
      <c r="AL36" s="15"/>
      <c r="AN36" s="29"/>
      <c r="AO36" s="29"/>
      <c r="AP36" s="29"/>
      <c r="AQ36" s="29"/>
      <c r="AR36" s="140" t="str">
        <f>_xlfn.XLOOKUP(MasterTable[[#This Row],[Aircraft ID]],Aircraft!A:A,Aircraft!H:H)</f>
        <v>Airplane Multi Engine Land</v>
      </c>
      <c r="AS36" s="12" t="b">
        <f>OR((SUM(MasterTable[[#This Row],[ILS]:[PAR]]) = MasterTable[[#This Row],[APPR]]))</f>
        <v>1</v>
      </c>
      <c r="AT36" s="12" t="b">
        <f>NOT(ISBLANK(MasterTable[[#This Row],[Total
Time]]))</f>
        <v>1</v>
      </c>
    </row>
    <row r="37" spans="1:46" s="12" customFormat="1" ht="14.4" customHeight="1" x14ac:dyDescent="0.3">
      <c r="A37" s="19"/>
      <c r="B37" s="19"/>
      <c r="C37" s="19"/>
      <c r="D37" s="22">
        <v>46266</v>
      </c>
      <c r="E37" s="12" t="s">
        <v>375</v>
      </c>
      <c r="F37" s="12" t="s">
        <v>189</v>
      </c>
      <c r="G37" s="12" t="s">
        <v>189</v>
      </c>
      <c r="I37" s="14">
        <v>1.1000000000000001</v>
      </c>
      <c r="J37" s="13">
        <v>0</v>
      </c>
      <c r="K37" s="14">
        <v>1.1000000000000001</v>
      </c>
      <c r="L37" s="13">
        <v>0</v>
      </c>
      <c r="M37" s="13">
        <v>0</v>
      </c>
      <c r="N37" s="13"/>
      <c r="O37" s="14">
        <v>0</v>
      </c>
      <c r="P37" s="14">
        <v>1.1000000000000001</v>
      </c>
      <c r="Q37" s="14">
        <v>0</v>
      </c>
      <c r="R37" s="14">
        <v>0</v>
      </c>
      <c r="S37" s="13">
        <v>0</v>
      </c>
      <c r="T37" s="14">
        <v>0</v>
      </c>
      <c r="U37" s="14">
        <v>0</v>
      </c>
      <c r="V37" s="13">
        <v>1.1000000000000001</v>
      </c>
      <c r="W37" s="16">
        <v>4</v>
      </c>
      <c r="X37" s="16">
        <v>4</v>
      </c>
      <c r="Y37" s="16">
        <v>0</v>
      </c>
      <c r="Z37" s="16">
        <v>0</v>
      </c>
      <c r="AA37" s="16">
        <f>MasterTable[[#This Row],[Landings
Night]]+MasterTable[[#This Row],[Landings
Day]]</f>
        <v>4</v>
      </c>
      <c r="AB37" s="14">
        <v>0</v>
      </c>
      <c r="AC37" s="14">
        <v>0</v>
      </c>
      <c r="AD37" s="15">
        <v>0</v>
      </c>
      <c r="AE37" s="21">
        <f>SUM(MasterTable[[#This Row],[ILS]:[PAR]])</f>
        <v>1</v>
      </c>
      <c r="AF37" s="15"/>
      <c r="AG37" s="15"/>
      <c r="AH37" s="16"/>
      <c r="AI37" s="15">
        <v>1</v>
      </c>
      <c r="AJ37" s="15"/>
      <c r="AK37" s="15"/>
      <c r="AL37" s="15"/>
      <c r="AN37" s="29"/>
      <c r="AO37" s="29"/>
      <c r="AP37" s="29"/>
      <c r="AQ37" s="29"/>
      <c r="AR37" s="140" t="str">
        <f>_xlfn.XLOOKUP(MasterTable[[#This Row],[Aircraft ID]],Aircraft!A:A,Aircraft!H:H)</f>
        <v>Airplane Multi Engine Land</v>
      </c>
      <c r="AS37" s="12" t="b">
        <f>OR((SUM(MasterTable[[#This Row],[ILS]:[PAR]]) = MasterTable[[#This Row],[APPR]]))</f>
        <v>1</v>
      </c>
      <c r="AT37" s="12" t="b">
        <f>NOT(ISBLANK(MasterTable[[#This Row],[Total
Time]]))</f>
        <v>1</v>
      </c>
    </row>
    <row r="38" spans="1:46" s="12" customFormat="1" ht="14.4" customHeight="1" x14ac:dyDescent="0.3">
      <c r="A38" s="19"/>
      <c r="B38" s="19"/>
      <c r="C38" s="19"/>
      <c r="D38" s="22">
        <v>46266</v>
      </c>
      <c r="E38" s="12" t="s">
        <v>375</v>
      </c>
      <c r="F38" s="12" t="s">
        <v>189</v>
      </c>
      <c r="G38" s="12" t="s">
        <v>189</v>
      </c>
      <c r="I38" s="14">
        <v>1.2</v>
      </c>
      <c r="J38" s="13">
        <v>0</v>
      </c>
      <c r="K38" s="14">
        <v>1.2</v>
      </c>
      <c r="L38" s="13">
        <v>0</v>
      </c>
      <c r="M38" s="13">
        <v>0</v>
      </c>
      <c r="N38" s="13"/>
      <c r="O38" s="14">
        <v>0</v>
      </c>
      <c r="P38" s="14">
        <v>1.2</v>
      </c>
      <c r="Q38" s="14">
        <v>0</v>
      </c>
      <c r="R38" s="14">
        <v>0</v>
      </c>
      <c r="S38" s="13">
        <v>0</v>
      </c>
      <c r="T38" s="14">
        <v>0</v>
      </c>
      <c r="U38" s="14">
        <v>0</v>
      </c>
      <c r="V38" s="13">
        <v>1.2</v>
      </c>
      <c r="W38" s="16">
        <v>1</v>
      </c>
      <c r="X38" s="16">
        <v>1</v>
      </c>
      <c r="Y38" s="16">
        <v>0</v>
      </c>
      <c r="Z38" s="16">
        <v>0</v>
      </c>
      <c r="AA38" s="16">
        <f>MasterTable[[#This Row],[Landings
Night]]+MasterTable[[#This Row],[Landings
Day]]</f>
        <v>1</v>
      </c>
      <c r="AB38" s="14">
        <v>0</v>
      </c>
      <c r="AC38" s="14">
        <v>0</v>
      </c>
      <c r="AD38" s="15">
        <v>0</v>
      </c>
      <c r="AE38" s="21">
        <f>SUM(MasterTable[[#This Row],[ILS]:[PAR]])</f>
        <v>1</v>
      </c>
      <c r="AF38" s="15"/>
      <c r="AG38" s="15"/>
      <c r="AH38" s="16">
        <v>1</v>
      </c>
      <c r="AI38" s="15"/>
      <c r="AJ38" s="15"/>
      <c r="AK38" s="15"/>
      <c r="AL38" s="15"/>
      <c r="AN38" s="29"/>
      <c r="AO38" s="29"/>
      <c r="AP38" s="29"/>
      <c r="AQ38" s="29"/>
      <c r="AR38" s="140" t="str">
        <f>_xlfn.XLOOKUP(MasterTable[[#This Row],[Aircraft ID]],Aircraft!A:A,Aircraft!H:H)</f>
        <v>Airplane Multi Engine Land</v>
      </c>
      <c r="AS38" s="12" t="b">
        <f>OR((SUM(MasterTable[[#This Row],[ILS]:[PAR]]) = MasterTable[[#This Row],[APPR]]))</f>
        <v>1</v>
      </c>
      <c r="AT38" s="12" t="b">
        <f>NOT(ISBLANK(MasterTable[[#This Row],[Total
Time]]))</f>
        <v>1</v>
      </c>
    </row>
    <row r="39" spans="1:46" s="12" customFormat="1" ht="14.4" customHeight="1" x14ac:dyDescent="0.3">
      <c r="A39" s="19"/>
      <c r="B39" s="19"/>
      <c r="C39" s="19"/>
      <c r="D39" s="22">
        <v>46265</v>
      </c>
      <c r="E39" s="12" t="s">
        <v>375</v>
      </c>
      <c r="F39" s="12" t="s">
        <v>189</v>
      </c>
      <c r="G39" s="12" t="s">
        <v>189</v>
      </c>
      <c r="I39" s="14">
        <v>1.2</v>
      </c>
      <c r="J39" s="13">
        <v>0</v>
      </c>
      <c r="K39" s="14">
        <v>1.2</v>
      </c>
      <c r="L39" s="13">
        <v>0</v>
      </c>
      <c r="M39" s="13">
        <v>0</v>
      </c>
      <c r="N39" s="13"/>
      <c r="O39" s="14">
        <v>0</v>
      </c>
      <c r="P39" s="14">
        <v>1.2</v>
      </c>
      <c r="Q39" s="14">
        <v>0</v>
      </c>
      <c r="R39" s="14">
        <v>0</v>
      </c>
      <c r="S39" s="13">
        <v>0</v>
      </c>
      <c r="T39" s="14">
        <v>0</v>
      </c>
      <c r="U39" s="14">
        <v>0</v>
      </c>
      <c r="V39" s="13">
        <v>1.2</v>
      </c>
      <c r="W39" s="16">
        <v>1</v>
      </c>
      <c r="X39" s="16">
        <v>1</v>
      </c>
      <c r="Y39" s="16">
        <v>0</v>
      </c>
      <c r="Z39" s="16">
        <v>0</v>
      </c>
      <c r="AA39" s="16">
        <f>MasterTable[[#This Row],[Landings
Night]]+MasterTable[[#This Row],[Landings
Day]]</f>
        <v>1</v>
      </c>
      <c r="AB39" s="14">
        <v>0</v>
      </c>
      <c r="AC39" s="14">
        <v>0</v>
      </c>
      <c r="AD39" s="15">
        <v>0</v>
      </c>
      <c r="AE39" s="21">
        <f>SUM(MasterTable[[#This Row],[ILS]:[PAR]])</f>
        <v>1</v>
      </c>
      <c r="AF39" s="15">
        <v>1</v>
      </c>
      <c r="AG39" s="15"/>
      <c r="AH39" s="16"/>
      <c r="AI39" s="15"/>
      <c r="AJ39" s="15"/>
      <c r="AK39" s="15"/>
      <c r="AL39" s="15"/>
      <c r="AN39" s="29"/>
      <c r="AO39" s="29"/>
      <c r="AP39" s="29"/>
      <c r="AQ39" s="29"/>
      <c r="AR39" s="140" t="str">
        <f>_xlfn.XLOOKUP(MasterTable[[#This Row],[Aircraft ID]],Aircraft!A:A,Aircraft!H:H)</f>
        <v>Airplane Multi Engine Land</v>
      </c>
      <c r="AS39" s="12" t="b">
        <f>OR((SUM(MasterTable[[#This Row],[ILS]:[PAR]]) = MasterTable[[#This Row],[APPR]]))</f>
        <v>1</v>
      </c>
      <c r="AT39" s="12" t="b">
        <f>NOT(ISBLANK(MasterTable[[#This Row],[Total
Time]]))</f>
        <v>1</v>
      </c>
    </row>
    <row r="40" spans="1:46" s="12" customFormat="1" ht="14.4" customHeight="1" x14ac:dyDescent="0.3">
      <c r="A40" s="19"/>
      <c r="B40" s="19"/>
      <c r="C40" s="19"/>
      <c r="D40" s="22">
        <v>46265</v>
      </c>
      <c r="E40" s="12" t="s">
        <v>375</v>
      </c>
      <c r="F40" s="12" t="s">
        <v>189</v>
      </c>
      <c r="G40" s="12" t="s">
        <v>189</v>
      </c>
      <c r="I40" s="14">
        <v>1.2</v>
      </c>
      <c r="J40" s="13">
        <v>0</v>
      </c>
      <c r="K40" s="14">
        <v>1.2</v>
      </c>
      <c r="L40" s="13">
        <v>0</v>
      </c>
      <c r="M40" s="13">
        <v>0</v>
      </c>
      <c r="N40" s="13"/>
      <c r="O40" s="14">
        <v>0</v>
      </c>
      <c r="P40" s="14">
        <v>1.2</v>
      </c>
      <c r="Q40" s="14">
        <v>0</v>
      </c>
      <c r="R40" s="14">
        <v>0</v>
      </c>
      <c r="S40" s="13">
        <v>0</v>
      </c>
      <c r="T40" s="14">
        <v>0</v>
      </c>
      <c r="U40" s="14">
        <v>0</v>
      </c>
      <c r="V40" s="13">
        <v>1.2</v>
      </c>
      <c r="W40" s="16">
        <v>1</v>
      </c>
      <c r="X40" s="16">
        <v>1</v>
      </c>
      <c r="Y40" s="16">
        <v>0</v>
      </c>
      <c r="Z40" s="16">
        <v>0</v>
      </c>
      <c r="AA40" s="16">
        <f>MasterTable[[#This Row],[Landings
Night]]+MasterTable[[#This Row],[Landings
Day]]</f>
        <v>1</v>
      </c>
      <c r="AB40" s="14">
        <v>0</v>
      </c>
      <c r="AC40" s="14">
        <v>0</v>
      </c>
      <c r="AD40" s="15">
        <v>0</v>
      </c>
      <c r="AE40" s="21">
        <f>SUM(MasterTable[[#This Row],[ILS]:[PAR]])</f>
        <v>1</v>
      </c>
      <c r="AF40" s="15">
        <v>1</v>
      </c>
      <c r="AG40" s="15"/>
      <c r="AH40" s="16"/>
      <c r="AI40" s="15"/>
      <c r="AJ40" s="15"/>
      <c r="AK40" s="15"/>
      <c r="AL40" s="15"/>
      <c r="AN40" s="29"/>
      <c r="AO40" s="29"/>
      <c r="AP40" s="29"/>
      <c r="AQ40" s="29"/>
      <c r="AR40" s="140" t="str">
        <f>_xlfn.XLOOKUP(MasterTable[[#This Row],[Aircraft ID]],Aircraft!A:A,Aircraft!H:H)</f>
        <v>Airplane Multi Engine Land</v>
      </c>
      <c r="AS40" s="12" t="b">
        <f>OR((SUM(MasterTable[[#This Row],[ILS]:[PAR]]) = MasterTable[[#This Row],[APPR]]))</f>
        <v>1</v>
      </c>
      <c r="AT40" s="12" t="b">
        <f>NOT(ISBLANK(MasterTable[[#This Row],[Total
Time]]))</f>
        <v>1</v>
      </c>
    </row>
    <row r="41" spans="1:46" s="12" customFormat="1" ht="14.4" customHeight="1" x14ac:dyDescent="0.3">
      <c r="A41" s="19"/>
      <c r="B41" s="19"/>
      <c r="C41" s="19"/>
      <c r="D41" s="22">
        <v>46262</v>
      </c>
      <c r="E41" s="12" t="s">
        <v>375</v>
      </c>
      <c r="F41" s="12" t="s">
        <v>189</v>
      </c>
      <c r="G41" s="12" t="s">
        <v>189</v>
      </c>
      <c r="I41" s="14">
        <v>1.2</v>
      </c>
      <c r="J41" s="13">
        <v>0</v>
      </c>
      <c r="K41" s="14">
        <v>1.2</v>
      </c>
      <c r="L41" s="13">
        <v>0</v>
      </c>
      <c r="M41" s="13">
        <v>0</v>
      </c>
      <c r="N41" s="13"/>
      <c r="O41" s="14">
        <v>0</v>
      </c>
      <c r="P41" s="14">
        <v>1.2</v>
      </c>
      <c r="Q41" s="14">
        <v>0</v>
      </c>
      <c r="R41" s="14">
        <v>0</v>
      </c>
      <c r="S41" s="13">
        <v>0</v>
      </c>
      <c r="T41" s="14">
        <v>0</v>
      </c>
      <c r="U41" s="14">
        <v>0</v>
      </c>
      <c r="V41" s="13">
        <v>1.2</v>
      </c>
      <c r="W41" s="16">
        <v>1</v>
      </c>
      <c r="X41" s="16">
        <v>1</v>
      </c>
      <c r="Y41" s="16">
        <v>0</v>
      </c>
      <c r="Z41" s="16">
        <v>0</v>
      </c>
      <c r="AA41" s="16">
        <f>MasterTable[[#This Row],[Landings
Night]]+MasterTable[[#This Row],[Landings
Day]]</f>
        <v>1</v>
      </c>
      <c r="AB41" s="14">
        <v>0</v>
      </c>
      <c r="AC41" s="14">
        <v>0</v>
      </c>
      <c r="AD41" s="15">
        <v>0</v>
      </c>
      <c r="AE41" s="21">
        <f>SUM(MasterTable[[#This Row],[ILS]:[PAR]])</f>
        <v>1</v>
      </c>
      <c r="AF41" s="15">
        <v>1</v>
      </c>
      <c r="AG41" s="15"/>
      <c r="AH41" s="16"/>
      <c r="AI41" s="15"/>
      <c r="AJ41" s="15"/>
      <c r="AK41" s="15"/>
      <c r="AL41" s="15"/>
      <c r="AN41" s="29"/>
      <c r="AO41" s="29"/>
      <c r="AP41" s="29"/>
      <c r="AQ41" s="29"/>
      <c r="AR41" s="140" t="str">
        <f>_xlfn.XLOOKUP(MasterTable[[#This Row],[Aircraft ID]],Aircraft!A:A,Aircraft!H:H)</f>
        <v>Airplane Multi Engine Land</v>
      </c>
      <c r="AS41" s="12" t="b">
        <f>OR((SUM(MasterTable[[#This Row],[ILS]:[PAR]]) = MasterTable[[#This Row],[APPR]]))</f>
        <v>1</v>
      </c>
      <c r="AT41" s="12" t="b">
        <f>NOT(ISBLANK(MasterTable[[#This Row],[Total
Time]]))</f>
        <v>1</v>
      </c>
    </row>
    <row r="42" spans="1:46" s="12" customFormat="1" ht="14.4" customHeight="1" x14ac:dyDescent="0.3">
      <c r="A42" s="19"/>
      <c r="B42" s="19"/>
      <c r="C42" s="19"/>
      <c r="D42" s="22">
        <v>46260</v>
      </c>
      <c r="E42" s="12" t="s">
        <v>375</v>
      </c>
      <c r="F42" s="12" t="s">
        <v>189</v>
      </c>
      <c r="G42" s="12" t="s">
        <v>189</v>
      </c>
      <c r="I42" s="14">
        <v>1.2</v>
      </c>
      <c r="J42" s="13">
        <v>0</v>
      </c>
      <c r="K42" s="14">
        <v>1.2</v>
      </c>
      <c r="L42" s="13">
        <v>0</v>
      </c>
      <c r="M42" s="13">
        <v>0</v>
      </c>
      <c r="N42" s="13"/>
      <c r="O42" s="14">
        <v>0</v>
      </c>
      <c r="P42" s="14">
        <v>1.2</v>
      </c>
      <c r="Q42" s="14">
        <v>0</v>
      </c>
      <c r="R42" s="14">
        <v>0</v>
      </c>
      <c r="S42" s="13">
        <v>0</v>
      </c>
      <c r="T42" s="14">
        <v>0</v>
      </c>
      <c r="U42" s="14">
        <v>0</v>
      </c>
      <c r="V42" s="13">
        <v>1.2</v>
      </c>
      <c r="W42" s="16">
        <v>1</v>
      </c>
      <c r="X42" s="16">
        <v>1</v>
      </c>
      <c r="Y42" s="16">
        <v>0</v>
      </c>
      <c r="Z42" s="16">
        <v>0</v>
      </c>
      <c r="AA42" s="16">
        <f>MasterTable[[#This Row],[Landings
Night]]+MasterTable[[#This Row],[Landings
Day]]</f>
        <v>1</v>
      </c>
      <c r="AB42" s="14">
        <v>0</v>
      </c>
      <c r="AC42" s="14">
        <v>0</v>
      </c>
      <c r="AD42" s="15">
        <v>0</v>
      </c>
      <c r="AE42" s="21">
        <f>SUM(MasterTable[[#This Row],[ILS]:[PAR]])</f>
        <v>0</v>
      </c>
      <c r="AF42" s="15"/>
      <c r="AG42" s="15"/>
      <c r="AH42" s="16"/>
      <c r="AI42" s="15"/>
      <c r="AJ42" s="15"/>
      <c r="AK42" s="15"/>
      <c r="AL42" s="15"/>
      <c r="AN42" s="29"/>
      <c r="AO42" s="29"/>
      <c r="AP42" s="29"/>
      <c r="AQ42" s="29"/>
      <c r="AR42" s="140" t="str">
        <f>_xlfn.XLOOKUP(MasterTable[[#This Row],[Aircraft ID]],Aircraft!A:A,Aircraft!H:H)</f>
        <v>Airplane Multi Engine Land</v>
      </c>
      <c r="AS42" s="12" t="b">
        <f>OR((SUM(MasterTable[[#This Row],[ILS]:[PAR]]) = MasterTable[[#This Row],[APPR]]))</f>
        <v>1</v>
      </c>
      <c r="AT42" s="12" t="b">
        <f>NOT(ISBLANK(MasterTable[[#This Row],[Total
Time]]))</f>
        <v>1</v>
      </c>
    </row>
    <row r="43" spans="1:46" s="12" customFormat="1" ht="14.4" customHeight="1" x14ac:dyDescent="0.3">
      <c r="A43" s="19"/>
      <c r="B43" s="19"/>
      <c r="C43" s="19"/>
      <c r="D43" s="22">
        <v>46259</v>
      </c>
      <c r="E43" s="12" t="s">
        <v>375</v>
      </c>
      <c r="F43" s="12" t="s">
        <v>189</v>
      </c>
      <c r="G43" s="12" t="s">
        <v>189</v>
      </c>
      <c r="I43" s="14">
        <v>1.1000000000000001</v>
      </c>
      <c r="J43" s="13">
        <v>0</v>
      </c>
      <c r="K43" s="14">
        <v>1.1000000000000001</v>
      </c>
      <c r="L43" s="13">
        <v>0</v>
      </c>
      <c r="M43" s="13">
        <v>0</v>
      </c>
      <c r="N43" s="13"/>
      <c r="O43" s="14">
        <v>0</v>
      </c>
      <c r="P43" s="14">
        <v>1.1000000000000001</v>
      </c>
      <c r="Q43" s="14">
        <v>0</v>
      </c>
      <c r="R43" s="14">
        <v>0</v>
      </c>
      <c r="S43" s="13">
        <v>1.1000000000000001</v>
      </c>
      <c r="T43" s="14">
        <v>0</v>
      </c>
      <c r="U43" s="14">
        <v>0</v>
      </c>
      <c r="V43" s="13">
        <v>0</v>
      </c>
      <c r="W43" s="16">
        <v>0</v>
      </c>
      <c r="X43" s="16">
        <v>0</v>
      </c>
      <c r="Y43" s="16">
        <v>5</v>
      </c>
      <c r="Z43" s="16">
        <v>5</v>
      </c>
      <c r="AA43" s="16">
        <f>MasterTable[[#This Row],[Landings
Night]]+MasterTable[[#This Row],[Landings
Day]]</f>
        <v>5</v>
      </c>
      <c r="AB43" s="14">
        <v>0</v>
      </c>
      <c r="AC43" s="14">
        <v>0.3</v>
      </c>
      <c r="AD43" s="15">
        <v>0</v>
      </c>
      <c r="AE43" s="21">
        <f>SUM(MasterTable[[#This Row],[ILS]:[PAR]])</f>
        <v>1</v>
      </c>
      <c r="AF43" s="15">
        <v>1</v>
      </c>
      <c r="AG43" s="15"/>
      <c r="AH43" s="16"/>
      <c r="AI43" s="15"/>
      <c r="AJ43" s="15"/>
      <c r="AK43" s="15"/>
      <c r="AL43" s="15"/>
      <c r="AN43" s="29"/>
      <c r="AO43" s="29"/>
      <c r="AP43" s="29"/>
      <c r="AQ43" s="29"/>
      <c r="AR43" s="140" t="str">
        <f>_xlfn.XLOOKUP(MasterTable[[#This Row],[Aircraft ID]],Aircraft!A:A,Aircraft!H:H)</f>
        <v>Airplane Multi Engine Land</v>
      </c>
      <c r="AS43" s="12" t="b">
        <f>OR((SUM(MasterTable[[#This Row],[ILS]:[PAR]]) = MasterTable[[#This Row],[APPR]]))</f>
        <v>1</v>
      </c>
      <c r="AT43" s="12" t="b">
        <f>NOT(ISBLANK(MasterTable[[#This Row],[Total
Time]]))</f>
        <v>1</v>
      </c>
    </row>
    <row r="44" spans="1:46" s="12" customFormat="1" ht="14.4" customHeight="1" x14ac:dyDescent="0.3">
      <c r="A44" s="19"/>
      <c r="B44" s="19"/>
      <c r="C44" s="19"/>
      <c r="D44" s="22">
        <v>46259</v>
      </c>
      <c r="E44" s="12" t="s">
        <v>375</v>
      </c>
      <c r="F44" s="12" t="s">
        <v>189</v>
      </c>
      <c r="G44" s="12" t="s">
        <v>189</v>
      </c>
      <c r="I44" s="14">
        <v>1.1000000000000001</v>
      </c>
      <c r="J44" s="13">
        <v>0</v>
      </c>
      <c r="K44" s="14">
        <v>1.1000000000000001</v>
      </c>
      <c r="L44" s="13">
        <v>0</v>
      </c>
      <c r="M44" s="13">
        <v>0</v>
      </c>
      <c r="N44" s="13"/>
      <c r="O44" s="14">
        <v>0</v>
      </c>
      <c r="P44" s="14">
        <v>1.1000000000000001</v>
      </c>
      <c r="Q44" s="14">
        <v>0</v>
      </c>
      <c r="R44" s="14">
        <v>0</v>
      </c>
      <c r="S44" s="13">
        <v>0</v>
      </c>
      <c r="T44" s="14">
        <v>0</v>
      </c>
      <c r="U44" s="14">
        <v>0</v>
      </c>
      <c r="V44" s="13">
        <v>0</v>
      </c>
      <c r="W44" s="16">
        <v>3</v>
      </c>
      <c r="X44" s="16">
        <v>3</v>
      </c>
      <c r="Y44" s="16">
        <v>0</v>
      </c>
      <c r="Z44" s="16">
        <v>0</v>
      </c>
      <c r="AA44" s="16">
        <f>MasterTable[[#This Row],[Landings
Night]]+MasterTable[[#This Row],[Landings
Day]]</f>
        <v>3</v>
      </c>
      <c r="AB44" s="14">
        <v>0</v>
      </c>
      <c r="AC44" s="14">
        <v>0</v>
      </c>
      <c r="AD44" s="15">
        <v>0</v>
      </c>
      <c r="AE44" s="21">
        <f>SUM(MasterTable[[#This Row],[ILS]:[PAR]])</f>
        <v>0</v>
      </c>
      <c r="AF44" s="15"/>
      <c r="AG44" s="15"/>
      <c r="AH44" s="16"/>
      <c r="AI44" s="15"/>
      <c r="AJ44" s="15"/>
      <c r="AK44" s="15"/>
      <c r="AL44" s="15"/>
      <c r="AN44" s="29"/>
      <c r="AO44" s="29"/>
      <c r="AP44" s="29"/>
      <c r="AQ44" s="29"/>
      <c r="AR44" s="140" t="str">
        <f>_xlfn.XLOOKUP(MasterTable[[#This Row],[Aircraft ID]],Aircraft!A:A,Aircraft!H:H)</f>
        <v>Airplane Multi Engine Land</v>
      </c>
      <c r="AS44" s="12" t="b">
        <f>OR((SUM(MasterTable[[#This Row],[ILS]:[PAR]]) = MasterTable[[#This Row],[APPR]]))</f>
        <v>1</v>
      </c>
      <c r="AT44" s="12" t="b">
        <f>NOT(ISBLANK(MasterTable[[#This Row],[Total
Time]]))</f>
        <v>1</v>
      </c>
    </row>
    <row r="45" spans="1:46" s="12" customFormat="1" ht="14.4" customHeight="1" x14ac:dyDescent="0.3">
      <c r="A45" s="19"/>
      <c r="B45" s="19"/>
      <c r="C45" s="19"/>
      <c r="D45" s="22">
        <v>46258</v>
      </c>
      <c r="E45" s="12" t="s">
        <v>375</v>
      </c>
      <c r="F45" s="12" t="s">
        <v>189</v>
      </c>
      <c r="G45" s="12" t="s">
        <v>189</v>
      </c>
      <c r="I45" s="14">
        <v>1.2</v>
      </c>
      <c r="J45" s="13">
        <v>0</v>
      </c>
      <c r="K45" s="14">
        <v>1.2</v>
      </c>
      <c r="L45" s="13">
        <v>0</v>
      </c>
      <c r="M45" s="13">
        <v>0</v>
      </c>
      <c r="N45" s="13"/>
      <c r="O45" s="14">
        <v>0</v>
      </c>
      <c r="P45" s="13">
        <v>1.2</v>
      </c>
      <c r="Q45" s="14">
        <v>0</v>
      </c>
      <c r="R45" s="14">
        <v>0</v>
      </c>
      <c r="S45" s="13">
        <v>1.2</v>
      </c>
      <c r="T45" s="13">
        <v>0</v>
      </c>
      <c r="U45" s="14">
        <v>0</v>
      </c>
      <c r="V45" s="13">
        <v>0</v>
      </c>
      <c r="W45" s="15">
        <v>0</v>
      </c>
      <c r="X45" s="15">
        <v>0</v>
      </c>
      <c r="Y45" s="15">
        <v>4</v>
      </c>
      <c r="Z45" s="15">
        <v>4</v>
      </c>
      <c r="AA45" s="15">
        <f>MasterTable[[#This Row],[Landings
Night]]+MasterTable[[#This Row],[Landings
Day]]</f>
        <v>4</v>
      </c>
      <c r="AB45" s="14">
        <v>0</v>
      </c>
      <c r="AC45" s="14">
        <v>0</v>
      </c>
      <c r="AD45" s="15">
        <v>0</v>
      </c>
      <c r="AE45" s="21">
        <f>SUM(MasterTable[[#This Row],[ILS]:[PAR]])</f>
        <v>1</v>
      </c>
      <c r="AF45" s="15">
        <v>1</v>
      </c>
      <c r="AG45" s="15"/>
      <c r="AH45" s="16"/>
      <c r="AI45" s="15"/>
      <c r="AJ45" s="15"/>
      <c r="AK45" s="15"/>
      <c r="AL45" s="15"/>
      <c r="AN45" s="30"/>
      <c r="AO45" s="30"/>
      <c r="AP45" s="30"/>
      <c r="AQ45" s="30"/>
      <c r="AR45" s="140" t="str">
        <f>_xlfn.XLOOKUP(MasterTable[[#This Row],[Aircraft ID]],Aircraft!A:A,Aircraft!H:H)</f>
        <v>Airplane Multi Engine Land</v>
      </c>
      <c r="AS45" s="12" t="b">
        <f>OR((SUM(MasterTable[[#This Row],[ILS]:[PAR]]) = MasterTable[[#This Row],[APPR]]))</f>
        <v>1</v>
      </c>
      <c r="AT45" s="12" t="b">
        <f>NOT(ISBLANK(MasterTable[[#This Row],[Total
Time]]))</f>
        <v>1</v>
      </c>
    </row>
    <row r="46" spans="1:46" ht="28.8" x14ac:dyDescent="0.3">
      <c r="D46" s="22">
        <v>46255</v>
      </c>
      <c r="E46" s="8" t="s">
        <v>375</v>
      </c>
      <c r="F46" s="8" t="s">
        <v>189</v>
      </c>
      <c r="G46" s="8" t="s">
        <v>189</v>
      </c>
      <c r="I46" s="10">
        <v>1.2</v>
      </c>
      <c r="J46" s="10">
        <v>0</v>
      </c>
      <c r="K46" s="10">
        <f>MasterTable[[#This Row],[Total
Time]]</f>
        <v>1.2</v>
      </c>
      <c r="L46" s="10">
        <v>0</v>
      </c>
      <c r="M46" s="13">
        <v>0</v>
      </c>
      <c r="N46" s="13"/>
      <c r="O46" s="10">
        <v>0</v>
      </c>
      <c r="P46" s="10">
        <v>1.2</v>
      </c>
      <c r="Q46" s="14">
        <v>0</v>
      </c>
      <c r="R46" s="14">
        <v>0</v>
      </c>
      <c r="S46" s="10">
        <v>0</v>
      </c>
      <c r="T46" s="10">
        <v>0</v>
      </c>
      <c r="U46" s="14">
        <v>0</v>
      </c>
      <c r="V46" s="10">
        <v>1.2</v>
      </c>
      <c r="W46" s="11">
        <v>1</v>
      </c>
      <c r="X46" s="11">
        <v>1</v>
      </c>
      <c r="Y46" s="11">
        <v>0</v>
      </c>
      <c r="Z46" s="11">
        <v>0</v>
      </c>
      <c r="AA46" s="11">
        <f>MasterTable[[#This Row],[Landings
Night]]+MasterTable[[#This Row],[Landings
Day]]</f>
        <v>1</v>
      </c>
      <c r="AB46" s="10">
        <v>0</v>
      </c>
      <c r="AC46" s="10">
        <v>0</v>
      </c>
      <c r="AD46" s="11">
        <v>0</v>
      </c>
      <c r="AE46" s="21">
        <f>SUM(MasterTable[[#This Row],[ILS]:[PAR]])</f>
        <v>0</v>
      </c>
      <c r="AL46" s="11"/>
      <c r="AR46" s="140" t="str">
        <f>_xlfn.XLOOKUP(MasterTable[[#This Row],[Aircraft ID]],Aircraft!A:A,Aircraft!H:H)</f>
        <v>Airplane Multi Engine Land</v>
      </c>
      <c r="AS46" s="8" t="b">
        <f>OR((SUM(MasterTable[[#This Row],[ILS]:[PAR]]) = MasterTable[[#This Row],[APPR]]))</f>
        <v>1</v>
      </c>
      <c r="AT46" s="8" t="b">
        <f>NOT(ISBLANK(MasterTable[[#This Row],[Total
Time]]))</f>
        <v>1</v>
      </c>
    </row>
    <row r="47" spans="1:46" ht="28.8" x14ac:dyDescent="0.3">
      <c r="D47" s="22">
        <v>46254</v>
      </c>
      <c r="E47" s="8" t="s">
        <v>375</v>
      </c>
      <c r="F47" s="8" t="s">
        <v>189</v>
      </c>
      <c r="G47" s="8" t="s">
        <v>190</v>
      </c>
      <c r="I47" s="10">
        <v>1.2</v>
      </c>
      <c r="J47" s="10">
        <v>0</v>
      </c>
      <c r="K47" s="10">
        <f>MasterTable[[#This Row],[Total
Time]]</f>
        <v>1.2</v>
      </c>
      <c r="L47" s="10">
        <v>0</v>
      </c>
      <c r="M47" s="13">
        <v>0</v>
      </c>
      <c r="N47" s="13"/>
      <c r="O47" s="10">
        <v>0</v>
      </c>
      <c r="P47" s="10">
        <v>1.2</v>
      </c>
      <c r="Q47" s="14">
        <v>0</v>
      </c>
      <c r="R47" s="14">
        <v>0</v>
      </c>
      <c r="S47" s="10">
        <v>0</v>
      </c>
      <c r="T47" s="10">
        <v>1.2</v>
      </c>
      <c r="U47" s="14">
        <v>0</v>
      </c>
      <c r="V47" s="10">
        <v>0</v>
      </c>
      <c r="W47" s="11">
        <v>3</v>
      </c>
      <c r="X47" s="11">
        <v>3</v>
      </c>
      <c r="Y47" s="11">
        <v>0</v>
      </c>
      <c r="Z47" s="11">
        <v>0</v>
      </c>
      <c r="AA47" s="11">
        <f>MasterTable[[#This Row],[Landings
Night]]+MasterTable[[#This Row],[Landings
Day]]</f>
        <v>3</v>
      </c>
      <c r="AB47" s="10">
        <v>0</v>
      </c>
      <c r="AC47" s="10">
        <v>1.2</v>
      </c>
      <c r="AD47" s="11">
        <v>1</v>
      </c>
      <c r="AE47" s="21">
        <f>SUM(MasterTable[[#This Row],[ILS]:[PAR]])</f>
        <v>3</v>
      </c>
      <c r="AF47" s="11">
        <v>1</v>
      </c>
      <c r="AG47" s="11">
        <v>1</v>
      </c>
      <c r="AI47" s="11">
        <v>1</v>
      </c>
      <c r="AL47" s="11"/>
      <c r="AO47" s="27" t="s">
        <v>410</v>
      </c>
      <c r="AQ47" s="27" t="s">
        <v>410</v>
      </c>
      <c r="AR47" s="140" t="str">
        <f>_xlfn.XLOOKUP(MasterTable[[#This Row],[Aircraft ID]],Aircraft!A:A,Aircraft!H:H)</f>
        <v>Airplane Multi Engine Land</v>
      </c>
      <c r="AS47" s="8" t="b">
        <f>OR((SUM(MasterTable[[#This Row],[ILS]:[PAR]]) = MasterTable[[#This Row],[APPR]]))</f>
        <v>1</v>
      </c>
      <c r="AT47" s="8" t="b">
        <f>NOT(ISBLANK(MasterTable[[#This Row],[Total
Time]]))</f>
        <v>1</v>
      </c>
    </row>
    <row r="48" spans="1:46" ht="28.8" x14ac:dyDescent="0.3">
      <c r="D48" s="22">
        <v>46253</v>
      </c>
      <c r="E48" s="8" t="s">
        <v>375</v>
      </c>
      <c r="F48" s="8" t="s">
        <v>191</v>
      </c>
      <c r="G48" s="8" t="s">
        <v>189</v>
      </c>
      <c r="H48" s="8" t="s">
        <v>192</v>
      </c>
      <c r="I48" s="10">
        <v>1.1000000000000001</v>
      </c>
      <c r="J48" s="10">
        <v>0</v>
      </c>
      <c r="K48" s="10">
        <f>MasterTable[[#This Row],[Total
Time]]</f>
        <v>1.1000000000000001</v>
      </c>
      <c r="L48" s="10">
        <v>0</v>
      </c>
      <c r="M48" s="13">
        <v>0</v>
      </c>
      <c r="N48" s="13"/>
      <c r="O48" s="10">
        <v>0</v>
      </c>
      <c r="P48" s="10">
        <v>1.1000000000000001</v>
      </c>
      <c r="Q48" s="14">
        <v>0</v>
      </c>
      <c r="R48" s="14">
        <v>0</v>
      </c>
      <c r="S48" s="10">
        <v>0</v>
      </c>
      <c r="T48" s="10">
        <v>1.1000000000000001</v>
      </c>
      <c r="U48" s="14">
        <v>0</v>
      </c>
      <c r="V48" s="10">
        <v>0</v>
      </c>
      <c r="W48" s="11">
        <v>3</v>
      </c>
      <c r="X48" s="11">
        <v>3</v>
      </c>
      <c r="Y48" s="11">
        <v>0</v>
      </c>
      <c r="Z48" s="11">
        <v>0</v>
      </c>
      <c r="AA48" s="11">
        <f>MasterTable[[#This Row],[Landings
Night]]+MasterTable[[#This Row],[Landings
Day]]</f>
        <v>3</v>
      </c>
      <c r="AB48" s="10">
        <v>0</v>
      </c>
      <c r="AC48" s="10">
        <v>0.9</v>
      </c>
      <c r="AD48" s="11">
        <v>0</v>
      </c>
      <c r="AE48" s="21">
        <f>SUM(MasterTable[[#This Row],[ILS]:[PAR]])</f>
        <v>2</v>
      </c>
      <c r="AH48" s="11">
        <v>1</v>
      </c>
      <c r="AK48" s="11">
        <v>1</v>
      </c>
      <c r="AL48" s="11"/>
      <c r="AR48" s="140" t="str">
        <f>_xlfn.XLOOKUP(MasterTable[[#This Row],[Aircraft ID]],Aircraft!A:A,Aircraft!H:H)</f>
        <v>Airplane Multi Engine Land</v>
      </c>
      <c r="AS48" s="8" t="b">
        <f>OR((SUM(MasterTable[[#This Row],[ILS]:[PAR]]) = MasterTable[[#This Row],[APPR]]))</f>
        <v>1</v>
      </c>
      <c r="AT48" s="8" t="b">
        <f>NOT(ISBLANK(MasterTable[[#This Row],[Total
Time]]))</f>
        <v>1</v>
      </c>
    </row>
    <row r="49" spans="4:46" ht="28.8" x14ac:dyDescent="0.3">
      <c r="D49" s="22">
        <v>46253</v>
      </c>
      <c r="E49" s="8" t="s">
        <v>375</v>
      </c>
      <c r="F49" s="8" t="s">
        <v>189</v>
      </c>
      <c r="G49" s="8" t="s">
        <v>191</v>
      </c>
      <c r="I49" s="10">
        <v>1.2</v>
      </c>
      <c r="J49" s="10">
        <v>0</v>
      </c>
      <c r="K49" s="10">
        <f>MasterTable[[#This Row],[Total
Time]]</f>
        <v>1.2</v>
      </c>
      <c r="L49" s="10">
        <v>0</v>
      </c>
      <c r="M49" s="13">
        <v>0</v>
      </c>
      <c r="N49" s="13"/>
      <c r="O49" s="10">
        <v>0</v>
      </c>
      <c r="P49" s="10">
        <v>1.2</v>
      </c>
      <c r="Q49" s="14">
        <v>0</v>
      </c>
      <c r="R49" s="14">
        <v>0</v>
      </c>
      <c r="S49" s="10">
        <v>0</v>
      </c>
      <c r="T49" s="10">
        <v>1.2</v>
      </c>
      <c r="U49" s="14">
        <v>0</v>
      </c>
      <c r="V49" s="10">
        <v>0</v>
      </c>
      <c r="W49" s="11">
        <v>1</v>
      </c>
      <c r="X49" s="11">
        <v>1</v>
      </c>
      <c r="Y49" s="11">
        <v>0</v>
      </c>
      <c r="Z49" s="11">
        <v>0</v>
      </c>
      <c r="AA49" s="11">
        <f>MasterTable[[#This Row],[Landings
Night]]+MasterTable[[#This Row],[Landings
Day]]</f>
        <v>1</v>
      </c>
      <c r="AB49" s="10">
        <v>0</v>
      </c>
      <c r="AC49" s="10">
        <v>1.2</v>
      </c>
      <c r="AD49" s="11">
        <v>1</v>
      </c>
      <c r="AE49" s="21">
        <f>SUM(MasterTable[[#This Row],[ILS]:[PAR]])</f>
        <v>3</v>
      </c>
      <c r="AF49" s="11">
        <v>1</v>
      </c>
      <c r="AG49" s="11">
        <v>1</v>
      </c>
      <c r="AH49" s="11">
        <v>1</v>
      </c>
      <c r="AL49" s="11"/>
      <c r="AR49" s="140" t="str">
        <f>_xlfn.XLOOKUP(MasterTable[[#This Row],[Aircraft ID]],Aircraft!A:A,Aircraft!H:H)</f>
        <v>Airplane Multi Engine Land</v>
      </c>
      <c r="AS49" s="8" t="b">
        <f>OR((SUM(MasterTable[[#This Row],[ILS]:[PAR]]) = MasterTable[[#This Row],[APPR]]))</f>
        <v>1</v>
      </c>
      <c r="AT49" s="8" t="b">
        <f>NOT(ISBLANK(MasterTable[[#This Row],[Total
Time]]))</f>
        <v>1</v>
      </c>
    </row>
    <row r="50" spans="4:46" ht="28.8" x14ac:dyDescent="0.3">
      <c r="D50" s="22">
        <v>46248</v>
      </c>
      <c r="E50" s="8" t="s">
        <v>375</v>
      </c>
      <c r="F50" s="8" t="s">
        <v>189</v>
      </c>
      <c r="G50" s="8" t="s">
        <v>193</v>
      </c>
      <c r="I50" s="10">
        <v>0.9</v>
      </c>
      <c r="J50" s="10">
        <v>0</v>
      </c>
      <c r="K50" s="10">
        <f>MasterTable[[#This Row],[Total
Time]]</f>
        <v>0.9</v>
      </c>
      <c r="L50" s="10">
        <v>0</v>
      </c>
      <c r="M50" s="13">
        <v>0</v>
      </c>
      <c r="N50" s="13"/>
      <c r="O50" s="10">
        <v>0</v>
      </c>
      <c r="P50" s="10">
        <v>0.9</v>
      </c>
      <c r="Q50" s="14">
        <v>0</v>
      </c>
      <c r="R50" s="14">
        <v>0</v>
      </c>
      <c r="S50" s="10">
        <v>0</v>
      </c>
      <c r="T50" s="10">
        <v>0.9</v>
      </c>
      <c r="U50" s="14">
        <v>0</v>
      </c>
      <c r="V50" s="10">
        <v>0</v>
      </c>
      <c r="W50" s="11">
        <v>1</v>
      </c>
      <c r="X50" s="11">
        <v>1</v>
      </c>
      <c r="Y50" s="11">
        <v>0</v>
      </c>
      <c r="Z50" s="11">
        <v>0</v>
      </c>
      <c r="AA50" s="11">
        <f>MasterTable[[#This Row],[Landings
Night]]+MasterTable[[#This Row],[Landings
Day]]</f>
        <v>1</v>
      </c>
      <c r="AB50" s="10">
        <v>0</v>
      </c>
      <c r="AC50" s="10">
        <v>0.9</v>
      </c>
      <c r="AD50" s="11">
        <v>0</v>
      </c>
      <c r="AE50" s="21">
        <f>SUM(MasterTable[[#This Row],[ILS]:[PAR]])</f>
        <v>1</v>
      </c>
      <c r="AF50" s="11">
        <v>1</v>
      </c>
      <c r="AL50" s="11"/>
      <c r="AR50" s="140" t="str">
        <f>_xlfn.XLOOKUP(MasterTable[[#This Row],[Aircraft ID]],Aircraft!A:A,Aircraft!H:H)</f>
        <v>Airplane Multi Engine Land</v>
      </c>
      <c r="AS50" s="8" t="b">
        <f>OR((SUM(MasterTable[[#This Row],[ILS]:[PAR]]) = MasterTable[[#This Row],[APPR]]))</f>
        <v>1</v>
      </c>
      <c r="AT50" s="8" t="b">
        <f>NOT(ISBLANK(MasterTable[[#This Row],[Total
Time]]))</f>
        <v>1</v>
      </c>
    </row>
    <row r="51" spans="4:46" ht="28.8" x14ac:dyDescent="0.3">
      <c r="D51" s="22">
        <v>46247</v>
      </c>
      <c r="E51" s="8" t="s">
        <v>375</v>
      </c>
      <c r="F51" s="8" t="s">
        <v>194</v>
      </c>
      <c r="G51" s="8" t="s">
        <v>189</v>
      </c>
      <c r="I51" s="10">
        <v>1.2</v>
      </c>
      <c r="J51" s="10">
        <v>0</v>
      </c>
      <c r="K51" s="10">
        <f>MasterTable[[#This Row],[Total
Time]]</f>
        <v>1.2</v>
      </c>
      <c r="L51" s="10">
        <v>0</v>
      </c>
      <c r="M51" s="13">
        <v>0</v>
      </c>
      <c r="N51" s="13"/>
      <c r="O51" s="10">
        <v>0</v>
      </c>
      <c r="P51" s="10">
        <v>1.2</v>
      </c>
      <c r="Q51" s="14">
        <v>0</v>
      </c>
      <c r="R51" s="14">
        <v>0</v>
      </c>
      <c r="S51" s="10">
        <v>0</v>
      </c>
      <c r="T51" s="10">
        <v>1.2</v>
      </c>
      <c r="U51" s="14">
        <v>0</v>
      </c>
      <c r="V51" s="10">
        <v>0</v>
      </c>
      <c r="W51" s="11">
        <v>4</v>
      </c>
      <c r="X51" s="11">
        <v>4</v>
      </c>
      <c r="Y51" s="11">
        <v>0</v>
      </c>
      <c r="Z51" s="11">
        <v>0</v>
      </c>
      <c r="AA51" s="11">
        <f>MasterTable[[#This Row],[Landings
Night]]+MasterTable[[#This Row],[Landings
Day]]</f>
        <v>4</v>
      </c>
      <c r="AB51" s="10">
        <v>0</v>
      </c>
      <c r="AC51" s="10">
        <v>0.9</v>
      </c>
      <c r="AD51" s="11">
        <v>1</v>
      </c>
      <c r="AE51" s="21">
        <f>SUM(MasterTable[[#This Row],[ILS]:[PAR]])</f>
        <v>3</v>
      </c>
      <c r="AF51" s="11">
        <v>1</v>
      </c>
      <c r="AG51" s="11">
        <v>1</v>
      </c>
      <c r="AH51" s="11">
        <v>1</v>
      </c>
      <c r="AL51" s="11"/>
      <c r="AR51" s="140" t="str">
        <f>_xlfn.XLOOKUP(MasterTable[[#This Row],[Aircraft ID]],Aircraft!A:A,Aircraft!H:H)</f>
        <v>Airplane Multi Engine Land</v>
      </c>
      <c r="AS51" s="8" t="b">
        <f>OR((SUM(MasterTable[[#This Row],[ILS]:[PAR]]) = MasterTable[[#This Row],[APPR]]))</f>
        <v>1</v>
      </c>
      <c r="AT51" s="8" t="b">
        <f>NOT(ISBLANK(MasterTable[[#This Row],[Total
Time]]))</f>
        <v>1</v>
      </c>
    </row>
    <row r="52" spans="4:46" ht="28.8" x14ac:dyDescent="0.3">
      <c r="D52" s="22">
        <v>46247</v>
      </c>
      <c r="E52" s="8" t="s">
        <v>375</v>
      </c>
      <c r="F52" s="8" t="s">
        <v>189</v>
      </c>
      <c r="G52" s="8" t="s">
        <v>194</v>
      </c>
      <c r="I52" s="10">
        <v>1.1000000000000001</v>
      </c>
      <c r="J52" s="10">
        <v>0</v>
      </c>
      <c r="K52" s="10">
        <f>MasterTable[[#This Row],[Total
Time]]</f>
        <v>1.1000000000000001</v>
      </c>
      <c r="L52" s="10">
        <v>0</v>
      </c>
      <c r="M52" s="13">
        <v>0</v>
      </c>
      <c r="N52" s="13"/>
      <c r="O52" s="10">
        <v>0</v>
      </c>
      <c r="P52" s="10">
        <v>1.1000000000000001</v>
      </c>
      <c r="Q52" s="14">
        <v>0</v>
      </c>
      <c r="R52" s="14">
        <v>0</v>
      </c>
      <c r="S52" s="10">
        <v>0</v>
      </c>
      <c r="T52" s="10">
        <v>1.1000000000000001</v>
      </c>
      <c r="U52" s="14">
        <v>0</v>
      </c>
      <c r="V52" s="10">
        <v>0</v>
      </c>
      <c r="W52" s="11">
        <v>1</v>
      </c>
      <c r="X52" s="11">
        <v>1</v>
      </c>
      <c r="Y52" s="11">
        <v>0</v>
      </c>
      <c r="Z52" s="11">
        <v>0</v>
      </c>
      <c r="AA52" s="11">
        <f>MasterTable[[#This Row],[Landings
Night]]+MasterTable[[#This Row],[Landings
Day]]</f>
        <v>1</v>
      </c>
      <c r="AB52" s="10">
        <v>0</v>
      </c>
      <c r="AC52" s="10">
        <v>1.1000000000000001</v>
      </c>
      <c r="AD52" s="11">
        <v>0</v>
      </c>
      <c r="AE52" s="21">
        <f>SUM(MasterTable[[#This Row],[ILS]:[PAR]])</f>
        <v>3</v>
      </c>
      <c r="AF52" s="11">
        <v>2</v>
      </c>
      <c r="AG52" s="11">
        <v>1</v>
      </c>
      <c r="AL52" s="11"/>
      <c r="AR52" s="140" t="str">
        <f>_xlfn.XLOOKUP(MasterTable[[#This Row],[Aircraft ID]],Aircraft!A:A,Aircraft!H:H)</f>
        <v>Airplane Multi Engine Land</v>
      </c>
      <c r="AS52" s="8" t="b">
        <f>OR((SUM(MasterTable[[#This Row],[ILS]:[PAR]]) = MasterTable[[#This Row],[APPR]]))</f>
        <v>1</v>
      </c>
      <c r="AT52" s="8" t="b">
        <f>NOT(ISBLANK(MasterTable[[#This Row],[Total
Time]]))</f>
        <v>1</v>
      </c>
    </row>
    <row r="53" spans="4:46" ht="28.8" x14ac:dyDescent="0.3">
      <c r="D53" s="22">
        <v>46246</v>
      </c>
      <c r="E53" s="8" t="s">
        <v>375</v>
      </c>
      <c r="F53" s="8" t="s">
        <v>195</v>
      </c>
      <c r="G53" s="8" t="s">
        <v>189</v>
      </c>
      <c r="I53" s="10">
        <v>1.2</v>
      </c>
      <c r="J53" s="10">
        <v>0</v>
      </c>
      <c r="K53" s="10">
        <f>MasterTable[[#This Row],[Total
Time]]</f>
        <v>1.2</v>
      </c>
      <c r="L53" s="10">
        <v>0</v>
      </c>
      <c r="M53" s="13">
        <v>0</v>
      </c>
      <c r="N53" s="13"/>
      <c r="O53" s="10">
        <v>0</v>
      </c>
      <c r="P53" s="10">
        <v>1.2</v>
      </c>
      <c r="Q53" s="14">
        <v>0</v>
      </c>
      <c r="R53" s="14">
        <v>0</v>
      </c>
      <c r="S53" s="10">
        <v>0</v>
      </c>
      <c r="T53" s="10">
        <v>1.2</v>
      </c>
      <c r="U53" s="14">
        <v>0</v>
      </c>
      <c r="V53" s="10">
        <v>0</v>
      </c>
      <c r="W53" s="11">
        <v>4</v>
      </c>
      <c r="X53" s="11">
        <v>4</v>
      </c>
      <c r="Y53" s="11">
        <v>0</v>
      </c>
      <c r="Z53" s="11">
        <v>0</v>
      </c>
      <c r="AA53" s="11">
        <f>MasterTable[[#This Row],[Landings
Night]]+MasterTable[[#This Row],[Landings
Day]]</f>
        <v>4</v>
      </c>
      <c r="AB53" s="10">
        <v>0</v>
      </c>
      <c r="AC53" s="10">
        <v>1</v>
      </c>
      <c r="AD53" s="11">
        <v>0</v>
      </c>
      <c r="AE53" s="21">
        <f>SUM(MasterTable[[#This Row],[ILS]:[PAR]])</f>
        <v>1</v>
      </c>
      <c r="AI53" s="11">
        <v>1</v>
      </c>
      <c r="AL53" s="11"/>
      <c r="AR53" s="140" t="str">
        <f>_xlfn.XLOOKUP(MasterTable[[#This Row],[Aircraft ID]],Aircraft!A:A,Aircraft!H:H)</f>
        <v>Airplane Multi Engine Land</v>
      </c>
      <c r="AS53" s="8" t="b">
        <f>OR((SUM(MasterTable[[#This Row],[ILS]:[PAR]]) = MasterTable[[#This Row],[APPR]]))</f>
        <v>1</v>
      </c>
      <c r="AT53" s="8" t="b">
        <f>NOT(ISBLANK(MasterTable[[#This Row],[Total
Time]]))</f>
        <v>1</v>
      </c>
    </row>
    <row r="54" spans="4:46" ht="28.8" x14ac:dyDescent="0.3">
      <c r="D54" s="22">
        <v>46246</v>
      </c>
      <c r="E54" s="8" t="s">
        <v>375</v>
      </c>
      <c r="F54" s="8" t="s">
        <v>189</v>
      </c>
      <c r="G54" s="8" t="s">
        <v>195</v>
      </c>
      <c r="I54" s="10">
        <v>1.4</v>
      </c>
      <c r="J54" s="10">
        <v>0</v>
      </c>
      <c r="K54" s="10">
        <f>MasterTable[[#This Row],[Total
Time]]</f>
        <v>1.4</v>
      </c>
      <c r="L54" s="10">
        <v>0</v>
      </c>
      <c r="M54" s="13">
        <v>0</v>
      </c>
      <c r="N54" s="13"/>
      <c r="O54" s="10">
        <v>0</v>
      </c>
      <c r="P54" s="10">
        <v>1.4</v>
      </c>
      <c r="Q54" s="14">
        <v>0</v>
      </c>
      <c r="R54" s="14">
        <v>0</v>
      </c>
      <c r="S54" s="10">
        <v>0</v>
      </c>
      <c r="T54" s="10">
        <v>1.4</v>
      </c>
      <c r="U54" s="14">
        <v>0</v>
      </c>
      <c r="V54" s="10">
        <v>0</v>
      </c>
      <c r="W54" s="11">
        <v>1</v>
      </c>
      <c r="X54" s="11">
        <v>1</v>
      </c>
      <c r="Y54" s="11">
        <v>0</v>
      </c>
      <c r="Z54" s="11">
        <v>0</v>
      </c>
      <c r="AA54" s="11">
        <f>MasterTable[[#This Row],[Landings
Night]]+MasterTable[[#This Row],[Landings
Day]]</f>
        <v>1</v>
      </c>
      <c r="AB54" s="10">
        <v>0</v>
      </c>
      <c r="AC54" s="10">
        <v>1.4</v>
      </c>
      <c r="AD54" s="11">
        <v>1</v>
      </c>
      <c r="AE54" s="21">
        <f>SUM(MasterTable[[#This Row],[ILS]:[PAR]])</f>
        <v>2</v>
      </c>
      <c r="AG54" s="11">
        <v>1</v>
      </c>
      <c r="AI54" s="11">
        <v>1</v>
      </c>
      <c r="AL54" s="11"/>
      <c r="AR54" s="140" t="str">
        <f>_xlfn.XLOOKUP(MasterTable[[#This Row],[Aircraft ID]],Aircraft!A:A,Aircraft!H:H)</f>
        <v>Airplane Multi Engine Land</v>
      </c>
      <c r="AS54" s="8" t="b">
        <f>OR((SUM(MasterTable[[#This Row],[ILS]:[PAR]]) = MasterTable[[#This Row],[APPR]]))</f>
        <v>1</v>
      </c>
      <c r="AT54" s="8" t="b">
        <f>NOT(ISBLANK(MasterTable[[#This Row],[Total
Time]]))</f>
        <v>1</v>
      </c>
    </row>
    <row r="55" spans="4:46" ht="28.8" x14ac:dyDescent="0.3">
      <c r="D55" s="22">
        <v>46245</v>
      </c>
      <c r="E55" s="8" t="s">
        <v>375</v>
      </c>
      <c r="F55" s="8" t="s">
        <v>190</v>
      </c>
      <c r="G55" s="8" t="s">
        <v>189</v>
      </c>
      <c r="I55" s="10">
        <v>1.3</v>
      </c>
      <c r="J55" s="10">
        <v>0</v>
      </c>
      <c r="K55" s="10">
        <f>MasterTable[[#This Row],[Total
Time]]</f>
        <v>1.3</v>
      </c>
      <c r="L55" s="10">
        <v>0</v>
      </c>
      <c r="M55" s="13">
        <v>0</v>
      </c>
      <c r="N55" s="13"/>
      <c r="O55" s="10">
        <v>0</v>
      </c>
      <c r="P55" s="10">
        <v>1.3</v>
      </c>
      <c r="Q55" s="14">
        <v>0</v>
      </c>
      <c r="R55" s="14">
        <v>0</v>
      </c>
      <c r="S55" s="10">
        <v>0</v>
      </c>
      <c r="T55" s="10">
        <v>1.3</v>
      </c>
      <c r="U55" s="14">
        <v>0</v>
      </c>
      <c r="V55" s="10">
        <v>0</v>
      </c>
      <c r="W55" s="11">
        <v>3</v>
      </c>
      <c r="X55" s="11">
        <v>3</v>
      </c>
      <c r="Y55" s="11">
        <v>0</v>
      </c>
      <c r="Z55" s="11">
        <v>0</v>
      </c>
      <c r="AA55" s="11">
        <f>MasterTable[[#This Row],[Landings
Night]]+MasterTable[[#This Row],[Landings
Day]]</f>
        <v>3</v>
      </c>
      <c r="AB55" s="10">
        <v>0.2</v>
      </c>
      <c r="AC55" s="10">
        <v>0.8</v>
      </c>
      <c r="AD55" s="11">
        <v>1</v>
      </c>
      <c r="AE55" s="21">
        <f>SUM(MasterTable[[#This Row],[ILS]:[PAR]])</f>
        <v>2</v>
      </c>
      <c r="AH55" s="11">
        <v>1</v>
      </c>
      <c r="AJ55" s="11">
        <v>1</v>
      </c>
      <c r="AL55" s="11"/>
      <c r="AR55" s="140" t="str">
        <f>_xlfn.XLOOKUP(MasterTable[[#This Row],[Aircraft ID]],Aircraft!A:A,Aircraft!H:H)</f>
        <v>Airplane Multi Engine Land</v>
      </c>
      <c r="AS55" s="8" t="b">
        <f>OR((SUM(MasterTable[[#This Row],[ILS]:[PAR]]) = MasterTable[[#This Row],[APPR]]))</f>
        <v>1</v>
      </c>
      <c r="AT55" s="8" t="b">
        <f>NOT(ISBLANK(MasterTable[[#This Row],[Total
Time]]))</f>
        <v>1</v>
      </c>
    </row>
    <row r="56" spans="4:46" ht="28.8" x14ac:dyDescent="0.3">
      <c r="D56" s="22">
        <v>46245</v>
      </c>
      <c r="E56" s="8" t="s">
        <v>375</v>
      </c>
      <c r="F56" s="8" t="s">
        <v>189</v>
      </c>
      <c r="G56" s="8" t="s">
        <v>190</v>
      </c>
      <c r="I56" s="10">
        <v>1</v>
      </c>
      <c r="J56" s="10">
        <v>0</v>
      </c>
      <c r="K56" s="10">
        <f>MasterTable[[#This Row],[Total
Time]]</f>
        <v>1</v>
      </c>
      <c r="L56" s="10">
        <v>0</v>
      </c>
      <c r="M56" s="13">
        <v>0</v>
      </c>
      <c r="N56" s="13"/>
      <c r="O56" s="10">
        <v>0</v>
      </c>
      <c r="P56" s="10">
        <v>1</v>
      </c>
      <c r="Q56" s="14">
        <v>0</v>
      </c>
      <c r="R56" s="14">
        <v>0</v>
      </c>
      <c r="S56" s="10">
        <v>0</v>
      </c>
      <c r="T56" s="10">
        <v>1</v>
      </c>
      <c r="U56" s="14">
        <v>0</v>
      </c>
      <c r="V56" s="10">
        <v>0</v>
      </c>
      <c r="W56" s="11">
        <v>1</v>
      </c>
      <c r="X56" s="11">
        <v>1</v>
      </c>
      <c r="Y56" s="11">
        <v>0</v>
      </c>
      <c r="Z56" s="11">
        <v>0</v>
      </c>
      <c r="AA56" s="11">
        <f>MasterTable[[#This Row],[Landings
Night]]+MasterTable[[#This Row],[Landings
Day]]</f>
        <v>1</v>
      </c>
      <c r="AB56" s="10">
        <v>0.2</v>
      </c>
      <c r="AC56" s="10">
        <v>0.8</v>
      </c>
      <c r="AD56" s="11">
        <v>1</v>
      </c>
      <c r="AE56" s="21">
        <f>SUM(MasterTable[[#This Row],[ILS]:[PAR]])</f>
        <v>3</v>
      </c>
      <c r="AF56" s="11">
        <v>1</v>
      </c>
      <c r="AG56" s="11">
        <v>1</v>
      </c>
      <c r="AH56" s="11">
        <v>1</v>
      </c>
      <c r="AL56" s="11"/>
      <c r="AR56" s="140" t="str">
        <f>_xlfn.XLOOKUP(MasterTable[[#This Row],[Aircraft ID]],Aircraft!A:A,Aircraft!H:H)</f>
        <v>Airplane Multi Engine Land</v>
      </c>
      <c r="AS56" s="8" t="b">
        <f>OR((SUM(MasterTable[[#This Row],[ILS]:[PAR]]) = MasterTable[[#This Row],[APPR]]))</f>
        <v>1</v>
      </c>
      <c r="AT56" s="8" t="b">
        <f>NOT(ISBLANK(MasterTable[[#This Row],[Total
Time]]))</f>
        <v>1</v>
      </c>
    </row>
    <row r="57" spans="4:46" ht="28.8" x14ac:dyDescent="0.3">
      <c r="D57" s="22">
        <v>46234</v>
      </c>
      <c r="E57" s="8" t="s">
        <v>375</v>
      </c>
      <c r="F57" s="8" t="s">
        <v>189</v>
      </c>
      <c r="G57" s="8" t="s">
        <v>196</v>
      </c>
      <c r="I57" s="10">
        <v>1.3</v>
      </c>
      <c r="J57" s="10">
        <v>0</v>
      </c>
      <c r="K57" s="10">
        <f>MasterTable[[#This Row],[Total
Time]]</f>
        <v>1.3</v>
      </c>
      <c r="L57" s="10">
        <v>0</v>
      </c>
      <c r="M57" s="13">
        <v>0</v>
      </c>
      <c r="N57" s="13"/>
      <c r="O57" s="10">
        <v>0</v>
      </c>
      <c r="P57" s="10">
        <v>1.3</v>
      </c>
      <c r="Q57" s="14">
        <v>0</v>
      </c>
      <c r="R57" s="14">
        <v>0</v>
      </c>
      <c r="S57" s="10">
        <v>0</v>
      </c>
      <c r="T57" s="10">
        <v>1.3</v>
      </c>
      <c r="U57" s="14">
        <v>0</v>
      </c>
      <c r="V57" s="10">
        <v>0</v>
      </c>
      <c r="W57" s="11">
        <v>1</v>
      </c>
      <c r="X57" s="11">
        <v>1</v>
      </c>
      <c r="Y57" s="11">
        <v>0</v>
      </c>
      <c r="Z57" s="11">
        <v>0</v>
      </c>
      <c r="AA57" s="11">
        <f>MasterTable[[#This Row],[Landings
Night]]+MasterTable[[#This Row],[Landings
Day]]</f>
        <v>1</v>
      </c>
      <c r="AB57" s="10">
        <v>0</v>
      </c>
      <c r="AC57" s="10">
        <v>1.1000000000000001</v>
      </c>
      <c r="AD57" s="11">
        <v>1</v>
      </c>
      <c r="AE57" s="21">
        <f>SUM(MasterTable[[#This Row],[ILS]:[PAR]])</f>
        <v>2</v>
      </c>
      <c r="AF57" s="11">
        <v>2</v>
      </c>
      <c r="AL57" s="11"/>
      <c r="AR57" s="140" t="str">
        <f>_xlfn.XLOOKUP(MasterTable[[#This Row],[Aircraft ID]],Aircraft!A:A,Aircraft!H:H)</f>
        <v>Airplane Multi Engine Land</v>
      </c>
      <c r="AS57" s="8" t="b">
        <f>OR((SUM(MasterTable[[#This Row],[ILS]:[PAR]]) = MasterTable[[#This Row],[APPR]]))</f>
        <v>1</v>
      </c>
      <c r="AT57" s="8" t="b">
        <f>NOT(ISBLANK(MasterTable[[#This Row],[Total
Time]]))</f>
        <v>1</v>
      </c>
    </row>
    <row r="58" spans="4:46" ht="28.8" x14ac:dyDescent="0.3">
      <c r="D58" s="22">
        <v>46233</v>
      </c>
      <c r="E58" s="8" t="s">
        <v>375</v>
      </c>
      <c r="F58" s="8" t="s">
        <v>189</v>
      </c>
      <c r="G58" s="8" t="s">
        <v>189</v>
      </c>
      <c r="I58" s="10">
        <v>0.9</v>
      </c>
      <c r="J58" s="10">
        <v>0</v>
      </c>
      <c r="K58" s="10">
        <f>MasterTable[[#This Row],[Total
Time]]</f>
        <v>0.9</v>
      </c>
      <c r="L58" s="10">
        <v>0</v>
      </c>
      <c r="M58" s="13">
        <v>0</v>
      </c>
      <c r="N58" s="13"/>
      <c r="O58" s="10">
        <v>0</v>
      </c>
      <c r="P58" s="10">
        <v>0.9</v>
      </c>
      <c r="Q58" s="14">
        <v>0</v>
      </c>
      <c r="R58" s="14">
        <v>0</v>
      </c>
      <c r="S58" s="10">
        <v>0</v>
      </c>
      <c r="T58" s="10">
        <v>0</v>
      </c>
      <c r="U58" s="14">
        <v>0</v>
      </c>
      <c r="V58" s="10">
        <v>0</v>
      </c>
      <c r="W58" s="11">
        <v>3</v>
      </c>
      <c r="X58" s="11">
        <v>3</v>
      </c>
      <c r="Y58" s="11">
        <v>0</v>
      </c>
      <c r="Z58" s="11">
        <v>0</v>
      </c>
      <c r="AA58" s="11">
        <f>MasterTable[[#This Row],[Landings
Night]]+MasterTable[[#This Row],[Landings
Day]]</f>
        <v>3</v>
      </c>
      <c r="AB58" s="10">
        <v>0</v>
      </c>
      <c r="AC58" s="10">
        <v>0</v>
      </c>
      <c r="AD58" s="11">
        <v>0</v>
      </c>
      <c r="AE58" s="21">
        <f>SUM(MasterTable[[#This Row],[ILS]:[PAR]])</f>
        <v>0</v>
      </c>
      <c r="AL58" s="11"/>
      <c r="AQ58" s="27" t="b">
        <v>1</v>
      </c>
      <c r="AR58" s="140" t="str">
        <f>_xlfn.XLOOKUP(MasterTable[[#This Row],[Aircraft ID]],Aircraft!A:A,Aircraft!H:H)</f>
        <v>Airplane Multi Engine Land</v>
      </c>
      <c r="AS58" s="8" t="b">
        <f>OR((SUM(MasterTable[[#This Row],[ILS]:[PAR]]) = MasterTable[[#This Row],[APPR]]))</f>
        <v>1</v>
      </c>
      <c r="AT58" s="8" t="b">
        <f>NOT(ISBLANK(MasterTable[[#This Row],[Total
Time]]))</f>
        <v>1</v>
      </c>
    </row>
    <row r="59" spans="4:46" ht="28.8" x14ac:dyDescent="0.3">
      <c r="D59" s="22">
        <v>46232</v>
      </c>
      <c r="E59" s="8" t="s">
        <v>375</v>
      </c>
      <c r="F59" s="8" t="s">
        <v>189</v>
      </c>
      <c r="G59" s="8" t="s">
        <v>189</v>
      </c>
      <c r="I59" s="10">
        <v>1</v>
      </c>
      <c r="J59" s="10">
        <v>0</v>
      </c>
      <c r="K59" s="10">
        <f>MasterTable[[#This Row],[Total
Time]]</f>
        <v>1</v>
      </c>
      <c r="L59" s="10">
        <v>0</v>
      </c>
      <c r="M59" s="13">
        <v>0</v>
      </c>
      <c r="N59" s="13"/>
      <c r="O59" s="10">
        <v>0</v>
      </c>
      <c r="P59" s="10">
        <v>1</v>
      </c>
      <c r="Q59" s="14">
        <v>0</v>
      </c>
      <c r="R59" s="14">
        <v>0</v>
      </c>
      <c r="S59" s="10">
        <v>0</v>
      </c>
      <c r="T59" s="10">
        <v>0</v>
      </c>
      <c r="U59" s="14">
        <v>0</v>
      </c>
      <c r="V59" s="10">
        <v>0</v>
      </c>
      <c r="W59" s="11">
        <v>3</v>
      </c>
      <c r="X59" s="11">
        <v>3</v>
      </c>
      <c r="Y59" s="11">
        <v>0</v>
      </c>
      <c r="Z59" s="11">
        <v>0</v>
      </c>
      <c r="AA59" s="11">
        <f>MasterTable[[#This Row],[Landings
Night]]+MasterTable[[#This Row],[Landings
Day]]</f>
        <v>3</v>
      </c>
      <c r="AB59" s="10">
        <v>0</v>
      </c>
      <c r="AC59" s="10">
        <v>0</v>
      </c>
      <c r="AD59" s="11">
        <v>0</v>
      </c>
      <c r="AE59" s="21">
        <f>SUM(MasterTable[[#This Row],[ILS]:[PAR]])</f>
        <v>0</v>
      </c>
      <c r="AL59" s="11"/>
      <c r="AR59" s="140" t="str">
        <f>_xlfn.XLOOKUP(MasterTable[[#This Row],[Aircraft ID]],Aircraft!A:A,Aircraft!H:H)</f>
        <v>Airplane Multi Engine Land</v>
      </c>
      <c r="AS59" s="8" t="b">
        <f>OR((SUM(MasterTable[[#This Row],[ILS]:[PAR]]) = MasterTable[[#This Row],[APPR]]))</f>
        <v>1</v>
      </c>
      <c r="AT59" s="8" t="b">
        <f>NOT(ISBLANK(MasterTable[[#This Row],[Total
Time]]))</f>
        <v>1</v>
      </c>
    </row>
    <row r="60" spans="4:46" ht="28.8" x14ac:dyDescent="0.3">
      <c r="D60" s="22">
        <v>46231</v>
      </c>
      <c r="E60" s="8" t="s">
        <v>375</v>
      </c>
      <c r="F60" s="8" t="s">
        <v>189</v>
      </c>
      <c r="G60" s="8" t="s">
        <v>189</v>
      </c>
      <c r="I60" s="10">
        <v>1</v>
      </c>
      <c r="J60" s="10">
        <v>0</v>
      </c>
      <c r="K60" s="10">
        <f>MasterTable[[#This Row],[Total
Time]]</f>
        <v>1</v>
      </c>
      <c r="L60" s="10">
        <v>0</v>
      </c>
      <c r="M60" s="13">
        <v>0</v>
      </c>
      <c r="N60" s="13"/>
      <c r="O60" s="10">
        <v>0</v>
      </c>
      <c r="P60" s="10">
        <v>1</v>
      </c>
      <c r="Q60" s="14">
        <v>0</v>
      </c>
      <c r="R60" s="14">
        <v>0</v>
      </c>
      <c r="S60" s="10">
        <v>0</v>
      </c>
      <c r="T60" s="10">
        <v>0</v>
      </c>
      <c r="U60" s="14">
        <v>0</v>
      </c>
      <c r="V60" s="10">
        <v>0</v>
      </c>
      <c r="W60" s="11">
        <v>3</v>
      </c>
      <c r="X60" s="11">
        <v>3</v>
      </c>
      <c r="Y60" s="11">
        <v>0</v>
      </c>
      <c r="Z60" s="11">
        <v>0</v>
      </c>
      <c r="AA60" s="11">
        <f>MasterTable[[#This Row],[Landings
Night]]+MasterTable[[#This Row],[Landings
Day]]</f>
        <v>3</v>
      </c>
      <c r="AB60" s="10">
        <v>0</v>
      </c>
      <c r="AC60" s="10">
        <v>0</v>
      </c>
      <c r="AD60" s="11">
        <v>0</v>
      </c>
      <c r="AE60" s="21">
        <f>SUM(MasterTable[[#This Row],[ILS]:[PAR]])</f>
        <v>0</v>
      </c>
      <c r="AL60" s="11"/>
      <c r="AR60" s="140" t="str">
        <f>_xlfn.XLOOKUP(MasterTable[[#This Row],[Aircraft ID]],Aircraft!A:A,Aircraft!H:H)</f>
        <v>Airplane Multi Engine Land</v>
      </c>
      <c r="AS60" s="8" t="b">
        <f>OR((SUM(MasterTable[[#This Row],[ILS]:[PAR]]) = MasterTable[[#This Row],[APPR]]))</f>
        <v>1</v>
      </c>
      <c r="AT60" s="8" t="b">
        <f>NOT(ISBLANK(MasterTable[[#This Row],[Total
Time]]))</f>
        <v>1</v>
      </c>
    </row>
    <row r="61" spans="4:46" ht="28.8" x14ac:dyDescent="0.3">
      <c r="D61" s="22">
        <v>46231</v>
      </c>
      <c r="E61" s="8" t="s">
        <v>375</v>
      </c>
      <c r="F61" s="8" t="s">
        <v>189</v>
      </c>
      <c r="G61" s="8" t="s">
        <v>189</v>
      </c>
      <c r="I61" s="10">
        <v>1</v>
      </c>
      <c r="J61" s="10">
        <v>0</v>
      </c>
      <c r="K61" s="10">
        <f>MasterTable[[#This Row],[Total
Time]]</f>
        <v>1</v>
      </c>
      <c r="L61" s="10">
        <v>0</v>
      </c>
      <c r="M61" s="13">
        <v>0</v>
      </c>
      <c r="N61" s="13"/>
      <c r="O61" s="10">
        <v>0</v>
      </c>
      <c r="P61" s="10">
        <v>1</v>
      </c>
      <c r="Q61" s="14">
        <v>0</v>
      </c>
      <c r="R61" s="14">
        <v>0</v>
      </c>
      <c r="S61" s="10">
        <v>0</v>
      </c>
      <c r="T61" s="10">
        <v>0</v>
      </c>
      <c r="U61" s="14">
        <v>0</v>
      </c>
      <c r="V61" s="10">
        <v>0</v>
      </c>
      <c r="W61" s="11">
        <v>3</v>
      </c>
      <c r="X61" s="11">
        <v>3</v>
      </c>
      <c r="Y61" s="11">
        <v>0</v>
      </c>
      <c r="Z61" s="11">
        <v>0</v>
      </c>
      <c r="AA61" s="11">
        <f>MasterTable[[#This Row],[Landings
Night]]+MasterTable[[#This Row],[Landings
Day]]</f>
        <v>3</v>
      </c>
      <c r="AB61" s="10">
        <v>0</v>
      </c>
      <c r="AC61" s="10">
        <v>0</v>
      </c>
      <c r="AD61" s="11">
        <v>0</v>
      </c>
      <c r="AE61" s="21">
        <f>SUM(MasterTable[[#This Row],[ILS]:[PAR]])</f>
        <v>0</v>
      </c>
      <c r="AL61" s="11"/>
      <c r="AR61" s="140" t="str">
        <f>_xlfn.XLOOKUP(MasterTable[[#This Row],[Aircraft ID]],Aircraft!A:A,Aircraft!H:H)</f>
        <v>Airplane Multi Engine Land</v>
      </c>
      <c r="AS61" s="8" t="b">
        <f>OR((SUM(MasterTable[[#This Row],[ILS]:[PAR]]) = MasterTable[[#This Row],[APPR]]))</f>
        <v>1</v>
      </c>
      <c r="AT61" s="8" t="b">
        <f>NOT(ISBLANK(MasterTable[[#This Row],[Total
Time]]))</f>
        <v>1</v>
      </c>
    </row>
    <row r="62" spans="4:46" ht="28.8" x14ac:dyDescent="0.3">
      <c r="D62" s="22">
        <v>46230</v>
      </c>
      <c r="E62" s="8" t="s">
        <v>375</v>
      </c>
      <c r="F62" s="8" t="s">
        <v>189</v>
      </c>
      <c r="G62" s="8" t="s">
        <v>189</v>
      </c>
      <c r="I62" s="10">
        <v>0.9</v>
      </c>
      <c r="J62" s="10">
        <v>0.9</v>
      </c>
      <c r="K62" s="10">
        <f>MasterTable[[#This Row],[Total
Time]]</f>
        <v>0.9</v>
      </c>
      <c r="L62" s="10">
        <v>0</v>
      </c>
      <c r="M62" s="13">
        <v>0</v>
      </c>
      <c r="N62" s="13"/>
      <c r="O62" s="10">
        <v>0</v>
      </c>
      <c r="P62" s="10">
        <v>0</v>
      </c>
      <c r="Q62" s="14">
        <v>0</v>
      </c>
      <c r="R62" s="14">
        <v>0</v>
      </c>
      <c r="S62" s="10">
        <v>0</v>
      </c>
      <c r="T62" s="10">
        <v>0</v>
      </c>
      <c r="U62" s="14">
        <v>0</v>
      </c>
      <c r="V62" s="10">
        <v>0</v>
      </c>
      <c r="W62" s="11">
        <v>2</v>
      </c>
      <c r="X62" s="11">
        <v>2</v>
      </c>
      <c r="Y62" s="11">
        <v>0</v>
      </c>
      <c r="Z62" s="11">
        <v>0</v>
      </c>
      <c r="AA62" s="11">
        <f>MasterTable[[#This Row],[Landings
Night]]+MasterTable[[#This Row],[Landings
Day]]</f>
        <v>2</v>
      </c>
      <c r="AB62" s="10">
        <v>0</v>
      </c>
      <c r="AC62" s="10">
        <v>0</v>
      </c>
      <c r="AD62" s="11">
        <v>0</v>
      </c>
      <c r="AE62" s="21">
        <f>SUM(MasterTable[[#This Row],[ILS]:[PAR]])</f>
        <v>0</v>
      </c>
      <c r="AL62" s="11"/>
      <c r="AR62" s="140" t="str">
        <f>_xlfn.XLOOKUP(MasterTable[[#This Row],[Aircraft ID]],Aircraft!A:A,Aircraft!H:H)</f>
        <v>Airplane Multi Engine Land</v>
      </c>
      <c r="AS62" s="8" t="b">
        <f>OR((SUM(MasterTable[[#This Row],[ILS]:[PAR]]) = MasterTable[[#This Row],[APPR]]))</f>
        <v>1</v>
      </c>
      <c r="AT62" s="8" t="b">
        <f>NOT(ISBLANK(MasterTable[[#This Row],[Total
Time]]))</f>
        <v>1</v>
      </c>
    </row>
    <row r="63" spans="4:46" ht="28.8" x14ac:dyDescent="0.3">
      <c r="D63" s="22">
        <v>46230</v>
      </c>
      <c r="E63" s="8" t="s">
        <v>375</v>
      </c>
      <c r="F63" s="8" t="s">
        <v>189</v>
      </c>
      <c r="G63" s="8" t="s">
        <v>189</v>
      </c>
      <c r="I63" s="10">
        <v>1.2</v>
      </c>
      <c r="J63" s="10">
        <v>0</v>
      </c>
      <c r="K63" s="10">
        <f>MasterTable[[#This Row],[Total
Time]]</f>
        <v>1.2</v>
      </c>
      <c r="L63" s="10">
        <v>0</v>
      </c>
      <c r="M63" s="13">
        <v>0</v>
      </c>
      <c r="N63" s="13"/>
      <c r="O63" s="10">
        <v>0</v>
      </c>
      <c r="P63" s="10">
        <v>1.2</v>
      </c>
      <c r="Q63" s="14">
        <v>0</v>
      </c>
      <c r="R63" s="14">
        <v>0</v>
      </c>
      <c r="S63" s="10">
        <v>0</v>
      </c>
      <c r="T63" s="10">
        <v>0</v>
      </c>
      <c r="U63" s="14">
        <v>0</v>
      </c>
      <c r="V63" s="10">
        <v>0</v>
      </c>
      <c r="W63" s="11">
        <v>5</v>
      </c>
      <c r="X63" s="11">
        <v>5</v>
      </c>
      <c r="Y63" s="11">
        <v>0</v>
      </c>
      <c r="Z63" s="11">
        <v>0</v>
      </c>
      <c r="AA63" s="11">
        <f>MasterTable[[#This Row],[Landings
Night]]+MasterTable[[#This Row],[Landings
Day]]</f>
        <v>5</v>
      </c>
      <c r="AB63" s="10">
        <v>0</v>
      </c>
      <c r="AC63" s="10">
        <v>0</v>
      </c>
      <c r="AD63" s="11">
        <v>0</v>
      </c>
      <c r="AE63" s="21">
        <f>SUM(MasterTable[[#This Row],[ILS]:[PAR]])</f>
        <v>0</v>
      </c>
      <c r="AL63" s="11"/>
      <c r="AR63" s="140" t="str">
        <f>_xlfn.XLOOKUP(MasterTable[[#This Row],[Aircraft ID]],Aircraft!A:A,Aircraft!H:H)</f>
        <v>Airplane Multi Engine Land</v>
      </c>
      <c r="AS63" s="8" t="b">
        <f>OR((SUM(MasterTable[[#This Row],[ILS]:[PAR]]) = MasterTable[[#This Row],[APPR]]))</f>
        <v>1</v>
      </c>
      <c r="AT63" s="8" t="b">
        <f>NOT(ISBLANK(MasterTable[[#This Row],[Total
Time]]))</f>
        <v>1</v>
      </c>
    </row>
    <row r="64" spans="4:46" ht="28.8" x14ac:dyDescent="0.3">
      <c r="D64" s="22">
        <v>46227</v>
      </c>
      <c r="E64" s="8" t="s">
        <v>375</v>
      </c>
      <c r="F64" s="8" t="s">
        <v>189</v>
      </c>
      <c r="G64" s="8" t="s">
        <v>189</v>
      </c>
      <c r="I64" s="10">
        <v>0.9</v>
      </c>
      <c r="J64" s="10">
        <v>0.9</v>
      </c>
      <c r="K64" s="10">
        <f>MasterTable[[#This Row],[Total
Time]]</f>
        <v>0.9</v>
      </c>
      <c r="L64" s="10">
        <v>0</v>
      </c>
      <c r="M64" s="13">
        <v>0</v>
      </c>
      <c r="N64" s="13"/>
      <c r="O64" s="10">
        <v>0</v>
      </c>
      <c r="P64" s="10">
        <v>0</v>
      </c>
      <c r="Q64" s="14">
        <v>0</v>
      </c>
      <c r="R64" s="14">
        <v>0</v>
      </c>
      <c r="S64" s="10">
        <v>0</v>
      </c>
      <c r="T64" s="10">
        <v>0</v>
      </c>
      <c r="U64" s="14">
        <v>0</v>
      </c>
      <c r="V64" s="10">
        <v>0</v>
      </c>
      <c r="W64" s="11">
        <v>4</v>
      </c>
      <c r="X64" s="11">
        <v>4</v>
      </c>
      <c r="Y64" s="11">
        <v>0</v>
      </c>
      <c r="Z64" s="11">
        <v>0</v>
      </c>
      <c r="AA64" s="11">
        <f>MasterTable[[#This Row],[Landings
Night]]+MasterTable[[#This Row],[Landings
Day]]</f>
        <v>4</v>
      </c>
      <c r="AB64" s="10">
        <v>0</v>
      </c>
      <c r="AC64" s="10">
        <v>0</v>
      </c>
      <c r="AD64" s="11">
        <v>0</v>
      </c>
      <c r="AE64" s="21">
        <f>SUM(MasterTable[[#This Row],[ILS]:[PAR]])</f>
        <v>0</v>
      </c>
      <c r="AL64" s="11"/>
      <c r="AR64" s="140" t="str">
        <f>_xlfn.XLOOKUP(MasterTable[[#This Row],[Aircraft ID]],Aircraft!A:A,Aircraft!H:H)</f>
        <v>Airplane Multi Engine Land</v>
      </c>
      <c r="AS64" s="8" t="b">
        <f>OR((SUM(MasterTable[[#This Row],[ILS]:[PAR]]) = MasterTable[[#This Row],[APPR]]))</f>
        <v>1</v>
      </c>
      <c r="AT64" s="8" t="b">
        <f>NOT(ISBLANK(MasterTable[[#This Row],[Total
Time]]))</f>
        <v>1</v>
      </c>
    </row>
    <row r="65" spans="4:46" ht="28.8" x14ac:dyDescent="0.3">
      <c r="D65" s="22">
        <v>46227</v>
      </c>
      <c r="E65" s="8" t="s">
        <v>375</v>
      </c>
      <c r="F65" s="8" t="s">
        <v>189</v>
      </c>
      <c r="G65" s="8" t="s">
        <v>189</v>
      </c>
      <c r="I65" s="10">
        <v>1.1000000000000001</v>
      </c>
      <c r="J65" s="10">
        <v>0</v>
      </c>
      <c r="K65" s="10">
        <f>MasterTable[[#This Row],[Total
Time]]</f>
        <v>1.1000000000000001</v>
      </c>
      <c r="L65" s="10">
        <v>0</v>
      </c>
      <c r="M65" s="13">
        <v>0</v>
      </c>
      <c r="N65" s="13"/>
      <c r="O65" s="10">
        <v>0</v>
      </c>
      <c r="P65" s="10">
        <v>1.1000000000000001</v>
      </c>
      <c r="Q65" s="14">
        <v>0</v>
      </c>
      <c r="R65" s="14">
        <v>0</v>
      </c>
      <c r="S65" s="10">
        <v>0</v>
      </c>
      <c r="T65" s="10">
        <v>0</v>
      </c>
      <c r="U65" s="14">
        <v>0</v>
      </c>
      <c r="V65" s="10">
        <v>0</v>
      </c>
      <c r="W65" s="11">
        <v>5</v>
      </c>
      <c r="X65" s="11">
        <v>5</v>
      </c>
      <c r="Y65" s="11">
        <v>0</v>
      </c>
      <c r="Z65" s="11">
        <v>0</v>
      </c>
      <c r="AA65" s="11">
        <f>MasterTable[[#This Row],[Landings
Night]]+MasterTable[[#This Row],[Landings
Day]]</f>
        <v>5</v>
      </c>
      <c r="AB65" s="10">
        <v>0</v>
      </c>
      <c r="AC65" s="10">
        <v>0</v>
      </c>
      <c r="AD65" s="11">
        <v>0</v>
      </c>
      <c r="AE65" s="21">
        <f>SUM(MasterTable[[#This Row],[ILS]:[PAR]])</f>
        <v>0</v>
      </c>
      <c r="AL65" s="11"/>
      <c r="AR65" s="140" t="str">
        <f>_xlfn.XLOOKUP(MasterTable[[#This Row],[Aircraft ID]],Aircraft!A:A,Aircraft!H:H)</f>
        <v>Airplane Multi Engine Land</v>
      </c>
      <c r="AS65" s="8" t="b">
        <f>OR((SUM(MasterTable[[#This Row],[ILS]:[PAR]]) = MasterTable[[#This Row],[APPR]]))</f>
        <v>1</v>
      </c>
      <c r="AT65" s="8" t="b">
        <f>NOT(ISBLANK(MasterTable[[#This Row],[Total
Time]]))</f>
        <v>1</v>
      </c>
    </row>
    <row r="66" spans="4:46" ht="28.8" x14ac:dyDescent="0.3">
      <c r="D66" s="22">
        <v>46224</v>
      </c>
      <c r="E66" s="8" t="s">
        <v>375</v>
      </c>
      <c r="F66" s="8" t="s">
        <v>189</v>
      </c>
      <c r="G66" s="8" t="s">
        <v>189</v>
      </c>
      <c r="I66" s="10">
        <v>0.9</v>
      </c>
      <c r="J66" s="10">
        <v>0.9</v>
      </c>
      <c r="K66" s="10">
        <f>MasterTable[[#This Row],[Total
Time]]</f>
        <v>0.9</v>
      </c>
      <c r="L66" s="10">
        <v>0</v>
      </c>
      <c r="M66" s="13">
        <v>0</v>
      </c>
      <c r="N66" s="13"/>
      <c r="O66" s="10">
        <v>0</v>
      </c>
      <c r="P66" s="10">
        <v>0</v>
      </c>
      <c r="Q66" s="14">
        <v>0</v>
      </c>
      <c r="R66" s="14">
        <v>0</v>
      </c>
      <c r="S66" s="10">
        <v>0</v>
      </c>
      <c r="T66" s="10">
        <v>0</v>
      </c>
      <c r="U66" s="14">
        <v>0</v>
      </c>
      <c r="V66" s="10">
        <v>0</v>
      </c>
      <c r="W66" s="11">
        <v>2</v>
      </c>
      <c r="X66" s="11">
        <v>2</v>
      </c>
      <c r="Y66" s="11">
        <v>0</v>
      </c>
      <c r="Z66" s="11">
        <v>0</v>
      </c>
      <c r="AA66" s="11">
        <f>MasterTable[[#This Row],[Landings
Night]]+MasterTable[[#This Row],[Landings
Day]]</f>
        <v>2</v>
      </c>
      <c r="AB66" s="10">
        <v>0</v>
      </c>
      <c r="AC66" s="10">
        <v>0</v>
      </c>
      <c r="AD66" s="11">
        <v>0</v>
      </c>
      <c r="AE66" s="21">
        <f>SUM(MasterTable[[#This Row],[ILS]:[PAR]])</f>
        <v>0</v>
      </c>
      <c r="AL66" s="11"/>
      <c r="AR66" s="140" t="str">
        <f>_xlfn.XLOOKUP(MasterTable[[#This Row],[Aircraft ID]],Aircraft!A:A,Aircraft!H:H)</f>
        <v>Airplane Multi Engine Land</v>
      </c>
      <c r="AS66" s="8" t="b">
        <f>OR((SUM(MasterTable[[#This Row],[ILS]:[PAR]]) = MasterTable[[#This Row],[APPR]]))</f>
        <v>1</v>
      </c>
      <c r="AT66" s="8" t="b">
        <f>NOT(ISBLANK(MasterTable[[#This Row],[Total
Time]]))</f>
        <v>1</v>
      </c>
    </row>
    <row r="67" spans="4:46" ht="28.8" x14ac:dyDescent="0.3">
      <c r="D67" s="22">
        <v>46223</v>
      </c>
      <c r="E67" s="8" t="s">
        <v>375</v>
      </c>
      <c r="F67" s="8" t="s">
        <v>189</v>
      </c>
      <c r="G67" s="8" t="s">
        <v>189</v>
      </c>
      <c r="I67" s="10">
        <v>1</v>
      </c>
      <c r="J67" s="10">
        <v>0</v>
      </c>
      <c r="K67" s="10">
        <f>MasterTable[[#This Row],[Total
Time]]</f>
        <v>1</v>
      </c>
      <c r="L67" s="10">
        <v>0</v>
      </c>
      <c r="M67" s="13">
        <v>0</v>
      </c>
      <c r="N67" s="13"/>
      <c r="O67" s="10">
        <v>0</v>
      </c>
      <c r="P67" s="10">
        <v>1</v>
      </c>
      <c r="Q67" s="14">
        <v>0</v>
      </c>
      <c r="R67" s="14">
        <v>0</v>
      </c>
      <c r="S67" s="10">
        <v>0</v>
      </c>
      <c r="T67" s="10">
        <v>0</v>
      </c>
      <c r="U67" s="14">
        <v>0</v>
      </c>
      <c r="V67" s="10">
        <v>0</v>
      </c>
      <c r="W67" s="11">
        <v>3</v>
      </c>
      <c r="X67" s="11">
        <v>3</v>
      </c>
      <c r="Y67" s="11">
        <v>0</v>
      </c>
      <c r="Z67" s="11">
        <v>0</v>
      </c>
      <c r="AA67" s="11">
        <f>MasterTable[[#This Row],[Landings
Night]]+MasterTable[[#This Row],[Landings
Day]]</f>
        <v>3</v>
      </c>
      <c r="AB67" s="10">
        <v>0</v>
      </c>
      <c r="AC67" s="10">
        <v>0</v>
      </c>
      <c r="AD67" s="11">
        <v>0</v>
      </c>
      <c r="AE67" s="21">
        <f>SUM(MasterTable[[#This Row],[ILS]:[PAR]])</f>
        <v>0</v>
      </c>
      <c r="AL67" s="11"/>
      <c r="AR67" s="140" t="str">
        <f>_xlfn.XLOOKUP(MasterTable[[#This Row],[Aircraft ID]],Aircraft!A:A,Aircraft!H:H)</f>
        <v>Airplane Multi Engine Land</v>
      </c>
      <c r="AS67" s="8" t="b">
        <f>OR((SUM(MasterTable[[#This Row],[ILS]:[PAR]]) = MasterTable[[#This Row],[APPR]]))</f>
        <v>1</v>
      </c>
      <c r="AT67" s="8" t="b">
        <f>NOT(ISBLANK(MasterTable[[#This Row],[Total
Time]]))</f>
        <v>1</v>
      </c>
    </row>
    <row r="68" spans="4:46" ht="28.8" x14ac:dyDescent="0.3">
      <c r="D68" s="22">
        <v>46220</v>
      </c>
      <c r="E68" s="8" t="s">
        <v>375</v>
      </c>
      <c r="F68" s="8" t="s">
        <v>189</v>
      </c>
      <c r="G68" s="8" t="s">
        <v>197</v>
      </c>
      <c r="I68" s="10">
        <v>1</v>
      </c>
      <c r="J68" s="10">
        <v>0</v>
      </c>
      <c r="K68" s="10">
        <f>MasterTable[[#This Row],[Total
Time]]</f>
        <v>1</v>
      </c>
      <c r="L68" s="10">
        <v>0</v>
      </c>
      <c r="M68" s="13">
        <v>0</v>
      </c>
      <c r="N68" s="13"/>
      <c r="O68" s="10">
        <v>0</v>
      </c>
      <c r="P68" s="10">
        <v>1</v>
      </c>
      <c r="Q68" s="14">
        <v>0</v>
      </c>
      <c r="R68" s="14">
        <v>0</v>
      </c>
      <c r="S68" s="10">
        <v>0</v>
      </c>
      <c r="T68" s="10">
        <v>1</v>
      </c>
      <c r="U68" s="14">
        <v>0</v>
      </c>
      <c r="V68" s="10">
        <v>0</v>
      </c>
      <c r="W68" s="11">
        <v>1</v>
      </c>
      <c r="X68" s="11">
        <v>1</v>
      </c>
      <c r="Y68" s="11">
        <v>0</v>
      </c>
      <c r="Z68" s="11">
        <v>0</v>
      </c>
      <c r="AA68" s="11">
        <f>MasterTable[[#This Row],[Landings
Night]]+MasterTable[[#This Row],[Landings
Day]]</f>
        <v>1</v>
      </c>
      <c r="AB68" s="10">
        <v>0.5</v>
      </c>
      <c r="AC68" s="10">
        <v>0</v>
      </c>
      <c r="AD68" s="11">
        <v>1</v>
      </c>
      <c r="AE68" s="21">
        <f>SUM(MasterTable[[#This Row],[ILS]:[PAR]])</f>
        <v>2</v>
      </c>
      <c r="AF68" s="11">
        <v>2</v>
      </c>
      <c r="AL68" s="11"/>
      <c r="AR68" s="140" t="str">
        <f>_xlfn.XLOOKUP(MasterTable[[#This Row],[Aircraft ID]],Aircraft!A:A,Aircraft!H:H)</f>
        <v>Airplane Multi Engine Land</v>
      </c>
      <c r="AS68" s="8" t="b">
        <f>OR((SUM(MasterTable[[#This Row],[ILS]:[PAR]]) = MasterTable[[#This Row],[APPR]]))</f>
        <v>1</v>
      </c>
      <c r="AT68" s="8" t="b">
        <f>NOT(ISBLANK(MasterTable[[#This Row],[Total
Time]]))</f>
        <v>1</v>
      </c>
    </row>
    <row r="69" spans="4:46" ht="28.8" x14ac:dyDescent="0.3">
      <c r="D69" s="22">
        <v>46217</v>
      </c>
      <c r="E69" s="8" t="s">
        <v>375</v>
      </c>
      <c r="F69" s="8" t="s">
        <v>189</v>
      </c>
      <c r="G69" s="8" t="s">
        <v>189</v>
      </c>
      <c r="I69" s="10">
        <v>1.3</v>
      </c>
      <c r="J69" s="10">
        <v>0</v>
      </c>
      <c r="K69" s="10">
        <f>MasterTable[[#This Row],[Total
Time]]</f>
        <v>1.3</v>
      </c>
      <c r="L69" s="10">
        <v>0</v>
      </c>
      <c r="M69" s="13">
        <v>0</v>
      </c>
      <c r="N69" s="13"/>
      <c r="O69" s="10">
        <v>0</v>
      </c>
      <c r="P69" s="10">
        <v>1.3</v>
      </c>
      <c r="Q69" s="14">
        <v>0</v>
      </c>
      <c r="R69" s="14">
        <v>0</v>
      </c>
      <c r="S69" s="10">
        <v>0</v>
      </c>
      <c r="T69" s="10">
        <v>0</v>
      </c>
      <c r="U69" s="14">
        <v>0</v>
      </c>
      <c r="V69" s="10">
        <v>0</v>
      </c>
      <c r="W69" s="11">
        <v>1</v>
      </c>
      <c r="X69" s="11">
        <v>1</v>
      </c>
      <c r="Y69" s="11">
        <v>0</v>
      </c>
      <c r="Z69" s="11">
        <v>0</v>
      </c>
      <c r="AA69" s="11">
        <f>MasterTable[[#This Row],[Landings
Night]]+MasterTable[[#This Row],[Landings
Day]]</f>
        <v>1</v>
      </c>
      <c r="AB69" s="10">
        <v>0</v>
      </c>
      <c r="AC69" s="10">
        <v>1.1000000000000001</v>
      </c>
      <c r="AD69" s="11">
        <v>1</v>
      </c>
      <c r="AE69" s="21">
        <f>SUM(MasterTable[[#This Row],[ILS]:[PAR]])</f>
        <v>3</v>
      </c>
      <c r="AH69" s="11">
        <v>1</v>
      </c>
      <c r="AI69" s="11">
        <v>1</v>
      </c>
      <c r="AJ69" s="11">
        <v>1</v>
      </c>
      <c r="AL69" s="11"/>
      <c r="AR69" s="140" t="str">
        <f>_xlfn.XLOOKUP(MasterTable[[#This Row],[Aircraft ID]],Aircraft!A:A,Aircraft!H:H)</f>
        <v>Airplane Multi Engine Land</v>
      </c>
      <c r="AS69" s="8" t="b">
        <f>OR((SUM(MasterTable[[#This Row],[ILS]:[PAR]]) = MasterTable[[#This Row],[APPR]]))</f>
        <v>1</v>
      </c>
      <c r="AT69" s="8" t="b">
        <f>NOT(ISBLANK(MasterTable[[#This Row],[Total
Time]]))</f>
        <v>1</v>
      </c>
    </row>
    <row r="70" spans="4:46" ht="28.8" x14ac:dyDescent="0.3">
      <c r="D70" s="22">
        <v>46212</v>
      </c>
      <c r="E70" s="8" t="s">
        <v>375</v>
      </c>
      <c r="F70" s="8" t="s">
        <v>189</v>
      </c>
      <c r="G70" s="8" t="s">
        <v>189</v>
      </c>
      <c r="I70" s="10">
        <v>1.1000000000000001</v>
      </c>
      <c r="J70" s="10">
        <v>0</v>
      </c>
      <c r="K70" s="10">
        <f>MasterTable[[#This Row],[Total
Time]]</f>
        <v>1.1000000000000001</v>
      </c>
      <c r="L70" s="10">
        <v>0</v>
      </c>
      <c r="M70" s="13">
        <v>0</v>
      </c>
      <c r="N70" s="13"/>
      <c r="O70" s="10">
        <v>0</v>
      </c>
      <c r="P70" s="10">
        <v>1.1000000000000001</v>
      </c>
      <c r="Q70" s="14">
        <v>0</v>
      </c>
      <c r="R70" s="14">
        <v>0</v>
      </c>
      <c r="S70" s="10">
        <v>0</v>
      </c>
      <c r="T70" s="10">
        <v>0</v>
      </c>
      <c r="U70" s="14">
        <v>0</v>
      </c>
      <c r="V70" s="10">
        <v>0</v>
      </c>
      <c r="W70" s="11">
        <v>5</v>
      </c>
      <c r="X70" s="11">
        <v>5</v>
      </c>
      <c r="Y70" s="11">
        <v>0</v>
      </c>
      <c r="Z70" s="11">
        <v>0</v>
      </c>
      <c r="AA70" s="11">
        <f>MasterTable[[#This Row],[Landings
Night]]+MasterTable[[#This Row],[Landings
Day]]</f>
        <v>5</v>
      </c>
      <c r="AB70" s="10">
        <v>0</v>
      </c>
      <c r="AC70" s="10">
        <v>0</v>
      </c>
      <c r="AD70" s="11">
        <v>0</v>
      </c>
      <c r="AE70" s="21">
        <f>SUM(MasterTable[[#This Row],[ILS]:[PAR]])</f>
        <v>0</v>
      </c>
      <c r="AL70" s="11"/>
      <c r="AR70" s="140" t="str">
        <f>_xlfn.XLOOKUP(MasterTable[[#This Row],[Aircraft ID]],Aircraft!A:A,Aircraft!H:H)</f>
        <v>Airplane Multi Engine Land</v>
      </c>
      <c r="AS70" s="8" t="b">
        <f>OR((SUM(MasterTable[[#This Row],[ILS]:[PAR]]) = MasterTable[[#This Row],[APPR]]))</f>
        <v>1</v>
      </c>
      <c r="AT70" s="8" t="b">
        <f>NOT(ISBLANK(MasterTable[[#This Row],[Total
Time]]))</f>
        <v>1</v>
      </c>
    </row>
    <row r="71" spans="4:46" ht="28.8" x14ac:dyDescent="0.3">
      <c r="D71" s="22">
        <v>46212</v>
      </c>
      <c r="E71" s="8" t="s">
        <v>375</v>
      </c>
      <c r="F71" s="8" t="s">
        <v>189</v>
      </c>
      <c r="G71" s="8" t="s">
        <v>189</v>
      </c>
      <c r="I71" s="10">
        <v>0.4</v>
      </c>
      <c r="J71" s="10">
        <v>0</v>
      </c>
      <c r="K71" s="10">
        <f>MasterTable[[#This Row],[Total
Time]]</f>
        <v>0.4</v>
      </c>
      <c r="L71" s="10">
        <v>0</v>
      </c>
      <c r="M71" s="13">
        <v>0</v>
      </c>
      <c r="N71" s="13"/>
      <c r="O71" s="10">
        <v>0</v>
      </c>
      <c r="P71" s="10">
        <v>0.4</v>
      </c>
      <c r="Q71" s="14">
        <v>0</v>
      </c>
      <c r="R71" s="14">
        <v>0</v>
      </c>
      <c r="S71" s="10">
        <v>0</v>
      </c>
      <c r="T71" s="10">
        <v>0</v>
      </c>
      <c r="U71" s="14">
        <v>0</v>
      </c>
      <c r="V71" s="10">
        <v>0</v>
      </c>
      <c r="W71" s="11">
        <v>1</v>
      </c>
      <c r="X71" s="11">
        <v>1</v>
      </c>
      <c r="Y71" s="11">
        <v>0</v>
      </c>
      <c r="Z71" s="11">
        <v>0</v>
      </c>
      <c r="AA71" s="11">
        <f>MasterTable[[#This Row],[Landings
Night]]+MasterTable[[#This Row],[Landings
Day]]</f>
        <v>1</v>
      </c>
      <c r="AB71" s="10">
        <v>0</v>
      </c>
      <c r="AC71" s="10">
        <v>0</v>
      </c>
      <c r="AD71" s="11">
        <v>0</v>
      </c>
      <c r="AE71" s="21">
        <f>SUM(MasterTable[[#This Row],[ILS]:[PAR]])</f>
        <v>0</v>
      </c>
      <c r="AL71" s="11"/>
      <c r="AM71" s="8" t="s">
        <v>434</v>
      </c>
      <c r="AR71" s="140" t="str">
        <f>_xlfn.XLOOKUP(MasterTable[[#This Row],[Aircraft ID]],Aircraft!A:A,Aircraft!H:H)</f>
        <v>Airplane Multi Engine Land</v>
      </c>
      <c r="AS71" s="8" t="b">
        <f>OR((SUM(MasterTable[[#This Row],[ILS]:[PAR]]) = MasterTable[[#This Row],[APPR]]))</f>
        <v>1</v>
      </c>
      <c r="AT71" s="8" t="b">
        <f>NOT(ISBLANK(MasterTable[[#This Row],[Total
Time]]))</f>
        <v>1</v>
      </c>
    </row>
    <row r="72" spans="4:46" ht="28.8" x14ac:dyDescent="0.3">
      <c r="D72" s="22">
        <v>46209</v>
      </c>
      <c r="E72" s="8" t="s">
        <v>375</v>
      </c>
      <c r="F72" s="8" t="s">
        <v>189</v>
      </c>
      <c r="G72" s="8" t="s">
        <v>189</v>
      </c>
      <c r="I72" s="10">
        <v>1</v>
      </c>
      <c r="J72" s="10">
        <v>0</v>
      </c>
      <c r="K72" s="10">
        <f>MasterTable[[#This Row],[Total
Time]]</f>
        <v>1</v>
      </c>
      <c r="L72" s="10">
        <v>0</v>
      </c>
      <c r="M72" s="13">
        <v>0</v>
      </c>
      <c r="N72" s="13"/>
      <c r="O72" s="10">
        <v>0</v>
      </c>
      <c r="P72" s="10">
        <v>1</v>
      </c>
      <c r="Q72" s="14">
        <v>0</v>
      </c>
      <c r="R72" s="14">
        <v>0</v>
      </c>
      <c r="S72" s="10">
        <v>0</v>
      </c>
      <c r="T72" s="10">
        <v>0</v>
      </c>
      <c r="U72" s="14">
        <v>0</v>
      </c>
      <c r="V72" s="10">
        <v>0</v>
      </c>
      <c r="W72" s="11">
        <v>4</v>
      </c>
      <c r="X72" s="11">
        <v>4</v>
      </c>
      <c r="Y72" s="11">
        <v>0</v>
      </c>
      <c r="Z72" s="11">
        <v>0</v>
      </c>
      <c r="AA72" s="11">
        <f>MasterTable[[#This Row],[Landings
Night]]+MasterTable[[#This Row],[Landings
Day]]</f>
        <v>4</v>
      </c>
      <c r="AB72" s="10">
        <v>0</v>
      </c>
      <c r="AC72" s="10">
        <v>0</v>
      </c>
      <c r="AD72" s="11">
        <v>0</v>
      </c>
      <c r="AE72" s="21">
        <f>SUM(MasterTable[[#This Row],[ILS]:[PAR]])</f>
        <v>0</v>
      </c>
      <c r="AL72" s="11"/>
      <c r="AR72" s="140" t="str">
        <f>_xlfn.XLOOKUP(MasterTable[[#This Row],[Aircraft ID]],Aircraft!A:A,Aircraft!H:H)</f>
        <v>Airplane Multi Engine Land</v>
      </c>
      <c r="AS72" s="8" t="b">
        <f>OR((SUM(MasterTable[[#This Row],[ILS]:[PAR]]) = MasterTable[[#This Row],[APPR]]))</f>
        <v>1</v>
      </c>
      <c r="AT72" s="8" t="b">
        <f>NOT(ISBLANK(MasterTable[[#This Row],[Total
Time]]))</f>
        <v>1</v>
      </c>
    </row>
    <row r="73" spans="4:46" ht="28.8" x14ac:dyDescent="0.3">
      <c r="D73" s="22">
        <v>46204</v>
      </c>
      <c r="E73" s="8" t="s">
        <v>375</v>
      </c>
      <c r="F73" s="8" t="s">
        <v>189</v>
      </c>
      <c r="G73" s="8" t="s">
        <v>189</v>
      </c>
      <c r="I73" s="10">
        <v>1</v>
      </c>
      <c r="J73" s="10">
        <v>0</v>
      </c>
      <c r="K73" s="10">
        <f>MasterTable[[#This Row],[Total
Time]]</f>
        <v>1</v>
      </c>
      <c r="L73" s="10">
        <v>0</v>
      </c>
      <c r="M73" s="13">
        <v>0</v>
      </c>
      <c r="N73" s="13"/>
      <c r="O73" s="10">
        <v>0</v>
      </c>
      <c r="P73" s="10">
        <v>1</v>
      </c>
      <c r="Q73" s="14">
        <v>0</v>
      </c>
      <c r="R73" s="14">
        <v>0</v>
      </c>
      <c r="S73" s="10">
        <v>0</v>
      </c>
      <c r="T73" s="10">
        <v>0</v>
      </c>
      <c r="U73" s="14">
        <v>0</v>
      </c>
      <c r="V73" s="10">
        <v>0</v>
      </c>
      <c r="W73" s="11">
        <v>5</v>
      </c>
      <c r="X73" s="11">
        <v>5</v>
      </c>
      <c r="Y73" s="11">
        <v>0</v>
      </c>
      <c r="Z73" s="11">
        <v>0</v>
      </c>
      <c r="AA73" s="11">
        <f>MasterTable[[#This Row],[Landings
Night]]+MasterTable[[#This Row],[Landings
Day]]</f>
        <v>5</v>
      </c>
      <c r="AB73" s="10">
        <v>0</v>
      </c>
      <c r="AC73" s="10">
        <v>0</v>
      </c>
      <c r="AD73" s="11">
        <v>0</v>
      </c>
      <c r="AE73" s="21">
        <f>SUM(MasterTable[[#This Row],[ILS]:[PAR]])</f>
        <v>0</v>
      </c>
      <c r="AL73" s="11"/>
      <c r="AR73" s="140" t="str">
        <f>_xlfn.XLOOKUP(MasterTable[[#This Row],[Aircraft ID]],Aircraft!A:A,Aircraft!H:H)</f>
        <v>Airplane Multi Engine Land</v>
      </c>
      <c r="AS73" s="8" t="b">
        <f>OR((SUM(MasterTable[[#This Row],[ILS]:[PAR]]) = MasterTable[[#This Row],[APPR]]))</f>
        <v>1</v>
      </c>
      <c r="AT73" s="8" t="b">
        <f>NOT(ISBLANK(MasterTable[[#This Row],[Total
Time]]))</f>
        <v>1</v>
      </c>
    </row>
    <row r="74" spans="4:46" ht="28.8" x14ac:dyDescent="0.3">
      <c r="D74" s="22">
        <v>46203</v>
      </c>
      <c r="E74" s="8" t="s">
        <v>375</v>
      </c>
      <c r="F74" s="8" t="s">
        <v>189</v>
      </c>
      <c r="G74" s="8" t="s">
        <v>189</v>
      </c>
      <c r="I74" s="10">
        <v>1</v>
      </c>
      <c r="J74" s="10">
        <v>0</v>
      </c>
      <c r="K74" s="10">
        <f>MasterTable[[#This Row],[Total
Time]]</f>
        <v>1</v>
      </c>
      <c r="L74" s="10">
        <v>0</v>
      </c>
      <c r="M74" s="13">
        <v>0</v>
      </c>
      <c r="N74" s="13"/>
      <c r="O74" s="10">
        <v>0</v>
      </c>
      <c r="P74" s="10">
        <v>1</v>
      </c>
      <c r="Q74" s="14">
        <v>0</v>
      </c>
      <c r="R74" s="14">
        <v>0</v>
      </c>
      <c r="S74" s="10">
        <v>0</v>
      </c>
      <c r="T74" s="10">
        <v>0</v>
      </c>
      <c r="U74" s="14">
        <v>0</v>
      </c>
      <c r="V74" s="10">
        <v>0</v>
      </c>
      <c r="W74" s="11">
        <v>6</v>
      </c>
      <c r="X74" s="11">
        <v>6</v>
      </c>
      <c r="Y74" s="11">
        <v>0</v>
      </c>
      <c r="Z74" s="11">
        <v>0</v>
      </c>
      <c r="AA74" s="11">
        <f>MasterTable[[#This Row],[Landings
Night]]+MasterTable[[#This Row],[Landings
Day]]</f>
        <v>6</v>
      </c>
      <c r="AB74" s="10">
        <v>0</v>
      </c>
      <c r="AC74" s="10">
        <v>0</v>
      </c>
      <c r="AD74" s="11">
        <v>0</v>
      </c>
      <c r="AE74" s="21">
        <f>SUM(MasterTable[[#This Row],[ILS]:[PAR]])</f>
        <v>0</v>
      </c>
      <c r="AL74" s="11"/>
      <c r="AR74" s="140" t="str">
        <f>_xlfn.XLOOKUP(MasterTable[[#This Row],[Aircraft ID]],Aircraft!A:A,Aircraft!H:H)</f>
        <v>Airplane Multi Engine Land</v>
      </c>
      <c r="AS74" s="8" t="b">
        <f>OR((SUM(MasterTable[[#This Row],[ILS]:[PAR]]) = MasterTable[[#This Row],[APPR]]))</f>
        <v>1</v>
      </c>
      <c r="AT74" s="8" t="b">
        <f>NOT(ISBLANK(MasterTable[[#This Row],[Total
Time]]))</f>
        <v>1</v>
      </c>
    </row>
    <row r="75" spans="4:46" ht="28.8" x14ac:dyDescent="0.3">
      <c r="D75" s="22">
        <v>46202</v>
      </c>
      <c r="E75" s="8" t="s">
        <v>375</v>
      </c>
      <c r="F75" s="8" t="s">
        <v>189</v>
      </c>
      <c r="G75" s="8" t="s">
        <v>189</v>
      </c>
      <c r="I75" s="10">
        <v>1.1000000000000001</v>
      </c>
      <c r="J75" s="10">
        <v>0</v>
      </c>
      <c r="K75" s="10">
        <f>MasterTable[[#This Row],[Total
Time]]</f>
        <v>1.1000000000000001</v>
      </c>
      <c r="L75" s="10">
        <v>0</v>
      </c>
      <c r="M75" s="13">
        <v>0</v>
      </c>
      <c r="N75" s="13"/>
      <c r="O75" s="10">
        <v>0</v>
      </c>
      <c r="P75" s="10">
        <v>1.1000000000000001</v>
      </c>
      <c r="Q75" s="14">
        <v>0</v>
      </c>
      <c r="R75" s="14">
        <v>0</v>
      </c>
      <c r="S75" s="10">
        <v>0</v>
      </c>
      <c r="T75" s="10">
        <v>0</v>
      </c>
      <c r="U75" s="14">
        <v>0</v>
      </c>
      <c r="V75" s="10">
        <v>0</v>
      </c>
      <c r="W75" s="11">
        <v>2</v>
      </c>
      <c r="X75" s="11">
        <v>2</v>
      </c>
      <c r="Y75" s="11">
        <v>0</v>
      </c>
      <c r="Z75" s="11">
        <v>0</v>
      </c>
      <c r="AA75" s="11">
        <f>MasterTable[[#This Row],[Landings
Night]]+MasterTable[[#This Row],[Landings
Day]]</f>
        <v>2</v>
      </c>
      <c r="AB75" s="10">
        <v>0</v>
      </c>
      <c r="AC75" s="10">
        <v>0</v>
      </c>
      <c r="AD75" s="11">
        <v>0</v>
      </c>
      <c r="AE75" s="21">
        <f>SUM(MasterTable[[#This Row],[ILS]:[PAR]])</f>
        <v>0</v>
      </c>
      <c r="AL75" s="11"/>
      <c r="AR75" s="140" t="str">
        <f>_xlfn.XLOOKUP(MasterTable[[#This Row],[Aircraft ID]],Aircraft!A:A,Aircraft!H:H)</f>
        <v>Airplane Multi Engine Land</v>
      </c>
      <c r="AS75" s="8" t="b">
        <f>OR((SUM(MasterTable[[#This Row],[ILS]:[PAR]]) = MasterTable[[#This Row],[APPR]]))</f>
        <v>1</v>
      </c>
      <c r="AT75" s="8" t="b">
        <f>NOT(ISBLANK(MasterTable[[#This Row],[Total
Time]]))</f>
        <v>1</v>
      </c>
    </row>
    <row r="76" spans="4:46" ht="28.8" x14ac:dyDescent="0.3">
      <c r="D76" s="22">
        <v>46199</v>
      </c>
      <c r="E76" s="8" t="s">
        <v>375</v>
      </c>
      <c r="F76" s="8" t="s">
        <v>189</v>
      </c>
      <c r="G76" s="8" t="s">
        <v>189</v>
      </c>
      <c r="I76" s="10">
        <v>1</v>
      </c>
      <c r="J76" s="10">
        <v>0</v>
      </c>
      <c r="K76" s="10">
        <f>MasterTable[[#This Row],[Total
Time]]</f>
        <v>1</v>
      </c>
      <c r="L76" s="10">
        <v>0</v>
      </c>
      <c r="M76" s="13">
        <v>0</v>
      </c>
      <c r="N76" s="13"/>
      <c r="O76" s="10">
        <v>0</v>
      </c>
      <c r="P76" s="10">
        <v>1</v>
      </c>
      <c r="Q76" s="14">
        <v>0</v>
      </c>
      <c r="R76" s="14">
        <v>0</v>
      </c>
      <c r="S76" s="10">
        <v>0</v>
      </c>
      <c r="T76" s="10">
        <v>0</v>
      </c>
      <c r="U76" s="14">
        <v>0</v>
      </c>
      <c r="V76" s="10">
        <v>0</v>
      </c>
      <c r="W76" s="11">
        <v>3</v>
      </c>
      <c r="X76" s="11">
        <v>3</v>
      </c>
      <c r="Y76" s="11">
        <v>0</v>
      </c>
      <c r="Z76" s="11">
        <v>0</v>
      </c>
      <c r="AA76" s="11">
        <f>MasterTable[[#This Row],[Landings
Night]]+MasterTable[[#This Row],[Landings
Day]]</f>
        <v>3</v>
      </c>
      <c r="AB76" s="10">
        <v>0</v>
      </c>
      <c r="AC76" s="10">
        <v>0</v>
      </c>
      <c r="AD76" s="11">
        <v>0</v>
      </c>
      <c r="AE76" s="21">
        <f>SUM(MasterTable[[#This Row],[ILS]:[PAR]])</f>
        <v>0</v>
      </c>
      <c r="AL76" s="11"/>
      <c r="AR76" s="140" t="str">
        <f>_xlfn.XLOOKUP(MasterTable[[#This Row],[Aircraft ID]],Aircraft!A:A,Aircraft!H:H)</f>
        <v>Airplane Multi Engine Land</v>
      </c>
      <c r="AS76" s="8" t="b">
        <f>OR((SUM(MasterTable[[#This Row],[ILS]:[PAR]]) = MasterTable[[#This Row],[APPR]]))</f>
        <v>1</v>
      </c>
      <c r="AT76" s="8" t="b">
        <f>NOT(ISBLANK(MasterTable[[#This Row],[Total
Time]]))</f>
        <v>1</v>
      </c>
    </row>
    <row r="77" spans="4:46" ht="28.8" x14ac:dyDescent="0.3">
      <c r="D77" s="22">
        <v>46196</v>
      </c>
      <c r="E77" s="8" t="s">
        <v>375</v>
      </c>
      <c r="F77" s="8" t="s">
        <v>189</v>
      </c>
      <c r="G77" s="8" t="s">
        <v>189</v>
      </c>
      <c r="I77" s="10">
        <v>0.9</v>
      </c>
      <c r="J77" s="10">
        <v>0</v>
      </c>
      <c r="K77" s="10">
        <f>MasterTable[[#This Row],[Total
Time]]</f>
        <v>0.9</v>
      </c>
      <c r="L77" s="10">
        <v>0</v>
      </c>
      <c r="M77" s="13">
        <v>0</v>
      </c>
      <c r="N77" s="13"/>
      <c r="O77" s="10">
        <v>0</v>
      </c>
      <c r="P77" s="10">
        <v>0.9</v>
      </c>
      <c r="Q77" s="14">
        <v>0</v>
      </c>
      <c r="R77" s="14">
        <v>0</v>
      </c>
      <c r="S77" s="10">
        <v>0</v>
      </c>
      <c r="T77" s="10">
        <v>0</v>
      </c>
      <c r="U77" s="14">
        <v>0</v>
      </c>
      <c r="V77" s="10">
        <v>0</v>
      </c>
      <c r="W77" s="11">
        <v>1</v>
      </c>
      <c r="X77" s="11">
        <v>1</v>
      </c>
      <c r="Y77" s="11">
        <v>0</v>
      </c>
      <c r="Z77" s="11">
        <v>0</v>
      </c>
      <c r="AA77" s="11">
        <f>MasterTable[[#This Row],[Landings
Night]]+MasterTable[[#This Row],[Landings
Day]]</f>
        <v>1</v>
      </c>
      <c r="AB77" s="10">
        <v>0.2</v>
      </c>
      <c r="AC77" s="10">
        <v>0</v>
      </c>
      <c r="AD77" s="11">
        <v>0</v>
      </c>
      <c r="AE77" s="21">
        <f>SUM(MasterTable[[#This Row],[ILS]:[PAR]])</f>
        <v>0</v>
      </c>
      <c r="AL77" s="11"/>
      <c r="AR77" s="140" t="str">
        <f>_xlfn.XLOOKUP(MasterTable[[#This Row],[Aircraft ID]],Aircraft!A:A,Aircraft!H:H)</f>
        <v>Airplane Multi Engine Land</v>
      </c>
      <c r="AS77" s="8" t="b">
        <f>OR((SUM(MasterTable[[#This Row],[ILS]:[PAR]]) = MasterTable[[#This Row],[APPR]]))</f>
        <v>1</v>
      </c>
      <c r="AT77" s="8" t="b">
        <f>NOT(ISBLANK(MasterTable[[#This Row],[Total
Time]]))</f>
        <v>1</v>
      </c>
    </row>
    <row r="78" spans="4:46" ht="28.8" x14ac:dyDescent="0.3">
      <c r="D78" s="22">
        <v>46141</v>
      </c>
      <c r="E78" s="8" t="s">
        <v>425</v>
      </c>
      <c r="F78" s="8" t="s">
        <v>189</v>
      </c>
      <c r="G78" s="8" t="s">
        <v>189</v>
      </c>
      <c r="I78" s="10">
        <v>1.4</v>
      </c>
      <c r="J78" s="10">
        <v>1.4</v>
      </c>
      <c r="K78" s="10">
        <f>MasterTable[[#This Row],[Total
Time]]</f>
        <v>1.4</v>
      </c>
      <c r="L78" s="10">
        <v>0</v>
      </c>
      <c r="M78" s="13">
        <v>0</v>
      </c>
      <c r="N78" s="13"/>
      <c r="O78" s="10">
        <v>0</v>
      </c>
      <c r="P78" s="10">
        <v>1.4</v>
      </c>
      <c r="Q78" s="14">
        <v>0</v>
      </c>
      <c r="R78" s="14">
        <v>0</v>
      </c>
      <c r="S78" s="10">
        <v>0</v>
      </c>
      <c r="T78" s="10">
        <v>0</v>
      </c>
      <c r="U78" s="14">
        <v>0</v>
      </c>
      <c r="V78" s="10">
        <v>1.4</v>
      </c>
      <c r="W78" s="11">
        <v>1</v>
      </c>
      <c r="X78" s="11">
        <v>1</v>
      </c>
      <c r="Y78" s="11">
        <v>0</v>
      </c>
      <c r="Z78" s="11">
        <v>0</v>
      </c>
      <c r="AA78" s="11">
        <f>MasterTable[[#This Row],[Landings
Night]]+MasterTable[[#This Row],[Landings
Day]]</f>
        <v>1</v>
      </c>
      <c r="AB78" s="10">
        <v>0</v>
      </c>
      <c r="AC78" s="10">
        <v>0</v>
      </c>
      <c r="AD78" s="11">
        <v>0</v>
      </c>
      <c r="AE78" s="21">
        <f>SUM(MasterTable[[#This Row],[ILS]:[PAR]])</f>
        <v>0</v>
      </c>
      <c r="AL78" s="11"/>
      <c r="AQ78" s="27" t="s">
        <v>410</v>
      </c>
      <c r="AR78" s="140" t="str">
        <f>_xlfn.XLOOKUP(MasterTable[[#This Row],[Aircraft ID]],Aircraft!A:A,Aircraft!H:H)</f>
        <v>Airplane Single Engine Land</v>
      </c>
      <c r="AS78" s="8" t="b">
        <f>OR((SUM(MasterTable[[#This Row],[ILS]:[PAR]]) = MasterTable[[#This Row],[APPR]]))</f>
        <v>1</v>
      </c>
      <c r="AT78" s="8" t="b">
        <f>NOT(ISBLANK(MasterTable[[#This Row],[Total
Time]]))</f>
        <v>1</v>
      </c>
    </row>
    <row r="79" spans="4:46" ht="28.8" x14ac:dyDescent="0.3">
      <c r="D79" s="22">
        <v>46140</v>
      </c>
      <c r="E79" s="8" t="s">
        <v>425</v>
      </c>
      <c r="F79" s="8" t="s">
        <v>189</v>
      </c>
      <c r="G79" s="8" t="s">
        <v>189</v>
      </c>
      <c r="I79" s="10">
        <v>1.5</v>
      </c>
      <c r="J79" s="10">
        <v>1.5</v>
      </c>
      <c r="K79" s="10">
        <f>MasterTable[[#This Row],[Total
Time]]</f>
        <v>1.5</v>
      </c>
      <c r="L79" s="10">
        <v>0</v>
      </c>
      <c r="M79" s="13">
        <v>0</v>
      </c>
      <c r="N79" s="13"/>
      <c r="O79" s="10">
        <v>0</v>
      </c>
      <c r="P79" s="10">
        <v>1.5</v>
      </c>
      <c r="Q79" s="14">
        <v>0</v>
      </c>
      <c r="R79" s="14">
        <v>0</v>
      </c>
      <c r="S79" s="10">
        <v>0</v>
      </c>
      <c r="T79" s="10">
        <v>0</v>
      </c>
      <c r="U79" s="14">
        <v>0</v>
      </c>
      <c r="V79" s="10">
        <v>1.5</v>
      </c>
      <c r="W79" s="11">
        <v>1</v>
      </c>
      <c r="X79" s="11">
        <v>1</v>
      </c>
      <c r="Y79" s="11">
        <v>0</v>
      </c>
      <c r="Z79" s="11">
        <v>0</v>
      </c>
      <c r="AA79" s="11">
        <f>MasterTable[[#This Row],[Landings
Night]]+MasterTable[[#This Row],[Landings
Day]]</f>
        <v>1</v>
      </c>
      <c r="AB79" s="10">
        <v>0</v>
      </c>
      <c r="AC79" s="10">
        <v>0</v>
      </c>
      <c r="AD79" s="11">
        <v>0</v>
      </c>
      <c r="AE79" s="21">
        <f>SUM(MasterTable[[#This Row],[ILS]:[PAR]])</f>
        <v>0</v>
      </c>
      <c r="AL79" s="11"/>
      <c r="AR79" s="140" t="str">
        <f>_xlfn.XLOOKUP(MasterTable[[#This Row],[Aircraft ID]],Aircraft!A:A,Aircraft!H:H)</f>
        <v>Airplane Single Engine Land</v>
      </c>
      <c r="AS79" s="8" t="b">
        <f>OR((SUM(MasterTable[[#This Row],[ILS]:[PAR]]) = MasterTable[[#This Row],[APPR]]))</f>
        <v>1</v>
      </c>
      <c r="AT79" s="8" t="b">
        <f>NOT(ISBLANK(MasterTable[[#This Row],[Total
Time]]))</f>
        <v>1</v>
      </c>
    </row>
    <row r="80" spans="4:46" ht="28.8" x14ac:dyDescent="0.3">
      <c r="D80" s="22">
        <v>46139</v>
      </c>
      <c r="E80" s="8" t="s">
        <v>425</v>
      </c>
      <c r="F80" s="8" t="s">
        <v>189</v>
      </c>
      <c r="G80" s="8" t="s">
        <v>189</v>
      </c>
      <c r="I80" s="10">
        <v>0.3</v>
      </c>
      <c r="J80" s="10">
        <v>0.3</v>
      </c>
      <c r="K80" s="10">
        <f>MasterTable[[#This Row],[Total
Time]]</f>
        <v>0.3</v>
      </c>
      <c r="L80" s="10">
        <v>0</v>
      </c>
      <c r="M80" s="13">
        <v>0</v>
      </c>
      <c r="N80" s="13"/>
      <c r="O80" s="10">
        <v>0</v>
      </c>
      <c r="P80" s="10">
        <v>0.3</v>
      </c>
      <c r="Q80" s="14">
        <v>0</v>
      </c>
      <c r="R80" s="14">
        <v>0</v>
      </c>
      <c r="S80" s="10">
        <v>0</v>
      </c>
      <c r="T80" s="10">
        <v>0</v>
      </c>
      <c r="U80" s="14">
        <v>0</v>
      </c>
      <c r="V80" s="10">
        <v>0.3</v>
      </c>
      <c r="W80" s="11">
        <v>1</v>
      </c>
      <c r="X80" s="11">
        <v>1</v>
      </c>
      <c r="Y80" s="11">
        <v>0</v>
      </c>
      <c r="Z80" s="11">
        <v>0</v>
      </c>
      <c r="AA80" s="11">
        <f>MasterTable[[#This Row],[Landings
Night]]+MasterTable[[#This Row],[Landings
Day]]</f>
        <v>1</v>
      </c>
      <c r="AB80" s="10">
        <v>0</v>
      </c>
      <c r="AC80" s="10">
        <v>0</v>
      </c>
      <c r="AD80" s="11">
        <v>0</v>
      </c>
      <c r="AE80" s="21">
        <f>SUM(MasterTable[[#This Row],[ILS]:[PAR]])</f>
        <v>0</v>
      </c>
      <c r="AL80" s="11"/>
      <c r="AR80" s="140" t="str">
        <f>_xlfn.XLOOKUP(MasterTable[[#This Row],[Aircraft ID]],Aircraft!A:A,Aircraft!H:H)</f>
        <v>Airplane Single Engine Land</v>
      </c>
      <c r="AS80" s="8" t="b">
        <f>OR((SUM(MasterTable[[#This Row],[ILS]:[PAR]]) = MasterTable[[#This Row],[APPR]]))</f>
        <v>1</v>
      </c>
      <c r="AT80" s="8" t="b">
        <f>NOT(ISBLANK(MasterTable[[#This Row],[Total
Time]]))</f>
        <v>1</v>
      </c>
    </row>
    <row r="81" spans="4:46" ht="28.8" x14ac:dyDescent="0.3">
      <c r="D81" s="22">
        <v>46135</v>
      </c>
      <c r="E81" s="8" t="s">
        <v>425</v>
      </c>
      <c r="F81" s="8" t="s">
        <v>189</v>
      </c>
      <c r="G81" s="8" t="s">
        <v>189</v>
      </c>
      <c r="I81" s="10">
        <v>1.4</v>
      </c>
      <c r="J81" s="10">
        <v>1.4</v>
      </c>
      <c r="K81" s="10">
        <f>MasterTable[[#This Row],[Total
Time]]</f>
        <v>1.4</v>
      </c>
      <c r="L81" s="10">
        <v>0</v>
      </c>
      <c r="M81" s="13">
        <v>0</v>
      </c>
      <c r="N81" s="13"/>
      <c r="O81" s="10">
        <v>0</v>
      </c>
      <c r="P81" s="10">
        <v>1.4</v>
      </c>
      <c r="Q81" s="14">
        <v>0</v>
      </c>
      <c r="R81" s="14">
        <v>0</v>
      </c>
      <c r="S81" s="10">
        <v>0</v>
      </c>
      <c r="T81" s="10">
        <v>0</v>
      </c>
      <c r="U81" s="14">
        <v>0</v>
      </c>
      <c r="V81" s="10">
        <v>1.4</v>
      </c>
      <c r="W81" s="11">
        <v>2</v>
      </c>
      <c r="X81" s="11">
        <v>2</v>
      </c>
      <c r="Y81" s="11">
        <v>0</v>
      </c>
      <c r="Z81" s="11">
        <v>0</v>
      </c>
      <c r="AA81" s="11">
        <f>MasterTable[[#This Row],[Landings
Night]]+MasterTable[[#This Row],[Landings
Day]]</f>
        <v>2</v>
      </c>
      <c r="AB81" s="10">
        <v>0</v>
      </c>
      <c r="AC81" s="10">
        <v>0</v>
      </c>
      <c r="AD81" s="11">
        <v>0</v>
      </c>
      <c r="AE81" s="21">
        <f>SUM(MasterTable[[#This Row],[ILS]:[PAR]])</f>
        <v>0</v>
      </c>
      <c r="AL81" s="11"/>
      <c r="AR81" s="140" t="str">
        <f>_xlfn.XLOOKUP(MasterTable[[#This Row],[Aircraft ID]],Aircraft!A:A,Aircraft!H:H)</f>
        <v>Airplane Single Engine Land</v>
      </c>
      <c r="AS81" s="8" t="b">
        <f>OR((SUM(MasterTable[[#This Row],[ILS]:[PAR]]) = MasterTable[[#This Row],[APPR]]))</f>
        <v>1</v>
      </c>
      <c r="AT81" s="8" t="b">
        <f>NOT(ISBLANK(MasterTable[[#This Row],[Total
Time]]))</f>
        <v>1</v>
      </c>
    </row>
    <row r="82" spans="4:46" ht="28.8" x14ac:dyDescent="0.3">
      <c r="D82" s="22">
        <v>46132</v>
      </c>
      <c r="E82" s="8" t="s">
        <v>425</v>
      </c>
      <c r="F82" s="8" t="s">
        <v>189</v>
      </c>
      <c r="G82" s="8" t="s">
        <v>189</v>
      </c>
      <c r="I82" s="10">
        <v>1.2</v>
      </c>
      <c r="J82" s="10">
        <v>1.2</v>
      </c>
      <c r="K82" s="10">
        <f>MasterTable[[#This Row],[Total
Time]]</f>
        <v>1.2</v>
      </c>
      <c r="L82" s="10">
        <v>0</v>
      </c>
      <c r="M82" s="13">
        <v>0</v>
      </c>
      <c r="N82" s="13"/>
      <c r="O82" s="10">
        <v>0</v>
      </c>
      <c r="P82" s="10">
        <v>1.2</v>
      </c>
      <c r="Q82" s="14">
        <v>0</v>
      </c>
      <c r="R82" s="14">
        <v>0</v>
      </c>
      <c r="S82" s="10">
        <v>0</v>
      </c>
      <c r="T82" s="10">
        <v>0</v>
      </c>
      <c r="U82" s="14">
        <v>0</v>
      </c>
      <c r="V82" s="10">
        <v>0</v>
      </c>
      <c r="W82" s="11">
        <v>2</v>
      </c>
      <c r="X82" s="11">
        <v>2</v>
      </c>
      <c r="Y82" s="11">
        <v>0</v>
      </c>
      <c r="Z82" s="11">
        <v>0</v>
      </c>
      <c r="AA82" s="11">
        <f>MasterTable[[#This Row],[Landings
Night]]+MasterTable[[#This Row],[Landings
Day]]</f>
        <v>2</v>
      </c>
      <c r="AB82" s="10">
        <v>0</v>
      </c>
      <c r="AC82" s="10">
        <v>0.3</v>
      </c>
      <c r="AD82" s="11">
        <v>0</v>
      </c>
      <c r="AE82" s="21">
        <f>SUM(MasterTable[[#This Row],[ILS]:[PAR]])</f>
        <v>1</v>
      </c>
      <c r="AG82" s="11">
        <v>1</v>
      </c>
      <c r="AL82" s="11"/>
      <c r="AR82" s="140" t="str">
        <f>_xlfn.XLOOKUP(MasterTable[[#This Row],[Aircraft ID]],Aircraft!A:A,Aircraft!H:H)</f>
        <v>Airplane Single Engine Land</v>
      </c>
      <c r="AS82" s="8" t="b">
        <f>OR((SUM(MasterTable[[#This Row],[ILS]:[PAR]]) = MasterTable[[#This Row],[APPR]]))</f>
        <v>1</v>
      </c>
      <c r="AT82" s="8" t="b">
        <f>NOT(ISBLANK(MasterTable[[#This Row],[Total
Time]]))</f>
        <v>1</v>
      </c>
    </row>
    <row r="83" spans="4:46" ht="28.8" x14ac:dyDescent="0.3">
      <c r="D83" s="22">
        <v>46129</v>
      </c>
      <c r="E83" s="8" t="s">
        <v>425</v>
      </c>
      <c r="F83" s="8" t="s">
        <v>189</v>
      </c>
      <c r="G83" s="8" t="s">
        <v>189</v>
      </c>
      <c r="I83" s="10">
        <v>1.6</v>
      </c>
      <c r="J83" s="10">
        <v>1.6</v>
      </c>
      <c r="K83" s="10">
        <f>MasterTable[[#This Row],[Total
Time]]</f>
        <v>1.6</v>
      </c>
      <c r="L83" s="10">
        <v>0</v>
      </c>
      <c r="M83" s="13">
        <v>0</v>
      </c>
      <c r="N83" s="13"/>
      <c r="O83" s="10">
        <v>0</v>
      </c>
      <c r="P83" s="10">
        <v>1.6</v>
      </c>
      <c r="Q83" s="14">
        <v>0</v>
      </c>
      <c r="R83" s="14">
        <v>0</v>
      </c>
      <c r="S83" s="10">
        <v>0</v>
      </c>
      <c r="T83" s="10">
        <v>0</v>
      </c>
      <c r="U83" s="14">
        <v>0</v>
      </c>
      <c r="V83" s="10">
        <v>1.6</v>
      </c>
      <c r="W83" s="11">
        <v>1</v>
      </c>
      <c r="X83" s="11">
        <v>1</v>
      </c>
      <c r="Y83" s="11">
        <v>0</v>
      </c>
      <c r="Z83" s="11">
        <v>0</v>
      </c>
      <c r="AA83" s="11">
        <f>MasterTable[[#This Row],[Landings
Night]]+MasterTable[[#This Row],[Landings
Day]]</f>
        <v>1</v>
      </c>
      <c r="AB83" s="10">
        <v>0.2</v>
      </c>
      <c r="AC83" s="10">
        <v>0</v>
      </c>
      <c r="AD83" s="11">
        <v>0</v>
      </c>
      <c r="AE83" s="21">
        <f>SUM(MasterTable[[#This Row],[ILS]:[PAR]])</f>
        <v>0</v>
      </c>
      <c r="AL83" s="11"/>
      <c r="AR83" s="140" t="str">
        <f>_xlfn.XLOOKUP(MasterTable[[#This Row],[Aircraft ID]],Aircraft!A:A,Aircraft!H:H)</f>
        <v>Airplane Single Engine Land</v>
      </c>
      <c r="AS83" s="8" t="b">
        <f>OR((SUM(MasterTable[[#This Row],[ILS]:[PAR]]) = MasterTable[[#This Row],[APPR]]))</f>
        <v>1</v>
      </c>
      <c r="AT83" s="8" t="b">
        <f>NOT(ISBLANK(MasterTable[[#This Row],[Total
Time]]))</f>
        <v>1</v>
      </c>
    </row>
    <row r="84" spans="4:46" ht="28.8" x14ac:dyDescent="0.3">
      <c r="D84" s="22">
        <v>46127</v>
      </c>
      <c r="E84" s="8" t="s">
        <v>425</v>
      </c>
      <c r="F84" s="8" t="s">
        <v>198</v>
      </c>
      <c r="G84" s="8" t="s">
        <v>189</v>
      </c>
      <c r="I84" s="10">
        <v>1.6</v>
      </c>
      <c r="J84" s="10">
        <v>1.6</v>
      </c>
      <c r="K84" s="10">
        <f>MasterTable[[#This Row],[Total
Time]]</f>
        <v>1.6</v>
      </c>
      <c r="L84" s="10">
        <v>0</v>
      </c>
      <c r="M84" s="13">
        <v>0</v>
      </c>
      <c r="N84" s="13"/>
      <c r="O84" s="10">
        <v>0</v>
      </c>
      <c r="P84" s="10">
        <v>1.6</v>
      </c>
      <c r="Q84" s="14">
        <v>0</v>
      </c>
      <c r="R84" s="14">
        <v>0</v>
      </c>
      <c r="S84" s="10">
        <v>0</v>
      </c>
      <c r="T84" s="10">
        <v>1.6</v>
      </c>
      <c r="U84" s="14">
        <v>0</v>
      </c>
      <c r="V84" s="10">
        <v>1.6</v>
      </c>
      <c r="W84" s="11">
        <v>1</v>
      </c>
      <c r="X84" s="11">
        <v>1</v>
      </c>
      <c r="Y84" s="11">
        <v>0</v>
      </c>
      <c r="Z84" s="11">
        <v>0</v>
      </c>
      <c r="AA84" s="11">
        <f>MasterTable[[#This Row],[Landings
Night]]+MasterTable[[#This Row],[Landings
Day]]</f>
        <v>1</v>
      </c>
      <c r="AB84" s="10">
        <v>0</v>
      </c>
      <c r="AC84" s="10">
        <v>0</v>
      </c>
      <c r="AD84" s="11">
        <v>0</v>
      </c>
      <c r="AE84" s="21">
        <f>SUM(MasterTable[[#This Row],[ILS]:[PAR]])</f>
        <v>0</v>
      </c>
      <c r="AL84" s="11"/>
      <c r="AR84" s="140" t="str">
        <f>_xlfn.XLOOKUP(MasterTable[[#This Row],[Aircraft ID]],Aircraft!A:A,Aircraft!H:H)</f>
        <v>Airplane Single Engine Land</v>
      </c>
      <c r="AS84" s="8" t="b">
        <f>OR((SUM(MasterTable[[#This Row],[ILS]:[PAR]]) = MasterTable[[#This Row],[APPR]]))</f>
        <v>1</v>
      </c>
      <c r="AT84" s="8" t="b">
        <f>NOT(ISBLANK(MasterTable[[#This Row],[Total
Time]]))</f>
        <v>1</v>
      </c>
    </row>
    <row r="85" spans="4:46" ht="28.8" x14ac:dyDescent="0.3">
      <c r="D85" s="22">
        <v>46127</v>
      </c>
      <c r="E85" s="8" t="s">
        <v>425</v>
      </c>
      <c r="F85" s="8" t="s">
        <v>189</v>
      </c>
      <c r="G85" s="8" t="s">
        <v>198</v>
      </c>
      <c r="I85" s="10">
        <v>1.7</v>
      </c>
      <c r="J85" s="10">
        <v>1.7</v>
      </c>
      <c r="K85" s="10">
        <f>MasterTable[[#This Row],[Total
Time]]</f>
        <v>1.7</v>
      </c>
      <c r="L85" s="10">
        <v>0</v>
      </c>
      <c r="M85" s="13">
        <v>0</v>
      </c>
      <c r="N85" s="13"/>
      <c r="O85" s="10">
        <v>0</v>
      </c>
      <c r="P85" s="10">
        <v>1.7</v>
      </c>
      <c r="Q85" s="14">
        <v>0</v>
      </c>
      <c r="R85" s="14">
        <v>0</v>
      </c>
      <c r="S85" s="10">
        <v>0</v>
      </c>
      <c r="T85" s="10">
        <v>1.7</v>
      </c>
      <c r="U85" s="14">
        <v>0</v>
      </c>
      <c r="V85" s="10">
        <v>1.7</v>
      </c>
      <c r="W85" s="11">
        <v>1</v>
      </c>
      <c r="X85" s="11">
        <v>1</v>
      </c>
      <c r="Y85" s="11">
        <v>0</v>
      </c>
      <c r="Z85" s="11">
        <v>0</v>
      </c>
      <c r="AA85" s="11">
        <f>MasterTable[[#This Row],[Landings
Night]]+MasterTable[[#This Row],[Landings
Day]]</f>
        <v>1</v>
      </c>
      <c r="AB85" s="10">
        <v>0.3</v>
      </c>
      <c r="AC85" s="10">
        <v>0</v>
      </c>
      <c r="AD85" s="11">
        <v>0</v>
      </c>
      <c r="AE85" s="21">
        <f>SUM(MasterTable[[#This Row],[ILS]:[PAR]])</f>
        <v>1</v>
      </c>
      <c r="AI85" s="11">
        <v>1</v>
      </c>
      <c r="AL85" s="11">
        <v>1</v>
      </c>
      <c r="AR85" s="140" t="str">
        <f>_xlfn.XLOOKUP(MasterTable[[#This Row],[Aircraft ID]],Aircraft!A:A,Aircraft!H:H)</f>
        <v>Airplane Single Engine Land</v>
      </c>
      <c r="AS85" s="8" t="b">
        <f>OR((SUM(MasterTable[[#This Row],[ILS]:[PAR]]) = MasterTable[[#This Row],[APPR]]))</f>
        <v>1</v>
      </c>
      <c r="AT85" s="8" t="b">
        <f>NOT(ISBLANK(MasterTable[[#This Row],[Total
Time]]))</f>
        <v>1</v>
      </c>
    </row>
    <row r="86" spans="4:46" ht="28.8" x14ac:dyDescent="0.3">
      <c r="D86" s="22">
        <v>46125</v>
      </c>
      <c r="E86" s="8" t="s">
        <v>425</v>
      </c>
      <c r="F86" s="8" t="s">
        <v>189</v>
      </c>
      <c r="G86" s="8" t="s">
        <v>189</v>
      </c>
      <c r="I86" s="10">
        <v>1.5</v>
      </c>
      <c r="J86" s="10">
        <v>1.5</v>
      </c>
      <c r="K86" s="10">
        <f>MasterTable[[#This Row],[Total
Time]]</f>
        <v>1.5</v>
      </c>
      <c r="L86" s="10">
        <v>0</v>
      </c>
      <c r="M86" s="13">
        <v>0</v>
      </c>
      <c r="N86" s="13"/>
      <c r="O86" s="10">
        <v>0</v>
      </c>
      <c r="P86" s="10">
        <v>1.5</v>
      </c>
      <c r="Q86" s="14">
        <v>0</v>
      </c>
      <c r="R86" s="14">
        <v>0</v>
      </c>
      <c r="S86" s="10">
        <v>0</v>
      </c>
      <c r="T86" s="10">
        <v>0</v>
      </c>
      <c r="U86" s="14">
        <v>0</v>
      </c>
      <c r="V86" s="10">
        <v>0</v>
      </c>
      <c r="W86" s="11">
        <v>2</v>
      </c>
      <c r="X86" s="11">
        <v>2</v>
      </c>
      <c r="Y86" s="11">
        <v>0</v>
      </c>
      <c r="Z86" s="11">
        <v>0</v>
      </c>
      <c r="AA86" s="11">
        <f>MasterTable[[#This Row],[Landings
Night]]+MasterTable[[#This Row],[Landings
Day]]</f>
        <v>2</v>
      </c>
      <c r="AB86" s="10">
        <v>0</v>
      </c>
      <c r="AC86" s="10">
        <v>0</v>
      </c>
      <c r="AD86" s="11">
        <v>0</v>
      </c>
      <c r="AE86" s="21">
        <f>SUM(MasterTable[[#This Row],[ILS]:[PAR]])</f>
        <v>0</v>
      </c>
      <c r="AL86" s="11"/>
      <c r="AR86" s="140" t="str">
        <f>_xlfn.XLOOKUP(MasterTable[[#This Row],[Aircraft ID]],Aircraft!A:A,Aircraft!H:H)</f>
        <v>Airplane Single Engine Land</v>
      </c>
      <c r="AS86" s="8" t="b">
        <f>OR((SUM(MasterTable[[#This Row],[ILS]:[PAR]]) = MasterTable[[#This Row],[APPR]]))</f>
        <v>1</v>
      </c>
      <c r="AT86" s="8" t="b">
        <f>NOT(ISBLANK(MasterTable[[#This Row],[Total
Time]]))</f>
        <v>1</v>
      </c>
    </row>
    <row r="87" spans="4:46" ht="28.8" x14ac:dyDescent="0.3">
      <c r="D87" s="22">
        <v>46125</v>
      </c>
      <c r="E87" s="8" t="s">
        <v>425</v>
      </c>
      <c r="F87" s="8" t="s">
        <v>189</v>
      </c>
      <c r="G87" s="8" t="s">
        <v>189</v>
      </c>
      <c r="I87" s="10">
        <v>1.5</v>
      </c>
      <c r="J87" s="10">
        <v>1.5</v>
      </c>
      <c r="K87" s="10">
        <f>MasterTable[[#This Row],[Total
Time]]</f>
        <v>1.5</v>
      </c>
      <c r="L87" s="10">
        <v>0</v>
      </c>
      <c r="M87" s="13">
        <v>0</v>
      </c>
      <c r="N87" s="13"/>
      <c r="O87" s="10">
        <v>0</v>
      </c>
      <c r="P87" s="10">
        <v>1.5</v>
      </c>
      <c r="Q87" s="14">
        <v>0</v>
      </c>
      <c r="R87" s="14">
        <v>0</v>
      </c>
      <c r="S87" s="10">
        <v>0</v>
      </c>
      <c r="T87" s="10">
        <v>0</v>
      </c>
      <c r="U87" s="14">
        <v>0</v>
      </c>
      <c r="V87" s="10">
        <v>0</v>
      </c>
      <c r="W87" s="11">
        <v>1</v>
      </c>
      <c r="X87" s="11">
        <v>1</v>
      </c>
      <c r="Y87" s="11">
        <v>0</v>
      </c>
      <c r="Z87" s="11">
        <v>0</v>
      </c>
      <c r="AA87" s="11">
        <f>MasterTable[[#This Row],[Landings
Night]]+MasterTable[[#This Row],[Landings
Day]]</f>
        <v>1</v>
      </c>
      <c r="AB87" s="10">
        <v>0</v>
      </c>
      <c r="AC87" s="10">
        <v>0</v>
      </c>
      <c r="AD87" s="11">
        <v>0</v>
      </c>
      <c r="AE87" s="21">
        <f>SUM(MasterTable[[#This Row],[ILS]:[PAR]])</f>
        <v>0</v>
      </c>
      <c r="AL87" s="11"/>
      <c r="AR87" s="140" t="str">
        <f>_xlfn.XLOOKUP(MasterTable[[#This Row],[Aircraft ID]],Aircraft!A:A,Aircraft!H:H)</f>
        <v>Airplane Single Engine Land</v>
      </c>
      <c r="AS87" s="8" t="b">
        <f>OR((SUM(MasterTable[[#This Row],[ILS]:[PAR]]) = MasterTable[[#This Row],[APPR]]))</f>
        <v>1</v>
      </c>
      <c r="AT87" s="8" t="b">
        <f>NOT(ISBLANK(MasterTable[[#This Row],[Total
Time]]))</f>
        <v>1</v>
      </c>
    </row>
    <row r="88" spans="4:46" ht="28.8" x14ac:dyDescent="0.3">
      <c r="D88" s="22">
        <v>46122</v>
      </c>
      <c r="E88" s="8" t="s">
        <v>425</v>
      </c>
      <c r="F88" s="8" t="s">
        <v>189</v>
      </c>
      <c r="G88" s="8" t="s">
        <v>189</v>
      </c>
      <c r="I88" s="10">
        <v>1.4</v>
      </c>
      <c r="J88" s="10">
        <v>1.4</v>
      </c>
      <c r="K88" s="10">
        <f>MasterTable[[#This Row],[Total
Time]]</f>
        <v>1.4</v>
      </c>
      <c r="L88" s="10">
        <v>0</v>
      </c>
      <c r="M88" s="13">
        <v>0</v>
      </c>
      <c r="N88" s="13"/>
      <c r="O88" s="10">
        <v>0</v>
      </c>
      <c r="P88" s="10">
        <v>1.4</v>
      </c>
      <c r="Q88" s="14">
        <v>0</v>
      </c>
      <c r="R88" s="14">
        <v>0</v>
      </c>
      <c r="S88" s="10">
        <v>0</v>
      </c>
      <c r="T88" s="10">
        <v>0</v>
      </c>
      <c r="U88" s="14">
        <v>0</v>
      </c>
      <c r="V88" s="10">
        <v>0</v>
      </c>
      <c r="W88" s="11">
        <v>1</v>
      </c>
      <c r="X88" s="11">
        <v>1</v>
      </c>
      <c r="Y88" s="11">
        <v>0</v>
      </c>
      <c r="Z88" s="11">
        <v>0</v>
      </c>
      <c r="AA88" s="11">
        <f>MasterTable[[#This Row],[Landings
Night]]+MasterTable[[#This Row],[Landings
Day]]</f>
        <v>1</v>
      </c>
      <c r="AB88" s="10">
        <v>0</v>
      </c>
      <c r="AC88" s="10">
        <v>0.4</v>
      </c>
      <c r="AD88" s="11">
        <v>0</v>
      </c>
      <c r="AE88" s="21">
        <f>SUM(MasterTable[[#This Row],[ILS]:[PAR]])</f>
        <v>1</v>
      </c>
      <c r="AH88" s="11">
        <v>1</v>
      </c>
      <c r="AL88" s="11">
        <v>1</v>
      </c>
      <c r="AR88" s="140" t="str">
        <f>_xlfn.XLOOKUP(MasterTable[[#This Row],[Aircraft ID]],Aircraft!A:A,Aircraft!H:H)</f>
        <v>Airplane Single Engine Land</v>
      </c>
      <c r="AS88" s="8" t="b">
        <f>OR((SUM(MasterTable[[#This Row],[ILS]:[PAR]]) = MasterTable[[#This Row],[APPR]]))</f>
        <v>1</v>
      </c>
      <c r="AT88" s="8" t="b">
        <f>NOT(ISBLANK(MasterTable[[#This Row],[Total
Time]]))</f>
        <v>1</v>
      </c>
    </row>
    <row r="89" spans="4:46" ht="28.8" x14ac:dyDescent="0.3">
      <c r="D89" s="22">
        <v>46121</v>
      </c>
      <c r="E89" s="8" t="s">
        <v>425</v>
      </c>
      <c r="F89" s="8" t="s">
        <v>189</v>
      </c>
      <c r="G89" s="8" t="s">
        <v>189</v>
      </c>
      <c r="I89" s="10">
        <v>1.5</v>
      </c>
      <c r="J89" s="10">
        <v>1.5</v>
      </c>
      <c r="K89" s="10">
        <f>MasterTable[[#This Row],[Total
Time]]</f>
        <v>1.5</v>
      </c>
      <c r="L89" s="10">
        <v>0</v>
      </c>
      <c r="M89" s="13">
        <v>0</v>
      </c>
      <c r="N89" s="13"/>
      <c r="O89" s="10">
        <v>0</v>
      </c>
      <c r="P89" s="10">
        <v>0</v>
      </c>
      <c r="Q89" s="14">
        <v>0</v>
      </c>
      <c r="R89" s="14">
        <v>0</v>
      </c>
      <c r="S89" s="10">
        <v>0</v>
      </c>
      <c r="T89" s="10">
        <v>0</v>
      </c>
      <c r="U89" s="14">
        <v>0</v>
      </c>
      <c r="V89" s="10">
        <v>0</v>
      </c>
      <c r="W89" s="11">
        <v>3</v>
      </c>
      <c r="X89" s="11">
        <v>3</v>
      </c>
      <c r="Y89" s="11">
        <v>0</v>
      </c>
      <c r="Z89" s="11">
        <v>0</v>
      </c>
      <c r="AA89" s="11">
        <f>MasterTable[[#This Row],[Landings
Night]]+MasterTable[[#This Row],[Landings
Day]]</f>
        <v>3</v>
      </c>
      <c r="AB89" s="10">
        <v>0</v>
      </c>
      <c r="AC89" s="10">
        <v>0</v>
      </c>
      <c r="AD89" s="11">
        <v>0</v>
      </c>
      <c r="AE89" s="21">
        <f>SUM(MasterTable[[#This Row],[ILS]:[PAR]])</f>
        <v>0</v>
      </c>
      <c r="AL89" s="11"/>
      <c r="AR89" s="140" t="str">
        <f>_xlfn.XLOOKUP(MasterTable[[#This Row],[Aircraft ID]],Aircraft!A:A,Aircraft!H:H)</f>
        <v>Airplane Single Engine Land</v>
      </c>
      <c r="AS89" s="8" t="b">
        <f>OR((SUM(MasterTable[[#This Row],[ILS]:[PAR]]) = MasterTable[[#This Row],[APPR]]))</f>
        <v>1</v>
      </c>
      <c r="AT89" s="8" t="b">
        <f>NOT(ISBLANK(MasterTable[[#This Row],[Total
Time]]))</f>
        <v>1</v>
      </c>
    </row>
    <row r="90" spans="4:46" ht="28.8" x14ac:dyDescent="0.3">
      <c r="D90" s="22">
        <v>46120</v>
      </c>
      <c r="E90" s="8" t="s">
        <v>425</v>
      </c>
      <c r="F90" s="8" t="s">
        <v>189</v>
      </c>
      <c r="G90" s="8" t="s">
        <v>189</v>
      </c>
      <c r="I90" s="10">
        <v>1.4</v>
      </c>
      <c r="J90" s="10">
        <v>1.4</v>
      </c>
      <c r="K90" s="10">
        <f>MasterTable[[#This Row],[Total
Time]]</f>
        <v>1.4</v>
      </c>
      <c r="L90" s="10">
        <v>0</v>
      </c>
      <c r="M90" s="13">
        <v>0</v>
      </c>
      <c r="N90" s="13"/>
      <c r="O90" s="10">
        <v>0</v>
      </c>
      <c r="P90" s="10">
        <v>1.4</v>
      </c>
      <c r="Q90" s="14">
        <v>0</v>
      </c>
      <c r="R90" s="14">
        <v>0</v>
      </c>
      <c r="S90" s="10">
        <v>0</v>
      </c>
      <c r="T90" s="10">
        <v>0</v>
      </c>
      <c r="U90" s="14">
        <v>0</v>
      </c>
      <c r="V90" s="10">
        <v>1.4</v>
      </c>
      <c r="W90" s="11">
        <v>1</v>
      </c>
      <c r="X90" s="11">
        <v>1</v>
      </c>
      <c r="Y90" s="11">
        <v>0</v>
      </c>
      <c r="Z90" s="11">
        <v>0</v>
      </c>
      <c r="AA90" s="11">
        <f>MasterTable[[#This Row],[Landings
Night]]+MasterTable[[#This Row],[Landings
Day]]</f>
        <v>1</v>
      </c>
      <c r="AB90" s="10">
        <v>0</v>
      </c>
      <c r="AC90" s="10">
        <v>0</v>
      </c>
      <c r="AD90" s="11">
        <v>0</v>
      </c>
      <c r="AE90" s="21">
        <f>SUM(MasterTable[[#This Row],[ILS]:[PAR]])</f>
        <v>0</v>
      </c>
      <c r="AL90" s="11"/>
      <c r="AR90" s="140" t="str">
        <f>_xlfn.XLOOKUP(MasterTable[[#This Row],[Aircraft ID]],Aircraft!A:A,Aircraft!H:H)</f>
        <v>Airplane Single Engine Land</v>
      </c>
      <c r="AS90" s="8" t="b">
        <f>OR((SUM(MasterTable[[#This Row],[ILS]:[PAR]]) = MasterTable[[#This Row],[APPR]]))</f>
        <v>1</v>
      </c>
      <c r="AT90" s="8" t="b">
        <f>NOT(ISBLANK(MasterTable[[#This Row],[Total
Time]]))</f>
        <v>1</v>
      </c>
    </row>
    <row r="91" spans="4:46" ht="28.8" x14ac:dyDescent="0.3">
      <c r="D91" s="22">
        <v>46119</v>
      </c>
      <c r="E91" s="8" t="s">
        <v>425</v>
      </c>
      <c r="F91" s="8" t="s">
        <v>189</v>
      </c>
      <c r="G91" s="8" t="s">
        <v>189</v>
      </c>
      <c r="I91" s="10">
        <v>1.4</v>
      </c>
      <c r="J91" s="10">
        <v>1.4</v>
      </c>
      <c r="K91" s="10">
        <f>MasterTable[[#This Row],[Total
Time]]</f>
        <v>1.4</v>
      </c>
      <c r="L91" s="10">
        <v>0</v>
      </c>
      <c r="M91" s="13">
        <v>0</v>
      </c>
      <c r="N91" s="13"/>
      <c r="O91" s="10">
        <v>0</v>
      </c>
      <c r="P91" s="10">
        <v>1.4</v>
      </c>
      <c r="Q91" s="14">
        <v>0</v>
      </c>
      <c r="R91" s="14">
        <v>0</v>
      </c>
      <c r="S91" s="10">
        <v>0</v>
      </c>
      <c r="T91" s="10">
        <v>0</v>
      </c>
      <c r="U91" s="14">
        <v>0</v>
      </c>
      <c r="V91" s="10">
        <v>1.4</v>
      </c>
      <c r="W91" s="11">
        <v>2</v>
      </c>
      <c r="X91" s="11">
        <v>2</v>
      </c>
      <c r="Y91" s="11">
        <v>0</v>
      </c>
      <c r="Z91" s="11">
        <v>0</v>
      </c>
      <c r="AA91" s="11">
        <f>MasterTable[[#This Row],[Landings
Night]]+MasterTable[[#This Row],[Landings
Day]]</f>
        <v>2</v>
      </c>
      <c r="AB91" s="10">
        <v>0</v>
      </c>
      <c r="AC91" s="10">
        <v>0</v>
      </c>
      <c r="AD91" s="11">
        <v>0</v>
      </c>
      <c r="AE91" s="21">
        <f>SUM(MasterTable[[#This Row],[ILS]:[PAR]])</f>
        <v>0</v>
      </c>
      <c r="AL91" s="11"/>
      <c r="AR91" s="140" t="str">
        <f>_xlfn.XLOOKUP(MasterTable[[#This Row],[Aircraft ID]],Aircraft!A:A,Aircraft!H:H)</f>
        <v>Airplane Single Engine Land</v>
      </c>
      <c r="AS91" s="8" t="b">
        <f>OR((SUM(MasterTable[[#This Row],[ILS]:[PAR]]) = MasterTable[[#This Row],[APPR]]))</f>
        <v>1</v>
      </c>
      <c r="AT91" s="8" t="b">
        <f>NOT(ISBLANK(MasterTable[[#This Row],[Total
Time]]))</f>
        <v>1</v>
      </c>
    </row>
    <row r="92" spans="4:46" ht="28.8" x14ac:dyDescent="0.3">
      <c r="D92" s="22">
        <v>46118</v>
      </c>
      <c r="E92" s="8" t="s">
        <v>425</v>
      </c>
      <c r="F92" s="8" t="s">
        <v>189</v>
      </c>
      <c r="G92" s="8" t="s">
        <v>189</v>
      </c>
      <c r="I92" s="10">
        <v>1.7</v>
      </c>
      <c r="J92" s="10">
        <v>1.7</v>
      </c>
      <c r="K92" s="10">
        <f>MasterTable[[#This Row],[Total
Time]]</f>
        <v>1.7</v>
      </c>
      <c r="L92" s="10">
        <v>0</v>
      </c>
      <c r="M92" s="13">
        <v>0</v>
      </c>
      <c r="N92" s="13"/>
      <c r="O92" s="10">
        <v>0</v>
      </c>
      <c r="P92" s="10">
        <v>1.7</v>
      </c>
      <c r="Q92" s="14">
        <v>0</v>
      </c>
      <c r="R92" s="14">
        <v>0</v>
      </c>
      <c r="S92" s="10">
        <v>0</v>
      </c>
      <c r="T92" s="10">
        <v>0</v>
      </c>
      <c r="U92" s="14">
        <v>0</v>
      </c>
      <c r="V92" s="10">
        <v>1.7</v>
      </c>
      <c r="W92" s="11">
        <v>1</v>
      </c>
      <c r="X92" s="11">
        <v>1</v>
      </c>
      <c r="Y92" s="11">
        <v>0</v>
      </c>
      <c r="Z92" s="11">
        <v>0</v>
      </c>
      <c r="AA92" s="11">
        <f>MasterTable[[#This Row],[Landings
Night]]+MasterTable[[#This Row],[Landings
Day]]</f>
        <v>1</v>
      </c>
      <c r="AB92" s="10">
        <v>0</v>
      </c>
      <c r="AC92" s="10">
        <v>0</v>
      </c>
      <c r="AD92" s="11">
        <v>0</v>
      </c>
      <c r="AE92" s="21">
        <f>SUM(MasterTable[[#This Row],[ILS]:[PAR]])</f>
        <v>0</v>
      </c>
      <c r="AL92" s="11"/>
      <c r="AR92" s="140" t="str">
        <f>_xlfn.XLOOKUP(MasterTable[[#This Row],[Aircraft ID]],Aircraft!A:A,Aircraft!H:H)</f>
        <v>Airplane Single Engine Land</v>
      </c>
      <c r="AS92" s="8" t="b">
        <f>OR((SUM(MasterTable[[#This Row],[ILS]:[PAR]]) = MasterTable[[#This Row],[APPR]]))</f>
        <v>1</v>
      </c>
      <c r="AT92" s="8" t="b">
        <f>NOT(ISBLANK(MasterTable[[#This Row],[Total
Time]]))</f>
        <v>1</v>
      </c>
    </row>
    <row r="93" spans="4:46" ht="28.8" x14ac:dyDescent="0.3">
      <c r="D93" s="22">
        <v>46118</v>
      </c>
      <c r="E93" s="8" t="s">
        <v>425</v>
      </c>
      <c r="F93" s="8" t="s">
        <v>189</v>
      </c>
      <c r="G93" s="8" t="s">
        <v>189</v>
      </c>
      <c r="I93" s="10">
        <v>1.6</v>
      </c>
      <c r="J93" s="10">
        <v>1.6</v>
      </c>
      <c r="K93" s="10">
        <f>MasterTable[[#This Row],[Total
Time]]</f>
        <v>1.6</v>
      </c>
      <c r="L93" s="10">
        <v>0</v>
      </c>
      <c r="M93" s="13">
        <v>0</v>
      </c>
      <c r="N93" s="13"/>
      <c r="O93" s="10">
        <v>0</v>
      </c>
      <c r="P93" s="10">
        <v>0</v>
      </c>
      <c r="Q93" s="14">
        <v>0</v>
      </c>
      <c r="R93" s="14">
        <v>0</v>
      </c>
      <c r="S93" s="10">
        <v>0</v>
      </c>
      <c r="T93" s="10">
        <v>0</v>
      </c>
      <c r="U93" s="14">
        <v>0</v>
      </c>
      <c r="V93" s="10">
        <v>1.6</v>
      </c>
      <c r="W93" s="11">
        <v>2</v>
      </c>
      <c r="X93" s="11">
        <v>2</v>
      </c>
      <c r="Y93" s="11">
        <v>0</v>
      </c>
      <c r="Z93" s="11">
        <v>0</v>
      </c>
      <c r="AA93" s="11">
        <f>MasterTable[[#This Row],[Landings
Night]]+MasterTable[[#This Row],[Landings
Day]]</f>
        <v>2</v>
      </c>
      <c r="AB93" s="10">
        <v>0</v>
      </c>
      <c r="AC93" s="10">
        <v>0</v>
      </c>
      <c r="AD93" s="11">
        <v>0</v>
      </c>
      <c r="AE93" s="21">
        <f>SUM(MasterTable[[#This Row],[ILS]:[PAR]])</f>
        <v>0</v>
      </c>
      <c r="AL93" s="11"/>
      <c r="AR93" s="140" t="str">
        <f>_xlfn.XLOOKUP(MasterTable[[#This Row],[Aircraft ID]],Aircraft!A:A,Aircraft!H:H)</f>
        <v>Airplane Single Engine Land</v>
      </c>
      <c r="AS93" s="8" t="b">
        <f>OR((SUM(MasterTable[[#This Row],[ILS]:[PAR]]) = MasterTable[[#This Row],[APPR]]))</f>
        <v>1</v>
      </c>
      <c r="AT93" s="8" t="b">
        <f>NOT(ISBLANK(MasterTable[[#This Row],[Total
Time]]))</f>
        <v>1</v>
      </c>
    </row>
    <row r="94" spans="4:46" ht="28.8" x14ac:dyDescent="0.3">
      <c r="D94" s="22">
        <v>46115</v>
      </c>
      <c r="E94" s="8" t="s">
        <v>425</v>
      </c>
      <c r="F94" s="8" t="s">
        <v>189</v>
      </c>
      <c r="G94" s="8" t="s">
        <v>189</v>
      </c>
      <c r="I94" s="10">
        <v>1.6</v>
      </c>
      <c r="J94" s="10">
        <v>1.6</v>
      </c>
      <c r="K94" s="10">
        <f>MasterTable[[#This Row],[Total
Time]]</f>
        <v>1.6</v>
      </c>
      <c r="L94" s="10">
        <v>0</v>
      </c>
      <c r="M94" s="13">
        <v>0</v>
      </c>
      <c r="N94" s="13"/>
      <c r="O94" s="10">
        <v>0</v>
      </c>
      <c r="P94" s="10">
        <v>1.6</v>
      </c>
      <c r="Q94" s="14">
        <v>0</v>
      </c>
      <c r="R94" s="14">
        <v>0</v>
      </c>
      <c r="S94" s="10">
        <v>0</v>
      </c>
      <c r="T94" s="10">
        <v>0</v>
      </c>
      <c r="U94" s="14">
        <v>0</v>
      </c>
      <c r="V94" s="10">
        <v>1.6</v>
      </c>
      <c r="W94" s="11">
        <v>2</v>
      </c>
      <c r="X94" s="11">
        <v>2</v>
      </c>
      <c r="Y94" s="11">
        <v>0</v>
      </c>
      <c r="Z94" s="11">
        <v>0</v>
      </c>
      <c r="AA94" s="11">
        <f>MasterTable[[#This Row],[Landings
Night]]+MasterTable[[#This Row],[Landings
Day]]</f>
        <v>2</v>
      </c>
      <c r="AB94" s="10">
        <v>0</v>
      </c>
      <c r="AC94" s="10">
        <v>0</v>
      </c>
      <c r="AD94" s="11">
        <v>0</v>
      </c>
      <c r="AE94" s="21">
        <f>SUM(MasterTable[[#This Row],[ILS]:[PAR]])</f>
        <v>0</v>
      </c>
      <c r="AL94" s="11"/>
      <c r="AR94" s="140" t="str">
        <f>_xlfn.XLOOKUP(MasterTable[[#This Row],[Aircraft ID]],Aircraft!A:A,Aircraft!H:H)</f>
        <v>Airplane Single Engine Land</v>
      </c>
      <c r="AS94" s="8" t="b">
        <f>OR((SUM(MasterTable[[#This Row],[ILS]:[PAR]]) = MasterTable[[#This Row],[APPR]]))</f>
        <v>1</v>
      </c>
      <c r="AT94" s="8" t="b">
        <f>NOT(ISBLANK(MasterTable[[#This Row],[Total
Time]]))</f>
        <v>1</v>
      </c>
    </row>
    <row r="95" spans="4:46" ht="28.8" x14ac:dyDescent="0.3">
      <c r="D95" s="22">
        <v>46114</v>
      </c>
      <c r="E95" s="8" t="s">
        <v>425</v>
      </c>
      <c r="F95" s="8" t="s">
        <v>189</v>
      </c>
      <c r="G95" s="8" t="s">
        <v>189</v>
      </c>
      <c r="I95" s="10">
        <v>1.5</v>
      </c>
      <c r="J95" s="10">
        <v>1.5</v>
      </c>
      <c r="K95" s="10">
        <f>MasterTable[[#This Row],[Total
Time]]</f>
        <v>1.5</v>
      </c>
      <c r="L95" s="10">
        <v>0</v>
      </c>
      <c r="M95" s="13">
        <v>0</v>
      </c>
      <c r="N95" s="13"/>
      <c r="O95" s="10">
        <v>0</v>
      </c>
      <c r="P95" s="10">
        <v>1.5</v>
      </c>
      <c r="Q95" s="14">
        <v>0</v>
      </c>
      <c r="R95" s="14">
        <v>0</v>
      </c>
      <c r="S95" s="10">
        <v>0</v>
      </c>
      <c r="T95" s="10">
        <v>0</v>
      </c>
      <c r="U95" s="14">
        <v>0</v>
      </c>
      <c r="V95" s="10">
        <v>1.5</v>
      </c>
      <c r="W95" s="11">
        <v>2</v>
      </c>
      <c r="X95" s="11">
        <v>2</v>
      </c>
      <c r="Y95" s="11">
        <v>0</v>
      </c>
      <c r="Z95" s="11">
        <v>0</v>
      </c>
      <c r="AA95" s="11">
        <f>MasterTable[[#This Row],[Landings
Night]]+MasterTable[[#This Row],[Landings
Day]]</f>
        <v>2</v>
      </c>
      <c r="AB95" s="10">
        <v>0</v>
      </c>
      <c r="AC95" s="10">
        <v>0</v>
      </c>
      <c r="AD95" s="11">
        <v>0</v>
      </c>
      <c r="AE95" s="21">
        <f>SUM(MasterTable[[#This Row],[ILS]:[PAR]])</f>
        <v>0</v>
      </c>
      <c r="AL95" s="11"/>
      <c r="AR95" s="140" t="str">
        <f>_xlfn.XLOOKUP(MasterTable[[#This Row],[Aircraft ID]],Aircraft!A:A,Aircraft!H:H)</f>
        <v>Airplane Single Engine Land</v>
      </c>
      <c r="AS95" s="8" t="b">
        <f>OR((SUM(MasterTable[[#This Row],[ILS]:[PAR]]) = MasterTable[[#This Row],[APPR]]))</f>
        <v>1</v>
      </c>
      <c r="AT95" s="8" t="b">
        <f>NOT(ISBLANK(MasterTable[[#This Row],[Total
Time]]))</f>
        <v>1</v>
      </c>
    </row>
    <row r="96" spans="4:46" ht="28.8" x14ac:dyDescent="0.3">
      <c r="D96" s="22">
        <v>46112</v>
      </c>
      <c r="E96" s="8" t="s">
        <v>425</v>
      </c>
      <c r="F96" s="8" t="s">
        <v>189</v>
      </c>
      <c r="G96" s="8" t="s">
        <v>189</v>
      </c>
      <c r="I96" s="10">
        <v>1.7</v>
      </c>
      <c r="J96" s="10">
        <v>1.7</v>
      </c>
      <c r="K96" s="10">
        <f>MasterTable[[#This Row],[Total
Time]]</f>
        <v>1.7</v>
      </c>
      <c r="L96" s="10">
        <v>0</v>
      </c>
      <c r="M96" s="13">
        <v>0</v>
      </c>
      <c r="N96" s="13"/>
      <c r="O96" s="10">
        <v>0</v>
      </c>
      <c r="P96" s="10">
        <v>1.7</v>
      </c>
      <c r="Q96" s="14">
        <v>0</v>
      </c>
      <c r="R96" s="14">
        <v>0</v>
      </c>
      <c r="S96" s="10">
        <v>0</v>
      </c>
      <c r="T96" s="10">
        <v>0</v>
      </c>
      <c r="U96" s="14">
        <v>0</v>
      </c>
      <c r="V96" s="10">
        <v>1.7</v>
      </c>
      <c r="W96" s="11">
        <v>1</v>
      </c>
      <c r="X96" s="11">
        <v>1</v>
      </c>
      <c r="Y96" s="11">
        <v>0</v>
      </c>
      <c r="Z96" s="11">
        <v>0</v>
      </c>
      <c r="AA96" s="11">
        <f>MasterTable[[#This Row],[Landings
Night]]+MasterTable[[#This Row],[Landings
Day]]</f>
        <v>1</v>
      </c>
      <c r="AB96" s="10">
        <v>0</v>
      </c>
      <c r="AC96" s="10">
        <v>0</v>
      </c>
      <c r="AD96" s="11">
        <v>0</v>
      </c>
      <c r="AE96" s="21">
        <f>SUM(MasterTable[[#This Row],[ILS]:[PAR]])</f>
        <v>0</v>
      </c>
      <c r="AL96" s="11"/>
      <c r="AR96" s="140" t="str">
        <f>_xlfn.XLOOKUP(MasterTable[[#This Row],[Aircraft ID]],Aircraft!A:A,Aircraft!H:H)</f>
        <v>Airplane Single Engine Land</v>
      </c>
      <c r="AS96" s="8" t="b">
        <f>OR((SUM(MasterTable[[#This Row],[ILS]:[PAR]]) = MasterTable[[#This Row],[APPR]]))</f>
        <v>1</v>
      </c>
      <c r="AT96" s="8" t="b">
        <f>NOT(ISBLANK(MasterTable[[#This Row],[Total
Time]]))</f>
        <v>1</v>
      </c>
    </row>
    <row r="97" spans="4:46" ht="28.8" x14ac:dyDescent="0.3">
      <c r="D97" s="22">
        <v>46111</v>
      </c>
      <c r="E97" s="8" t="s">
        <v>425</v>
      </c>
      <c r="F97" s="8" t="s">
        <v>189</v>
      </c>
      <c r="G97" s="8" t="s">
        <v>189</v>
      </c>
      <c r="I97" s="10">
        <v>1.8</v>
      </c>
      <c r="J97" s="10">
        <v>1.8</v>
      </c>
      <c r="K97" s="10">
        <f>MasterTable[[#This Row],[Total
Time]]</f>
        <v>1.8</v>
      </c>
      <c r="L97" s="10">
        <v>0</v>
      </c>
      <c r="M97" s="13">
        <v>0</v>
      </c>
      <c r="N97" s="13"/>
      <c r="O97" s="10">
        <v>0</v>
      </c>
      <c r="P97" s="10">
        <v>1.8</v>
      </c>
      <c r="Q97" s="14">
        <v>0</v>
      </c>
      <c r="R97" s="14">
        <v>0</v>
      </c>
      <c r="S97" s="10">
        <v>0</v>
      </c>
      <c r="T97" s="10">
        <v>0</v>
      </c>
      <c r="U97" s="14">
        <v>0</v>
      </c>
      <c r="V97" s="10">
        <v>1.8</v>
      </c>
      <c r="W97" s="11">
        <v>1</v>
      </c>
      <c r="X97" s="11">
        <v>1</v>
      </c>
      <c r="Y97" s="11">
        <v>0</v>
      </c>
      <c r="Z97" s="11">
        <v>0</v>
      </c>
      <c r="AA97" s="11">
        <f>MasterTable[[#This Row],[Landings
Night]]+MasterTable[[#This Row],[Landings
Day]]</f>
        <v>1</v>
      </c>
      <c r="AB97" s="10">
        <v>0</v>
      </c>
      <c r="AC97" s="10">
        <v>0</v>
      </c>
      <c r="AD97" s="11">
        <v>0</v>
      </c>
      <c r="AE97" s="21">
        <f>SUM(MasterTable[[#This Row],[ILS]:[PAR]])</f>
        <v>0</v>
      </c>
      <c r="AL97" s="11"/>
      <c r="AR97" s="140" t="str">
        <f>_xlfn.XLOOKUP(MasterTable[[#This Row],[Aircraft ID]],Aircraft!A:A,Aircraft!H:H)</f>
        <v>Airplane Single Engine Land</v>
      </c>
      <c r="AS97" s="8" t="b">
        <f>OR((SUM(MasterTable[[#This Row],[ILS]:[PAR]]) = MasterTable[[#This Row],[APPR]]))</f>
        <v>1</v>
      </c>
      <c r="AT97" s="8" t="b">
        <f>NOT(ISBLANK(MasterTable[[#This Row],[Total
Time]]))</f>
        <v>1</v>
      </c>
    </row>
    <row r="98" spans="4:46" ht="28.8" x14ac:dyDescent="0.3">
      <c r="D98" s="22">
        <v>46107</v>
      </c>
      <c r="E98" s="8" t="s">
        <v>425</v>
      </c>
      <c r="F98" s="8" t="s">
        <v>189</v>
      </c>
      <c r="G98" s="8" t="s">
        <v>189</v>
      </c>
      <c r="I98" s="10">
        <v>1.6</v>
      </c>
      <c r="J98" s="10">
        <v>1.6</v>
      </c>
      <c r="K98" s="10">
        <f>MasterTable[[#This Row],[Total
Time]]</f>
        <v>1.6</v>
      </c>
      <c r="L98" s="10">
        <v>0</v>
      </c>
      <c r="M98" s="13">
        <v>0</v>
      </c>
      <c r="N98" s="13"/>
      <c r="O98" s="10">
        <v>0</v>
      </c>
      <c r="P98" s="10">
        <v>1.6</v>
      </c>
      <c r="Q98" s="14">
        <v>0</v>
      </c>
      <c r="R98" s="14">
        <v>0</v>
      </c>
      <c r="S98" s="10">
        <v>0</v>
      </c>
      <c r="T98" s="10">
        <v>0</v>
      </c>
      <c r="U98" s="14">
        <v>0</v>
      </c>
      <c r="V98" s="10">
        <v>1.6</v>
      </c>
      <c r="W98" s="11">
        <v>1</v>
      </c>
      <c r="X98" s="11">
        <v>1</v>
      </c>
      <c r="Y98" s="11">
        <v>0</v>
      </c>
      <c r="Z98" s="11">
        <v>0</v>
      </c>
      <c r="AA98" s="11">
        <f>MasterTable[[#This Row],[Landings
Night]]+MasterTable[[#This Row],[Landings
Day]]</f>
        <v>1</v>
      </c>
      <c r="AB98" s="10">
        <v>0</v>
      </c>
      <c r="AC98" s="10">
        <v>0</v>
      </c>
      <c r="AD98" s="11">
        <v>0</v>
      </c>
      <c r="AE98" s="21">
        <f>SUM(MasterTable[[#This Row],[ILS]:[PAR]])</f>
        <v>0</v>
      </c>
      <c r="AL98" s="11"/>
      <c r="AR98" s="140" t="str">
        <f>_xlfn.XLOOKUP(MasterTable[[#This Row],[Aircraft ID]],Aircraft!A:A,Aircraft!H:H)</f>
        <v>Airplane Single Engine Land</v>
      </c>
      <c r="AS98" s="8" t="b">
        <f>OR((SUM(MasterTable[[#This Row],[ILS]:[PAR]]) = MasterTable[[#This Row],[APPR]]))</f>
        <v>1</v>
      </c>
      <c r="AT98" s="8" t="b">
        <f>NOT(ISBLANK(MasterTable[[#This Row],[Total
Time]]))</f>
        <v>1</v>
      </c>
    </row>
    <row r="99" spans="4:46" ht="28.8" x14ac:dyDescent="0.3">
      <c r="D99" s="22">
        <v>46105</v>
      </c>
      <c r="E99" s="8" t="s">
        <v>425</v>
      </c>
      <c r="F99" s="8" t="s">
        <v>189</v>
      </c>
      <c r="G99" s="8" t="s">
        <v>189</v>
      </c>
      <c r="I99" s="10">
        <v>1.6</v>
      </c>
      <c r="J99" s="10">
        <v>1.6</v>
      </c>
      <c r="K99" s="10">
        <f>MasterTable[[#This Row],[Total
Time]]</f>
        <v>1.6</v>
      </c>
      <c r="L99" s="10">
        <v>0</v>
      </c>
      <c r="M99" s="13">
        <v>0</v>
      </c>
      <c r="N99" s="13"/>
      <c r="O99" s="10">
        <v>0</v>
      </c>
      <c r="P99" s="10">
        <v>1.6</v>
      </c>
      <c r="Q99" s="14">
        <v>0</v>
      </c>
      <c r="R99" s="14">
        <v>0</v>
      </c>
      <c r="S99" s="10">
        <v>0</v>
      </c>
      <c r="T99" s="10">
        <v>0</v>
      </c>
      <c r="U99" s="14">
        <v>0</v>
      </c>
      <c r="V99" s="10">
        <v>1.6</v>
      </c>
      <c r="W99" s="11">
        <v>1</v>
      </c>
      <c r="X99" s="11">
        <v>1</v>
      </c>
      <c r="Y99" s="11">
        <v>0</v>
      </c>
      <c r="Z99" s="11">
        <v>0</v>
      </c>
      <c r="AA99" s="11">
        <f>MasterTable[[#This Row],[Landings
Night]]+MasterTable[[#This Row],[Landings
Day]]</f>
        <v>1</v>
      </c>
      <c r="AB99" s="10">
        <v>0</v>
      </c>
      <c r="AC99" s="10">
        <v>0</v>
      </c>
      <c r="AD99" s="11">
        <v>0</v>
      </c>
      <c r="AE99" s="21">
        <f>SUM(MasterTable[[#This Row],[ILS]:[PAR]])</f>
        <v>0</v>
      </c>
      <c r="AL99" s="11"/>
      <c r="AR99" s="140" t="str">
        <f>_xlfn.XLOOKUP(MasterTable[[#This Row],[Aircraft ID]],Aircraft!A:A,Aircraft!H:H)</f>
        <v>Airplane Single Engine Land</v>
      </c>
      <c r="AS99" s="8" t="b">
        <f>OR((SUM(MasterTable[[#This Row],[ILS]:[PAR]]) = MasterTable[[#This Row],[APPR]]))</f>
        <v>1</v>
      </c>
      <c r="AT99" s="8" t="b">
        <f>NOT(ISBLANK(MasterTable[[#This Row],[Total
Time]]))</f>
        <v>1</v>
      </c>
    </row>
    <row r="100" spans="4:46" ht="28.8" x14ac:dyDescent="0.3">
      <c r="D100" s="22">
        <v>46104</v>
      </c>
      <c r="E100" s="8" t="s">
        <v>425</v>
      </c>
      <c r="F100" s="8" t="s">
        <v>189</v>
      </c>
      <c r="G100" s="8" t="s">
        <v>189</v>
      </c>
      <c r="I100" s="10">
        <v>1.6</v>
      </c>
      <c r="J100" s="10">
        <v>1.6</v>
      </c>
      <c r="K100" s="10">
        <f>MasterTable[[#This Row],[Total
Time]]</f>
        <v>1.6</v>
      </c>
      <c r="L100" s="10">
        <v>0</v>
      </c>
      <c r="M100" s="13">
        <v>0</v>
      </c>
      <c r="N100" s="13"/>
      <c r="O100" s="10">
        <v>0</v>
      </c>
      <c r="P100" s="10">
        <v>1.6</v>
      </c>
      <c r="Q100" s="14">
        <v>0</v>
      </c>
      <c r="R100" s="14">
        <v>0</v>
      </c>
      <c r="S100" s="10">
        <v>0</v>
      </c>
      <c r="T100" s="10">
        <v>0</v>
      </c>
      <c r="U100" s="14">
        <v>0</v>
      </c>
      <c r="V100" s="10">
        <v>1.6</v>
      </c>
      <c r="W100" s="11">
        <v>1</v>
      </c>
      <c r="X100" s="11">
        <v>1</v>
      </c>
      <c r="Y100" s="11">
        <v>0</v>
      </c>
      <c r="Z100" s="11">
        <v>0</v>
      </c>
      <c r="AA100" s="11">
        <f>MasterTable[[#This Row],[Landings
Night]]+MasterTable[[#This Row],[Landings
Day]]</f>
        <v>1</v>
      </c>
      <c r="AB100" s="10">
        <v>0</v>
      </c>
      <c r="AC100" s="10">
        <v>0</v>
      </c>
      <c r="AD100" s="11">
        <v>0</v>
      </c>
      <c r="AE100" s="21">
        <f>SUM(MasterTable[[#This Row],[ILS]:[PAR]])</f>
        <v>0</v>
      </c>
      <c r="AL100" s="11"/>
      <c r="AR100" s="140" t="str">
        <f>_xlfn.XLOOKUP(MasterTable[[#This Row],[Aircraft ID]],Aircraft!A:A,Aircraft!H:H)</f>
        <v>Airplane Single Engine Land</v>
      </c>
      <c r="AS100" s="8" t="b">
        <f>OR((SUM(MasterTable[[#This Row],[ILS]:[PAR]]) = MasterTable[[#This Row],[APPR]]))</f>
        <v>1</v>
      </c>
      <c r="AT100" s="8" t="b">
        <f>NOT(ISBLANK(MasterTable[[#This Row],[Total
Time]]))</f>
        <v>1</v>
      </c>
    </row>
    <row r="101" spans="4:46" ht="28.8" x14ac:dyDescent="0.3">
      <c r="D101" s="22">
        <v>46100</v>
      </c>
      <c r="E101" s="8" t="s">
        <v>425</v>
      </c>
      <c r="F101" s="8" t="s">
        <v>189</v>
      </c>
      <c r="G101" s="8" t="s">
        <v>189</v>
      </c>
      <c r="I101" s="10">
        <v>1.4</v>
      </c>
      <c r="J101" s="10">
        <v>1.4</v>
      </c>
      <c r="K101" s="10">
        <f>MasterTable[[#This Row],[Total
Time]]</f>
        <v>1.4</v>
      </c>
      <c r="L101" s="10">
        <v>0</v>
      </c>
      <c r="M101" s="13">
        <v>0</v>
      </c>
      <c r="N101" s="13"/>
      <c r="O101" s="10">
        <v>0</v>
      </c>
      <c r="P101" s="10">
        <v>0</v>
      </c>
      <c r="Q101" s="14">
        <v>0</v>
      </c>
      <c r="R101" s="14">
        <v>0</v>
      </c>
      <c r="S101" s="10">
        <v>0</v>
      </c>
      <c r="T101" s="10">
        <v>0</v>
      </c>
      <c r="U101" s="14">
        <v>0</v>
      </c>
      <c r="V101" s="10">
        <v>1.4</v>
      </c>
      <c r="W101" s="11">
        <v>1</v>
      </c>
      <c r="X101" s="11">
        <v>1</v>
      </c>
      <c r="Y101" s="11">
        <v>0</v>
      </c>
      <c r="Z101" s="11">
        <v>0</v>
      </c>
      <c r="AA101" s="11">
        <f>MasterTable[[#This Row],[Landings
Night]]+MasterTable[[#This Row],[Landings
Day]]</f>
        <v>1</v>
      </c>
      <c r="AB101" s="10">
        <v>0</v>
      </c>
      <c r="AC101" s="10">
        <v>0</v>
      </c>
      <c r="AD101" s="11">
        <v>0</v>
      </c>
      <c r="AE101" s="21">
        <f>SUM(MasterTable[[#This Row],[ILS]:[PAR]])</f>
        <v>0</v>
      </c>
      <c r="AL101" s="11"/>
      <c r="AR101" s="140" t="str">
        <f>_xlfn.XLOOKUP(MasterTable[[#This Row],[Aircraft ID]],Aircraft!A:A,Aircraft!H:H)</f>
        <v>Airplane Single Engine Land</v>
      </c>
      <c r="AS101" s="8" t="b">
        <f>OR((SUM(MasterTable[[#This Row],[ILS]:[PAR]]) = MasterTable[[#This Row],[APPR]]))</f>
        <v>1</v>
      </c>
      <c r="AT101" s="8" t="b">
        <f>NOT(ISBLANK(MasterTable[[#This Row],[Total
Time]]))</f>
        <v>1</v>
      </c>
    </row>
    <row r="102" spans="4:46" ht="28.8" x14ac:dyDescent="0.3">
      <c r="D102" s="22">
        <v>46100</v>
      </c>
      <c r="E102" s="8" t="s">
        <v>425</v>
      </c>
      <c r="F102" s="8" t="s">
        <v>189</v>
      </c>
      <c r="G102" s="8" t="s">
        <v>189</v>
      </c>
      <c r="I102" s="10">
        <v>1.6</v>
      </c>
      <c r="J102" s="10">
        <v>1.6</v>
      </c>
      <c r="K102" s="10">
        <f>MasterTable[[#This Row],[Total
Time]]</f>
        <v>1.6</v>
      </c>
      <c r="L102" s="10">
        <v>0</v>
      </c>
      <c r="M102" s="13">
        <v>0</v>
      </c>
      <c r="N102" s="13"/>
      <c r="O102" s="10">
        <v>0</v>
      </c>
      <c r="P102" s="10">
        <v>1.6</v>
      </c>
      <c r="Q102" s="14">
        <v>0</v>
      </c>
      <c r="R102" s="14">
        <v>0</v>
      </c>
      <c r="S102" s="10">
        <v>0</v>
      </c>
      <c r="T102" s="10">
        <v>0</v>
      </c>
      <c r="U102" s="14">
        <v>0</v>
      </c>
      <c r="V102" s="10">
        <v>1.6</v>
      </c>
      <c r="W102" s="11">
        <v>1</v>
      </c>
      <c r="X102" s="11">
        <v>1</v>
      </c>
      <c r="Y102" s="11">
        <v>0</v>
      </c>
      <c r="Z102" s="11">
        <v>0</v>
      </c>
      <c r="AA102" s="11">
        <f>MasterTable[[#This Row],[Landings
Night]]+MasterTable[[#This Row],[Landings
Day]]</f>
        <v>1</v>
      </c>
      <c r="AB102" s="10">
        <v>0</v>
      </c>
      <c r="AC102" s="10">
        <v>0</v>
      </c>
      <c r="AD102" s="11">
        <v>0</v>
      </c>
      <c r="AE102" s="21">
        <f>SUM(MasterTable[[#This Row],[ILS]:[PAR]])</f>
        <v>0</v>
      </c>
      <c r="AL102" s="11"/>
      <c r="AR102" s="140" t="str">
        <f>_xlfn.XLOOKUP(MasterTable[[#This Row],[Aircraft ID]],Aircraft!A:A,Aircraft!H:H)</f>
        <v>Airplane Single Engine Land</v>
      </c>
      <c r="AS102" s="8" t="b">
        <f>OR((SUM(MasterTable[[#This Row],[ILS]:[PAR]]) = MasterTable[[#This Row],[APPR]]))</f>
        <v>1</v>
      </c>
      <c r="AT102" s="8" t="b">
        <f>NOT(ISBLANK(MasterTable[[#This Row],[Total
Time]]))</f>
        <v>1</v>
      </c>
    </row>
    <row r="103" spans="4:46" ht="28.8" x14ac:dyDescent="0.3">
      <c r="D103" s="22">
        <v>46099</v>
      </c>
      <c r="E103" s="8" t="s">
        <v>425</v>
      </c>
      <c r="F103" s="8" t="s">
        <v>189</v>
      </c>
      <c r="G103" s="8" t="s">
        <v>189</v>
      </c>
      <c r="I103" s="10">
        <v>1.5</v>
      </c>
      <c r="J103" s="10">
        <v>1.5</v>
      </c>
      <c r="K103" s="10">
        <f>MasterTable[[#This Row],[Total
Time]]</f>
        <v>1.5</v>
      </c>
      <c r="L103" s="10">
        <v>0</v>
      </c>
      <c r="M103" s="13">
        <v>0</v>
      </c>
      <c r="N103" s="13"/>
      <c r="O103" s="10">
        <v>0</v>
      </c>
      <c r="P103" s="10">
        <v>1.5</v>
      </c>
      <c r="Q103" s="14">
        <v>0</v>
      </c>
      <c r="R103" s="14">
        <v>0</v>
      </c>
      <c r="S103" s="10">
        <v>0</v>
      </c>
      <c r="T103" s="10">
        <v>0</v>
      </c>
      <c r="U103" s="14">
        <v>0</v>
      </c>
      <c r="V103" s="10">
        <v>1.5</v>
      </c>
      <c r="W103" s="11">
        <v>1</v>
      </c>
      <c r="X103" s="11">
        <v>1</v>
      </c>
      <c r="Y103" s="11">
        <v>0</v>
      </c>
      <c r="Z103" s="11">
        <v>0</v>
      </c>
      <c r="AA103" s="11">
        <f>MasterTable[[#This Row],[Landings
Night]]+MasterTable[[#This Row],[Landings
Day]]</f>
        <v>1</v>
      </c>
      <c r="AB103" s="10">
        <v>0</v>
      </c>
      <c r="AC103" s="10">
        <v>0</v>
      </c>
      <c r="AD103" s="11">
        <v>0</v>
      </c>
      <c r="AE103" s="21">
        <f>SUM(MasterTable[[#This Row],[ILS]:[PAR]])</f>
        <v>0</v>
      </c>
      <c r="AL103" s="11"/>
      <c r="AR103" s="140" t="str">
        <f>_xlfn.XLOOKUP(MasterTable[[#This Row],[Aircraft ID]],Aircraft!A:A,Aircraft!H:H)</f>
        <v>Airplane Single Engine Land</v>
      </c>
      <c r="AS103" s="8" t="b">
        <f>OR((SUM(MasterTable[[#This Row],[ILS]:[PAR]]) = MasterTable[[#This Row],[APPR]]))</f>
        <v>1</v>
      </c>
      <c r="AT103" s="8" t="b">
        <f>NOT(ISBLANK(MasterTable[[#This Row],[Total
Time]]))</f>
        <v>1</v>
      </c>
    </row>
    <row r="104" spans="4:46" ht="28.8" x14ac:dyDescent="0.3">
      <c r="D104" s="22">
        <v>46098</v>
      </c>
      <c r="E104" s="8" t="s">
        <v>425</v>
      </c>
      <c r="F104" s="8" t="s">
        <v>189</v>
      </c>
      <c r="G104" s="8" t="s">
        <v>189</v>
      </c>
      <c r="I104" s="10">
        <v>1.6</v>
      </c>
      <c r="J104" s="10">
        <v>1.6</v>
      </c>
      <c r="K104" s="10">
        <f>MasterTable[[#This Row],[Total
Time]]</f>
        <v>1.6</v>
      </c>
      <c r="L104" s="10">
        <v>0</v>
      </c>
      <c r="M104" s="13">
        <v>0</v>
      </c>
      <c r="N104" s="13"/>
      <c r="O104" s="10">
        <v>0</v>
      </c>
      <c r="P104" s="10">
        <v>1.6</v>
      </c>
      <c r="Q104" s="14">
        <v>0</v>
      </c>
      <c r="R104" s="14">
        <v>0</v>
      </c>
      <c r="S104" s="10">
        <v>0</v>
      </c>
      <c r="T104" s="10">
        <v>0</v>
      </c>
      <c r="U104" s="14">
        <v>0</v>
      </c>
      <c r="V104" s="10">
        <v>1.6</v>
      </c>
      <c r="W104" s="11">
        <v>1</v>
      </c>
      <c r="X104" s="11">
        <v>1</v>
      </c>
      <c r="Y104" s="11">
        <v>0</v>
      </c>
      <c r="Z104" s="11">
        <v>0</v>
      </c>
      <c r="AA104" s="11">
        <f>MasterTable[[#This Row],[Landings
Night]]+MasterTable[[#This Row],[Landings
Day]]</f>
        <v>1</v>
      </c>
      <c r="AB104" s="10">
        <v>0</v>
      </c>
      <c r="AC104" s="10">
        <v>0</v>
      </c>
      <c r="AD104" s="11">
        <v>0</v>
      </c>
      <c r="AE104" s="21">
        <f>SUM(MasterTable[[#This Row],[ILS]:[PAR]])</f>
        <v>0</v>
      </c>
      <c r="AL104" s="11"/>
      <c r="AR104" s="140" t="str">
        <f>_xlfn.XLOOKUP(MasterTable[[#This Row],[Aircraft ID]],Aircraft!A:A,Aircraft!H:H)</f>
        <v>Airplane Single Engine Land</v>
      </c>
      <c r="AS104" s="8" t="b">
        <f>OR((SUM(MasterTable[[#This Row],[ILS]:[PAR]]) = MasterTable[[#This Row],[APPR]]))</f>
        <v>1</v>
      </c>
      <c r="AT104" s="8" t="b">
        <f>NOT(ISBLANK(MasterTable[[#This Row],[Total
Time]]))</f>
        <v>1</v>
      </c>
    </row>
    <row r="105" spans="4:46" ht="28.8" x14ac:dyDescent="0.3">
      <c r="D105" s="22">
        <v>46094</v>
      </c>
      <c r="E105" s="8" t="s">
        <v>425</v>
      </c>
      <c r="F105" s="8" t="s">
        <v>189</v>
      </c>
      <c r="G105" s="8" t="s">
        <v>189</v>
      </c>
      <c r="I105" s="10">
        <v>1.6</v>
      </c>
      <c r="J105" s="10">
        <v>1.6</v>
      </c>
      <c r="K105" s="10">
        <f>MasterTable[[#This Row],[Total
Time]]</f>
        <v>1.6</v>
      </c>
      <c r="L105" s="10">
        <v>0</v>
      </c>
      <c r="M105" s="13">
        <v>0</v>
      </c>
      <c r="N105" s="13"/>
      <c r="O105" s="10">
        <v>0</v>
      </c>
      <c r="P105" s="10">
        <v>1.6</v>
      </c>
      <c r="Q105" s="14">
        <v>0</v>
      </c>
      <c r="R105" s="14">
        <v>0</v>
      </c>
      <c r="S105" s="10">
        <v>0</v>
      </c>
      <c r="T105" s="10">
        <v>0</v>
      </c>
      <c r="U105" s="14">
        <v>0</v>
      </c>
      <c r="V105" s="10">
        <v>1.6</v>
      </c>
      <c r="W105" s="11">
        <v>1</v>
      </c>
      <c r="X105" s="11">
        <v>1</v>
      </c>
      <c r="Y105" s="11">
        <v>0</v>
      </c>
      <c r="Z105" s="11">
        <v>0</v>
      </c>
      <c r="AA105" s="11">
        <f>MasterTable[[#This Row],[Landings
Night]]+MasterTable[[#This Row],[Landings
Day]]</f>
        <v>1</v>
      </c>
      <c r="AB105" s="10">
        <v>0</v>
      </c>
      <c r="AC105" s="10">
        <v>0</v>
      </c>
      <c r="AD105" s="11">
        <v>0</v>
      </c>
      <c r="AE105" s="21">
        <f>SUM(MasterTable[[#This Row],[ILS]:[PAR]])</f>
        <v>0</v>
      </c>
      <c r="AL105" s="11"/>
      <c r="AR105" s="140" t="str">
        <f>_xlfn.XLOOKUP(MasterTable[[#This Row],[Aircraft ID]],Aircraft!A:A,Aircraft!H:H)</f>
        <v>Airplane Single Engine Land</v>
      </c>
      <c r="AS105" s="8" t="b">
        <f>OR((SUM(MasterTable[[#This Row],[ILS]:[PAR]]) = MasterTable[[#This Row],[APPR]]))</f>
        <v>1</v>
      </c>
      <c r="AT105" s="8" t="b">
        <f>NOT(ISBLANK(MasterTable[[#This Row],[Total
Time]]))</f>
        <v>1</v>
      </c>
    </row>
    <row r="106" spans="4:46" ht="28.8" x14ac:dyDescent="0.3">
      <c r="D106" s="22">
        <v>46093</v>
      </c>
      <c r="E106" s="8" t="s">
        <v>425</v>
      </c>
      <c r="F106" s="8" t="s">
        <v>189</v>
      </c>
      <c r="G106" s="8" t="s">
        <v>189</v>
      </c>
      <c r="I106" s="10">
        <v>1.6</v>
      </c>
      <c r="J106" s="10">
        <v>1.6</v>
      </c>
      <c r="K106" s="10">
        <f>MasterTable[[#This Row],[Total
Time]]</f>
        <v>1.6</v>
      </c>
      <c r="L106" s="10">
        <v>0</v>
      </c>
      <c r="M106" s="13">
        <v>0</v>
      </c>
      <c r="N106" s="13"/>
      <c r="O106" s="10">
        <v>0</v>
      </c>
      <c r="P106" s="10">
        <v>1.6</v>
      </c>
      <c r="Q106" s="14">
        <v>0</v>
      </c>
      <c r="R106" s="14">
        <v>0</v>
      </c>
      <c r="S106" s="10">
        <v>0</v>
      </c>
      <c r="T106" s="10">
        <v>0</v>
      </c>
      <c r="U106" s="14">
        <v>0</v>
      </c>
      <c r="V106" s="10">
        <v>1.6</v>
      </c>
      <c r="W106" s="11">
        <v>1</v>
      </c>
      <c r="X106" s="11">
        <v>1</v>
      </c>
      <c r="Y106" s="11">
        <v>0</v>
      </c>
      <c r="Z106" s="11">
        <v>0</v>
      </c>
      <c r="AA106" s="11">
        <f>MasterTable[[#This Row],[Landings
Night]]+MasterTable[[#This Row],[Landings
Day]]</f>
        <v>1</v>
      </c>
      <c r="AB106" s="10">
        <v>0</v>
      </c>
      <c r="AC106" s="10">
        <v>0</v>
      </c>
      <c r="AD106" s="11">
        <v>0</v>
      </c>
      <c r="AE106" s="21">
        <f>SUM(MasterTable[[#This Row],[ILS]:[PAR]])</f>
        <v>0</v>
      </c>
      <c r="AL106" s="11"/>
      <c r="AR106" s="140" t="str">
        <f>_xlfn.XLOOKUP(MasterTable[[#This Row],[Aircraft ID]],Aircraft!A:A,Aircraft!H:H)</f>
        <v>Airplane Single Engine Land</v>
      </c>
      <c r="AS106" s="8" t="b">
        <f>OR((SUM(MasterTable[[#This Row],[ILS]:[PAR]]) = MasterTable[[#This Row],[APPR]]))</f>
        <v>1</v>
      </c>
      <c r="AT106" s="8" t="b">
        <f>NOT(ISBLANK(MasterTable[[#This Row],[Total
Time]]))</f>
        <v>1</v>
      </c>
    </row>
    <row r="107" spans="4:46" ht="28.8" x14ac:dyDescent="0.3">
      <c r="D107" s="22">
        <v>46091</v>
      </c>
      <c r="E107" s="8" t="s">
        <v>425</v>
      </c>
      <c r="F107" s="8" t="s">
        <v>189</v>
      </c>
      <c r="G107" s="8" t="s">
        <v>189</v>
      </c>
      <c r="I107" s="10">
        <v>1</v>
      </c>
      <c r="J107" s="10">
        <v>1</v>
      </c>
      <c r="K107" s="10">
        <f>MasterTable[[#This Row],[Total
Time]]</f>
        <v>1</v>
      </c>
      <c r="L107" s="10">
        <v>0</v>
      </c>
      <c r="M107" s="13">
        <v>0</v>
      </c>
      <c r="N107" s="13"/>
      <c r="O107" s="10">
        <v>0</v>
      </c>
      <c r="P107" s="10">
        <v>1</v>
      </c>
      <c r="Q107" s="14">
        <v>0</v>
      </c>
      <c r="R107" s="14">
        <v>0</v>
      </c>
      <c r="S107" s="10">
        <v>0</v>
      </c>
      <c r="T107" s="10">
        <v>0</v>
      </c>
      <c r="U107" s="14">
        <v>0</v>
      </c>
      <c r="V107" s="10">
        <v>1</v>
      </c>
      <c r="W107" s="11">
        <v>2</v>
      </c>
      <c r="X107" s="11">
        <v>2</v>
      </c>
      <c r="Y107" s="11">
        <v>0</v>
      </c>
      <c r="Z107" s="11">
        <v>0</v>
      </c>
      <c r="AA107" s="11">
        <f>MasterTable[[#This Row],[Landings
Night]]+MasterTable[[#This Row],[Landings
Day]]</f>
        <v>2</v>
      </c>
      <c r="AB107" s="10">
        <v>0</v>
      </c>
      <c r="AC107" s="10">
        <v>0</v>
      </c>
      <c r="AD107" s="11">
        <v>0</v>
      </c>
      <c r="AE107" s="21">
        <f>SUM(MasterTable[[#This Row],[ILS]:[PAR]])</f>
        <v>0</v>
      </c>
      <c r="AL107" s="11"/>
      <c r="AR107" s="140" t="str">
        <f>_xlfn.XLOOKUP(MasterTable[[#This Row],[Aircraft ID]],Aircraft!A:A,Aircraft!H:H)</f>
        <v>Airplane Single Engine Land</v>
      </c>
      <c r="AS107" s="8" t="b">
        <f>OR((SUM(MasterTable[[#This Row],[ILS]:[PAR]]) = MasterTable[[#This Row],[APPR]]))</f>
        <v>1</v>
      </c>
      <c r="AT107" s="8" t="b">
        <f>NOT(ISBLANK(MasterTable[[#This Row],[Total
Time]]))</f>
        <v>1</v>
      </c>
    </row>
    <row r="108" spans="4:46" ht="28.8" x14ac:dyDescent="0.3">
      <c r="D108" s="22">
        <v>46090</v>
      </c>
      <c r="E108" s="8" t="s">
        <v>425</v>
      </c>
      <c r="F108" s="8" t="s">
        <v>189</v>
      </c>
      <c r="G108" s="8" t="s">
        <v>189</v>
      </c>
      <c r="I108" s="10">
        <v>1.8</v>
      </c>
      <c r="J108" s="10">
        <v>1.8</v>
      </c>
      <c r="K108" s="10">
        <f>MasterTable[[#This Row],[Total
Time]]</f>
        <v>1.8</v>
      </c>
      <c r="L108" s="10">
        <v>0</v>
      </c>
      <c r="M108" s="13">
        <v>0</v>
      </c>
      <c r="N108" s="13"/>
      <c r="O108" s="10">
        <v>0</v>
      </c>
      <c r="P108" s="10">
        <v>1.8</v>
      </c>
      <c r="Q108" s="14">
        <v>0</v>
      </c>
      <c r="R108" s="14">
        <v>0</v>
      </c>
      <c r="S108" s="10">
        <v>0</v>
      </c>
      <c r="T108" s="10">
        <v>0</v>
      </c>
      <c r="U108" s="14">
        <v>0</v>
      </c>
      <c r="V108" s="10">
        <v>1.8</v>
      </c>
      <c r="W108" s="11">
        <v>2</v>
      </c>
      <c r="X108" s="11">
        <v>2</v>
      </c>
      <c r="Y108" s="11">
        <v>0</v>
      </c>
      <c r="Z108" s="11">
        <v>0</v>
      </c>
      <c r="AA108" s="11">
        <f>MasterTable[[#This Row],[Landings
Night]]+MasterTable[[#This Row],[Landings
Day]]</f>
        <v>2</v>
      </c>
      <c r="AB108" s="10">
        <v>0</v>
      </c>
      <c r="AC108" s="10">
        <v>0</v>
      </c>
      <c r="AD108" s="11">
        <v>0</v>
      </c>
      <c r="AE108" s="21">
        <f>SUM(MasterTable[[#This Row],[ILS]:[PAR]])</f>
        <v>0</v>
      </c>
      <c r="AL108" s="11"/>
      <c r="AR108" s="140" t="str">
        <f>_xlfn.XLOOKUP(MasterTable[[#This Row],[Aircraft ID]],Aircraft!A:A,Aircraft!H:H)</f>
        <v>Airplane Single Engine Land</v>
      </c>
      <c r="AS108" s="8" t="b">
        <f>OR((SUM(MasterTable[[#This Row],[ILS]:[PAR]]) = MasterTable[[#This Row],[APPR]]))</f>
        <v>1</v>
      </c>
      <c r="AT108" s="8" t="b">
        <f>NOT(ISBLANK(MasterTable[[#This Row],[Total
Time]]))</f>
        <v>1</v>
      </c>
    </row>
    <row r="109" spans="4:46" ht="28.8" x14ac:dyDescent="0.3">
      <c r="D109" s="22">
        <v>46087</v>
      </c>
      <c r="E109" s="8" t="s">
        <v>425</v>
      </c>
      <c r="F109" s="8" t="s">
        <v>189</v>
      </c>
      <c r="G109" s="8" t="s">
        <v>189</v>
      </c>
      <c r="I109" s="10">
        <v>1.5</v>
      </c>
      <c r="J109" s="10">
        <v>1.5</v>
      </c>
      <c r="K109" s="10">
        <f>MasterTable[[#This Row],[Total
Time]]</f>
        <v>1.5</v>
      </c>
      <c r="L109" s="10">
        <v>0</v>
      </c>
      <c r="M109" s="13">
        <v>0</v>
      </c>
      <c r="N109" s="13"/>
      <c r="O109" s="10">
        <v>0</v>
      </c>
      <c r="P109" s="10">
        <v>1.5</v>
      </c>
      <c r="Q109" s="14">
        <v>0</v>
      </c>
      <c r="R109" s="14">
        <v>0</v>
      </c>
      <c r="S109" s="10">
        <v>0</v>
      </c>
      <c r="T109" s="10">
        <v>0</v>
      </c>
      <c r="U109" s="14">
        <v>0</v>
      </c>
      <c r="V109" s="10">
        <v>0</v>
      </c>
      <c r="W109" s="11">
        <v>4</v>
      </c>
      <c r="X109" s="11">
        <v>4</v>
      </c>
      <c r="Y109" s="11">
        <v>0</v>
      </c>
      <c r="Z109" s="11">
        <v>0</v>
      </c>
      <c r="AA109" s="11">
        <f>MasterTable[[#This Row],[Landings
Night]]+MasterTable[[#This Row],[Landings
Day]]</f>
        <v>4</v>
      </c>
      <c r="AB109" s="10">
        <v>0.2</v>
      </c>
      <c r="AC109" s="10">
        <v>0</v>
      </c>
      <c r="AD109" s="11">
        <v>0</v>
      </c>
      <c r="AE109" s="21">
        <f>SUM(MasterTable[[#This Row],[ILS]:[PAR]])</f>
        <v>0</v>
      </c>
      <c r="AL109" s="11"/>
      <c r="AR109" s="140" t="str">
        <f>_xlfn.XLOOKUP(MasterTable[[#This Row],[Aircraft ID]],Aircraft!A:A,Aircraft!H:H)</f>
        <v>Airplane Single Engine Land</v>
      </c>
      <c r="AS109" s="8" t="b">
        <f>OR((SUM(MasterTable[[#This Row],[ILS]:[PAR]]) = MasterTable[[#This Row],[APPR]]))</f>
        <v>1</v>
      </c>
      <c r="AT109" s="8" t="b">
        <f>NOT(ISBLANK(MasterTable[[#This Row],[Total
Time]]))</f>
        <v>1</v>
      </c>
    </row>
    <row r="110" spans="4:46" ht="28.8" x14ac:dyDescent="0.3">
      <c r="D110" s="22">
        <v>46085</v>
      </c>
      <c r="E110" s="8" t="s">
        <v>425</v>
      </c>
      <c r="F110" s="8" t="s">
        <v>189</v>
      </c>
      <c r="G110" s="8" t="s">
        <v>189</v>
      </c>
      <c r="I110" s="10">
        <v>1.5</v>
      </c>
      <c r="J110" s="10">
        <v>1.5</v>
      </c>
      <c r="K110" s="10">
        <f>MasterTable[[#This Row],[Total
Time]]</f>
        <v>1.5</v>
      </c>
      <c r="L110" s="10">
        <v>0</v>
      </c>
      <c r="M110" s="13">
        <v>0</v>
      </c>
      <c r="N110" s="13"/>
      <c r="O110" s="10">
        <v>0</v>
      </c>
      <c r="P110" s="10">
        <v>1.5</v>
      </c>
      <c r="Q110" s="14">
        <v>0</v>
      </c>
      <c r="R110" s="14">
        <v>0</v>
      </c>
      <c r="S110" s="10">
        <v>0</v>
      </c>
      <c r="T110" s="10">
        <v>0</v>
      </c>
      <c r="U110" s="14">
        <v>0</v>
      </c>
      <c r="V110" s="10">
        <v>0</v>
      </c>
      <c r="W110" s="11">
        <v>1</v>
      </c>
      <c r="X110" s="11">
        <v>1</v>
      </c>
      <c r="Y110" s="11">
        <v>0</v>
      </c>
      <c r="Z110" s="11">
        <v>0</v>
      </c>
      <c r="AA110" s="11">
        <f>MasterTable[[#This Row],[Landings
Night]]+MasterTable[[#This Row],[Landings
Day]]</f>
        <v>1</v>
      </c>
      <c r="AB110" s="10">
        <v>0.8</v>
      </c>
      <c r="AC110" s="10">
        <v>0</v>
      </c>
      <c r="AD110" s="11">
        <v>2</v>
      </c>
      <c r="AE110" s="21">
        <f>SUM(MasterTable[[#This Row],[ILS]:[PAR]])</f>
        <v>1</v>
      </c>
      <c r="AH110" s="11">
        <v>1</v>
      </c>
      <c r="AL110" s="11">
        <v>1</v>
      </c>
      <c r="AR110" s="140" t="str">
        <f>_xlfn.XLOOKUP(MasterTable[[#This Row],[Aircraft ID]],Aircraft!A:A,Aircraft!H:H)</f>
        <v>Airplane Single Engine Land</v>
      </c>
      <c r="AS110" s="8" t="b">
        <f>OR((SUM(MasterTable[[#This Row],[ILS]:[PAR]]) = MasterTable[[#This Row],[APPR]]))</f>
        <v>1</v>
      </c>
      <c r="AT110" s="8" t="b">
        <f>NOT(ISBLANK(MasterTable[[#This Row],[Total
Time]]))</f>
        <v>1</v>
      </c>
    </row>
    <row r="111" spans="4:46" ht="28.8" x14ac:dyDescent="0.3">
      <c r="D111" s="22">
        <v>46083</v>
      </c>
      <c r="E111" s="8" t="s">
        <v>425</v>
      </c>
      <c r="F111" s="8" t="s">
        <v>189</v>
      </c>
      <c r="G111" s="8" t="s">
        <v>194</v>
      </c>
      <c r="I111" s="10">
        <v>1.4</v>
      </c>
      <c r="J111" s="10">
        <v>1.4</v>
      </c>
      <c r="K111" s="10">
        <f>MasterTable[[#This Row],[Total
Time]]</f>
        <v>1.4</v>
      </c>
      <c r="L111" s="10">
        <v>0</v>
      </c>
      <c r="M111" s="13">
        <v>0</v>
      </c>
      <c r="N111" s="13"/>
      <c r="O111" s="10">
        <v>0</v>
      </c>
      <c r="P111" s="10">
        <v>1.4</v>
      </c>
      <c r="Q111" s="14">
        <v>0</v>
      </c>
      <c r="R111" s="14">
        <v>0</v>
      </c>
      <c r="S111" s="10">
        <v>0</v>
      </c>
      <c r="T111" s="10">
        <v>1.4</v>
      </c>
      <c r="U111" s="14">
        <v>0</v>
      </c>
      <c r="V111" s="10">
        <v>0</v>
      </c>
      <c r="W111" s="11">
        <v>1</v>
      </c>
      <c r="X111" s="11">
        <v>1</v>
      </c>
      <c r="Y111" s="11">
        <v>0</v>
      </c>
      <c r="Z111" s="11">
        <v>0</v>
      </c>
      <c r="AA111" s="11">
        <f>MasterTable[[#This Row],[Landings
Night]]+MasterTable[[#This Row],[Landings
Day]]</f>
        <v>1</v>
      </c>
      <c r="AB111" s="10">
        <v>1.4</v>
      </c>
      <c r="AC111" s="10">
        <v>0</v>
      </c>
      <c r="AD111" s="11">
        <v>1</v>
      </c>
      <c r="AE111" s="21">
        <f>SUM(MasterTable[[#This Row],[ILS]:[PAR]])</f>
        <v>3</v>
      </c>
      <c r="AF111" s="11">
        <v>1</v>
      </c>
      <c r="AG111" s="11">
        <v>1</v>
      </c>
      <c r="AH111" s="11">
        <v>1</v>
      </c>
      <c r="AL111" s="11"/>
      <c r="AR111" s="140" t="str">
        <f>_xlfn.XLOOKUP(MasterTable[[#This Row],[Aircraft ID]],Aircraft!A:A,Aircraft!H:H)</f>
        <v>Airplane Single Engine Land</v>
      </c>
      <c r="AS111" s="8" t="b">
        <f>OR((SUM(MasterTable[[#This Row],[ILS]:[PAR]]) = MasterTable[[#This Row],[APPR]]))</f>
        <v>1</v>
      </c>
      <c r="AT111" s="8" t="b">
        <f>NOT(ISBLANK(MasterTable[[#This Row],[Total
Time]]))</f>
        <v>1</v>
      </c>
    </row>
    <row r="112" spans="4:46" ht="28.8" x14ac:dyDescent="0.3">
      <c r="D112" s="22">
        <v>46080</v>
      </c>
      <c r="E112" s="8" t="s">
        <v>425</v>
      </c>
      <c r="F112" s="8" t="s">
        <v>189</v>
      </c>
      <c r="G112" s="8" t="s">
        <v>197</v>
      </c>
      <c r="I112" s="10">
        <v>1.6</v>
      </c>
      <c r="J112" s="10">
        <v>1.6</v>
      </c>
      <c r="K112" s="10">
        <f>MasterTable[[#This Row],[Total
Time]]</f>
        <v>1.6</v>
      </c>
      <c r="L112" s="10">
        <v>0</v>
      </c>
      <c r="M112" s="13">
        <v>0</v>
      </c>
      <c r="N112" s="13"/>
      <c r="O112" s="10">
        <v>0</v>
      </c>
      <c r="P112" s="10">
        <v>1.6</v>
      </c>
      <c r="Q112" s="14">
        <v>0</v>
      </c>
      <c r="R112" s="14">
        <v>0</v>
      </c>
      <c r="S112" s="10">
        <v>0</v>
      </c>
      <c r="T112" s="10">
        <v>1.6</v>
      </c>
      <c r="U112" s="14">
        <v>0</v>
      </c>
      <c r="V112" s="10">
        <v>0</v>
      </c>
      <c r="W112" s="11">
        <v>1</v>
      </c>
      <c r="X112" s="11">
        <v>1</v>
      </c>
      <c r="Y112" s="11">
        <v>0</v>
      </c>
      <c r="Z112" s="11">
        <v>0</v>
      </c>
      <c r="AA112" s="11">
        <f>MasterTable[[#This Row],[Landings
Night]]+MasterTable[[#This Row],[Landings
Day]]</f>
        <v>1</v>
      </c>
      <c r="AB112" s="10">
        <v>0</v>
      </c>
      <c r="AC112" s="10">
        <v>1.6</v>
      </c>
      <c r="AD112" s="11">
        <v>1</v>
      </c>
      <c r="AE112" s="21">
        <f>SUM(MasterTable[[#This Row],[ILS]:[PAR]])</f>
        <v>3</v>
      </c>
      <c r="AF112" s="11">
        <v>1</v>
      </c>
      <c r="AG112" s="11">
        <v>1</v>
      </c>
      <c r="AH112" s="11">
        <v>1</v>
      </c>
      <c r="AL112" s="11"/>
      <c r="AR112" s="140" t="str">
        <f>_xlfn.XLOOKUP(MasterTable[[#This Row],[Aircraft ID]],Aircraft!A:A,Aircraft!H:H)</f>
        <v>Airplane Single Engine Land</v>
      </c>
      <c r="AS112" s="8" t="b">
        <f>OR((SUM(MasterTable[[#This Row],[ILS]:[PAR]]) = MasterTable[[#This Row],[APPR]]))</f>
        <v>1</v>
      </c>
      <c r="AT112" s="8" t="b">
        <f>NOT(ISBLANK(MasterTable[[#This Row],[Total
Time]]))</f>
        <v>1</v>
      </c>
    </row>
    <row r="113" spans="4:46" ht="28.8" x14ac:dyDescent="0.3">
      <c r="D113" s="22">
        <v>46080</v>
      </c>
      <c r="E113" s="8" t="s">
        <v>425</v>
      </c>
      <c r="F113" s="8" t="s">
        <v>189</v>
      </c>
      <c r="G113" s="8" t="s">
        <v>194</v>
      </c>
      <c r="I113" s="10">
        <v>1.5</v>
      </c>
      <c r="J113" s="10">
        <v>1.5</v>
      </c>
      <c r="K113" s="10">
        <f>MasterTable[[#This Row],[Total
Time]]</f>
        <v>1.5</v>
      </c>
      <c r="L113" s="10">
        <v>0</v>
      </c>
      <c r="M113" s="13">
        <v>0</v>
      </c>
      <c r="N113" s="13"/>
      <c r="O113" s="10">
        <v>0</v>
      </c>
      <c r="P113" s="10">
        <v>1.5</v>
      </c>
      <c r="Q113" s="14">
        <v>0</v>
      </c>
      <c r="R113" s="14">
        <v>0</v>
      </c>
      <c r="S113" s="10">
        <v>0</v>
      </c>
      <c r="T113" s="10">
        <v>1.5</v>
      </c>
      <c r="U113" s="14">
        <v>0</v>
      </c>
      <c r="V113" s="10">
        <v>0</v>
      </c>
      <c r="W113" s="11">
        <v>1</v>
      </c>
      <c r="X113" s="11">
        <v>1</v>
      </c>
      <c r="Y113" s="11">
        <v>0</v>
      </c>
      <c r="Z113" s="11">
        <v>0</v>
      </c>
      <c r="AA113" s="11">
        <f>MasterTable[[#This Row],[Landings
Night]]+MasterTable[[#This Row],[Landings
Day]]</f>
        <v>1</v>
      </c>
      <c r="AB113" s="10">
        <v>0</v>
      </c>
      <c r="AC113" s="10">
        <v>1.5</v>
      </c>
      <c r="AD113" s="11">
        <v>1</v>
      </c>
      <c r="AE113" s="21">
        <f>SUM(MasterTable[[#This Row],[ILS]:[PAR]])</f>
        <v>3</v>
      </c>
      <c r="AF113" s="11">
        <v>1</v>
      </c>
      <c r="AG113" s="11">
        <v>1</v>
      </c>
      <c r="AH113" s="11">
        <v>1</v>
      </c>
      <c r="AL113" s="11"/>
      <c r="AR113" s="140" t="str">
        <f>_xlfn.XLOOKUP(MasterTable[[#This Row],[Aircraft ID]],Aircraft!A:A,Aircraft!H:H)</f>
        <v>Airplane Single Engine Land</v>
      </c>
      <c r="AS113" s="8" t="b">
        <f>OR((SUM(MasterTable[[#This Row],[ILS]:[PAR]]) = MasterTable[[#This Row],[APPR]]))</f>
        <v>1</v>
      </c>
      <c r="AT113" s="8" t="b">
        <f>NOT(ISBLANK(MasterTable[[#This Row],[Total
Time]]))</f>
        <v>1</v>
      </c>
    </row>
    <row r="114" spans="4:46" ht="28.8" x14ac:dyDescent="0.3">
      <c r="D114" s="22">
        <v>46079</v>
      </c>
      <c r="E114" s="8" t="s">
        <v>425</v>
      </c>
      <c r="F114" s="8" t="s">
        <v>189</v>
      </c>
      <c r="G114" s="8" t="s">
        <v>197</v>
      </c>
      <c r="I114" s="10">
        <v>1.7</v>
      </c>
      <c r="J114" s="10">
        <v>1.7</v>
      </c>
      <c r="K114" s="10">
        <f>MasterTable[[#This Row],[Total
Time]]</f>
        <v>1.7</v>
      </c>
      <c r="L114" s="10">
        <v>0</v>
      </c>
      <c r="M114" s="13">
        <v>0</v>
      </c>
      <c r="N114" s="13"/>
      <c r="O114" s="10">
        <v>0</v>
      </c>
      <c r="P114" s="10">
        <v>1.7</v>
      </c>
      <c r="Q114" s="14">
        <v>0</v>
      </c>
      <c r="R114" s="14">
        <v>0</v>
      </c>
      <c r="S114" s="10">
        <v>0</v>
      </c>
      <c r="T114" s="10">
        <v>1.7</v>
      </c>
      <c r="U114" s="14">
        <v>0</v>
      </c>
      <c r="V114" s="10">
        <v>0</v>
      </c>
      <c r="W114" s="11">
        <v>1</v>
      </c>
      <c r="X114" s="11">
        <v>1</v>
      </c>
      <c r="Y114" s="11">
        <v>0</v>
      </c>
      <c r="Z114" s="11">
        <v>0</v>
      </c>
      <c r="AA114" s="11">
        <f>MasterTable[[#This Row],[Landings
Night]]+MasterTable[[#This Row],[Landings
Day]]</f>
        <v>1</v>
      </c>
      <c r="AB114" s="10">
        <v>0</v>
      </c>
      <c r="AC114" s="10">
        <v>1.7</v>
      </c>
      <c r="AD114" s="11">
        <v>1</v>
      </c>
      <c r="AE114" s="21">
        <f>SUM(MasterTable[[#This Row],[ILS]:[PAR]])</f>
        <v>3</v>
      </c>
      <c r="AF114" s="11">
        <v>1</v>
      </c>
      <c r="AH114" s="11">
        <v>1</v>
      </c>
      <c r="AI114" s="11">
        <v>1</v>
      </c>
      <c r="AL114" s="11"/>
      <c r="AR114" s="140" t="str">
        <f>_xlfn.XLOOKUP(MasterTable[[#This Row],[Aircraft ID]],Aircraft!A:A,Aircraft!H:H)</f>
        <v>Airplane Single Engine Land</v>
      </c>
      <c r="AS114" s="8" t="b">
        <f>OR((SUM(MasterTable[[#This Row],[ILS]:[PAR]]) = MasterTable[[#This Row],[APPR]]))</f>
        <v>1</v>
      </c>
      <c r="AT114" s="8" t="b">
        <f>NOT(ISBLANK(MasterTable[[#This Row],[Total
Time]]))</f>
        <v>1</v>
      </c>
    </row>
    <row r="115" spans="4:46" ht="28.8" x14ac:dyDescent="0.3">
      <c r="D115" s="22">
        <v>46077</v>
      </c>
      <c r="E115" s="8" t="s">
        <v>425</v>
      </c>
      <c r="F115" s="8" t="s">
        <v>189</v>
      </c>
      <c r="G115" s="8" t="s">
        <v>194</v>
      </c>
      <c r="I115" s="10">
        <v>1.6</v>
      </c>
      <c r="J115" s="10">
        <v>1.6</v>
      </c>
      <c r="K115" s="10">
        <f>MasterTable[[#This Row],[Total
Time]]</f>
        <v>1.6</v>
      </c>
      <c r="L115" s="10">
        <v>0</v>
      </c>
      <c r="M115" s="13">
        <v>0</v>
      </c>
      <c r="N115" s="13"/>
      <c r="O115" s="10">
        <v>0</v>
      </c>
      <c r="P115" s="10">
        <v>1.6</v>
      </c>
      <c r="Q115" s="14">
        <v>0</v>
      </c>
      <c r="R115" s="14">
        <v>0</v>
      </c>
      <c r="S115" s="10">
        <v>0</v>
      </c>
      <c r="T115" s="10">
        <v>1.6</v>
      </c>
      <c r="U115" s="14">
        <v>0</v>
      </c>
      <c r="V115" s="10">
        <v>0</v>
      </c>
      <c r="W115" s="11">
        <v>1</v>
      </c>
      <c r="X115" s="11">
        <v>1</v>
      </c>
      <c r="Y115" s="11">
        <v>0</v>
      </c>
      <c r="Z115" s="11">
        <v>0</v>
      </c>
      <c r="AA115" s="11">
        <f>MasterTable[[#This Row],[Landings
Night]]+MasterTable[[#This Row],[Landings
Day]]</f>
        <v>1</v>
      </c>
      <c r="AB115" s="10">
        <v>0</v>
      </c>
      <c r="AC115" s="10">
        <v>1.6</v>
      </c>
      <c r="AD115" s="11">
        <v>1</v>
      </c>
      <c r="AE115" s="21">
        <f>SUM(MasterTable[[#This Row],[ILS]:[PAR]])</f>
        <v>2</v>
      </c>
      <c r="AF115" s="11">
        <v>1</v>
      </c>
      <c r="AG115" s="11">
        <v>1</v>
      </c>
      <c r="AL115" s="11"/>
      <c r="AR115" s="140" t="str">
        <f>_xlfn.XLOOKUP(MasterTable[[#This Row],[Aircraft ID]],Aircraft!A:A,Aircraft!H:H)</f>
        <v>Airplane Single Engine Land</v>
      </c>
      <c r="AS115" s="8" t="b">
        <f>OR((SUM(MasterTable[[#This Row],[ILS]:[PAR]]) = MasterTable[[#This Row],[APPR]]))</f>
        <v>1</v>
      </c>
      <c r="AT115" s="8" t="b">
        <f>NOT(ISBLANK(MasterTable[[#This Row],[Total
Time]]))</f>
        <v>1</v>
      </c>
    </row>
    <row r="116" spans="4:46" ht="28.8" x14ac:dyDescent="0.3">
      <c r="D116" s="22">
        <v>46076</v>
      </c>
      <c r="E116" s="8" t="s">
        <v>425</v>
      </c>
      <c r="F116" s="8" t="s">
        <v>189</v>
      </c>
      <c r="G116" s="8" t="s">
        <v>197</v>
      </c>
      <c r="I116" s="10">
        <v>1.7</v>
      </c>
      <c r="J116" s="10">
        <v>1.7</v>
      </c>
      <c r="K116" s="10">
        <f>MasterTable[[#This Row],[Total
Time]]</f>
        <v>1.7</v>
      </c>
      <c r="L116" s="10">
        <v>0</v>
      </c>
      <c r="M116" s="13">
        <v>0</v>
      </c>
      <c r="N116" s="13"/>
      <c r="O116" s="10">
        <v>0</v>
      </c>
      <c r="P116" s="10">
        <v>1.7</v>
      </c>
      <c r="Q116" s="14">
        <v>0</v>
      </c>
      <c r="R116" s="14">
        <v>0</v>
      </c>
      <c r="S116" s="10">
        <v>0</v>
      </c>
      <c r="T116" s="10">
        <v>1.7</v>
      </c>
      <c r="U116" s="14">
        <v>0</v>
      </c>
      <c r="V116" s="10">
        <v>0</v>
      </c>
      <c r="W116" s="11">
        <v>1</v>
      </c>
      <c r="X116" s="11">
        <v>1</v>
      </c>
      <c r="Y116" s="11">
        <v>0</v>
      </c>
      <c r="Z116" s="11">
        <v>0</v>
      </c>
      <c r="AA116" s="11">
        <f>MasterTable[[#This Row],[Landings
Night]]+MasterTable[[#This Row],[Landings
Day]]</f>
        <v>1</v>
      </c>
      <c r="AB116" s="10">
        <v>0</v>
      </c>
      <c r="AC116" s="10">
        <v>1.7</v>
      </c>
      <c r="AD116" s="11">
        <v>1</v>
      </c>
      <c r="AE116" s="21">
        <f>SUM(MasterTable[[#This Row],[ILS]:[PAR]])</f>
        <v>3</v>
      </c>
      <c r="AF116" s="11">
        <v>1</v>
      </c>
      <c r="AI116" s="11">
        <v>1</v>
      </c>
      <c r="AK116" s="11">
        <v>1</v>
      </c>
      <c r="AL116" s="11"/>
      <c r="AR116" s="140" t="str">
        <f>_xlfn.XLOOKUP(MasterTable[[#This Row],[Aircraft ID]],Aircraft!A:A,Aircraft!H:H)</f>
        <v>Airplane Single Engine Land</v>
      </c>
      <c r="AS116" s="8" t="b">
        <f>OR((SUM(MasterTable[[#This Row],[ILS]:[PAR]]) = MasterTable[[#This Row],[APPR]]))</f>
        <v>1</v>
      </c>
      <c r="AT116" s="8" t="b">
        <f>NOT(ISBLANK(MasterTable[[#This Row],[Total
Time]]))</f>
        <v>1</v>
      </c>
    </row>
    <row r="117" spans="4:46" ht="28.8" x14ac:dyDescent="0.3">
      <c r="D117" s="22">
        <v>46075</v>
      </c>
      <c r="E117" s="8" t="s">
        <v>425</v>
      </c>
      <c r="F117" s="8" t="s">
        <v>190</v>
      </c>
      <c r="G117" s="8" t="s">
        <v>189</v>
      </c>
      <c r="I117" s="10">
        <v>1.8</v>
      </c>
      <c r="J117" s="10">
        <v>1.8</v>
      </c>
      <c r="K117" s="10">
        <f>MasterTable[[#This Row],[Total
Time]]</f>
        <v>1.8</v>
      </c>
      <c r="L117" s="10">
        <v>0</v>
      </c>
      <c r="M117" s="13">
        <v>0</v>
      </c>
      <c r="N117" s="13"/>
      <c r="O117" s="10">
        <v>0</v>
      </c>
      <c r="P117" s="10">
        <v>1.8</v>
      </c>
      <c r="Q117" s="14">
        <v>0</v>
      </c>
      <c r="R117" s="14">
        <v>0</v>
      </c>
      <c r="S117" s="10">
        <v>0</v>
      </c>
      <c r="T117" s="10">
        <v>1.8</v>
      </c>
      <c r="U117" s="14">
        <v>0</v>
      </c>
      <c r="V117" s="10">
        <v>0</v>
      </c>
      <c r="W117" s="11">
        <v>1</v>
      </c>
      <c r="X117" s="11">
        <v>1</v>
      </c>
      <c r="Y117" s="11">
        <v>0</v>
      </c>
      <c r="Z117" s="11">
        <v>0</v>
      </c>
      <c r="AA117" s="11">
        <f>MasterTable[[#This Row],[Landings
Night]]+MasterTable[[#This Row],[Landings
Day]]</f>
        <v>1</v>
      </c>
      <c r="AB117" s="10">
        <v>0</v>
      </c>
      <c r="AC117" s="10">
        <v>1.4</v>
      </c>
      <c r="AD117" s="11">
        <v>1</v>
      </c>
      <c r="AE117" s="21">
        <f>SUM(MasterTable[[#This Row],[ILS]:[PAR]])</f>
        <v>2</v>
      </c>
      <c r="AH117" s="11">
        <v>1</v>
      </c>
      <c r="AJ117" s="11">
        <v>1</v>
      </c>
      <c r="AL117" s="11"/>
      <c r="AR117" s="140" t="str">
        <f>_xlfn.XLOOKUP(MasterTable[[#This Row],[Aircraft ID]],Aircraft!A:A,Aircraft!H:H)</f>
        <v>Airplane Single Engine Land</v>
      </c>
      <c r="AS117" s="8" t="b">
        <f>OR((SUM(MasterTable[[#This Row],[ILS]:[PAR]]) = MasterTable[[#This Row],[APPR]]))</f>
        <v>1</v>
      </c>
      <c r="AT117" s="8" t="b">
        <f>NOT(ISBLANK(MasterTable[[#This Row],[Total
Time]]))</f>
        <v>1</v>
      </c>
    </row>
    <row r="118" spans="4:46" ht="28.8" x14ac:dyDescent="0.3">
      <c r="D118" s="22">
        <v>46075</v>
      </c>
      <c r="E118" s="8" t="s">
        <v>425</v>
      </c>
      <c r="F118" s="8" t="s">
        <v>199</v>
      </c>
      <c r="G118" s="8" t="s">
        <v>190</v>
      </c>
      <c r="I118" s="10">
        <v>1.5</v>
      </c>
      <c r="J118" s="10">
        <v>1.5</v>
      </c>
      <c r="K118" s="10">
        <f>MasterTable[[#This Row],[Total
Time]]</f>
        <v>1.5</v>
      </c>
      <c r="L118" s="10">
        <v>0</v>
      </c>
      <c r="M118" s="13">
        <v>0</v>
      </c>
      <c r="N118" s="13"/>
      <c r="O118" s="10">
        <v>0</v>
      </c>
      <c r="P118" s="10">
        <v>1.5</v>
      </c>
      <c r="Q118" s="14">
        <v>0</v>
      </c>
      <c r="R118" s="14">
        <v>0</v>
      </c>
      <c r="S118" s="10">
        <v>0</v>
      </c>
      <c r="T118" s="10">
        <v>1.5</v>
      </c>
      <c r="U118" s="14">
        <v>0</v>
      </c>
      <c r="V118" s="10">
        <v>0</v>
      </c>
      <c r="W118" s="11">
        <v>4</v>
      </c>
      <c r="X118" s="11">
        <v>4</v>
      </c>
      <c r="Y118" s="11">
        <v>0</v>
      </c>
      <c r="Z118" s="11">
        <v>0</v>
      </c>
      <c r="AA118" s="11">
        <f>MasterTable[[#This Row],[Landings
Night]]+MasterTable[[#This Row],[Landings
Day]]</f>
        <v>4</v>
      </c>
      <c r="AB118" s="10">
        <v>0</v>
      </c>
      <c r="AC118" s="10">
        <v>0.2</v>
      </c>
      <c r="AD118" s="11">
        <v>0</v>
      </c>
      <c r="AE118" s="21">
        <f>SUM(MasterTable[[#This Row],[ILS]:[PAR]])</f>
        <v>1</v>
      </c>
      <c r="AH118" s="11">
        <v>1</v>
      </c>
      <c r="AL118" s="11">
        <v>1</v>
      </c>
      <c r="AR118" s="140" t="str">
        <f>_xlfn.XLOOKUP(MasterTable[[#This Row],[Aircraft ID]],Aircraft!A:A,Aircraft!H:H)</f>
        <v>Airplane Single Engine Land</v>
      </c>
      <c r="AS118" s="8" t="b">
        <f>OR((SUM(MasterTable[[#This Row],[ILS]:[PAR]]) = MasterTable[[#This Row],[APPR]]))</f>
        <v>1</v>
      </c>
      <c r="AT118" s="8" t="b">
        <f>NOT(ISBLANK(MasterTable[[#This Row],[Total
Time]]))</f>
        <v>1</v>
      </c>
    </row>
    <row r="119" spans="4:46" ht="28.8" x14ac:dyDescent="0.3">
      <c r="D119" s="22">
        <v>46074</v>
      </c>
      <c r="E119" s="8" t="s">
        <v>425</v>
      </c>
      <c r="F119" s="8" t="s">
        <v>200</v>
      </c>
      <c r="G119" s="8" t="s">
        <v>199</v>
      </c>
      <c r="I119" s="10">
        <v>1.5</v>
      </c>
      <c r="J119" s="10">
        <v>1.5</v>
      </c>
      <c r="K119" s="10">
        <f>MasterTable[[#This Row],[Total
Time]]</f>
        <v>1.5</v>
      </c>
      <c r="L119" s="10">
        <v>0</v>
      </c>
      <c r="M119" s="13">
        <v>0</v>
      </c>
      <c r="N119" s="13"/>
      <c r="O119" s="10">
        <v>0</v>
      </c>
      <c r="P119" s="10">
        <v>1.5</v>
      </c>
      <c r="Q119" s="14">
        <v>0</v>
      </c>
      <c r="R119" s="14">
        <v>0</v>
      </c>
      <c r="S119" s="10">
        <v>1.5</v>
      </c>
      <c r="T119" s="10">
        <v>1.5</v>
      </c>
      <c r="U119" s="14">
        <v>0</v>
      </c>
      <c r="V119" s="10">
        <v>0</v>
      </c>
      <c r="W119" s="11">
        <v>0</v>
      </c>
      <c r="X119" s="11">
        <v>0</v>
      </c>
      <c r="Y119" s="11">
        <v>1</v>
      </c>
      <c r="Z119" s="11">
        <v>1</v>
      </c>
      <c r="AA119" s="11">
        <f>MasterTable[[#This Row],[Landings
Night]]+MasterTable[[#This Row],[Landings
Day]]</f>
        <v>1</v>
      </c>
      <c r="AB119" s="10">
        <v>0</v>
      </c>
      <c r="AC119" s="10">
        <v>1.5</v>
      </c>
      <c r="AD119" s="11">
        <v>1</v>
      </c>
      <c r="AE119" s="21">
        <f>SUM(MasterTable[[#This Row],[ILS]:[PAR]])</f>
        <v>2</v>
      </c>
      <c r="AF119" s="11">
        <v>1</v>
      </c>
      <c r="AG119" s="11">
        <v>1</v>
      </c>
      <c r="AL119" s="11"/>
      <c r="AR119" s="140" t="str">
        <f>_xlfn.XLOOKUP(MasterTable[[#This Row],[Aircraft ID]],Aircraft!A:A,Aircraft!H:H)</f>
        <v>Airplane Single Engine Land</v>
      </c>
      <c r="AS119" s="8" t="b">
        <f>OR((SUM(MasterTable[[#This Row],[ILS]:[PAR]]) = MasterTable[[#This Row],[APPR]]))</f>
        <v>1</v>
      </c>
      <c r="AT119" s="8" t="b">
        <f>NOT(ISBLANK(MasterTable[[#This Row],[Total
Time]]))</f>
        <v>1</v>
      </c>
    </row>
    <row r="120" spans="4:46" ht="28.8" x14ac:dyDescent="0.3">
      <c r="D120" s="22">
        <v>46073</v>
      </c>
      <c r="E120" s="8" t="s">
        <v>425</v>
      </c>
      <c r="F120" s="8" t="s">
        <v>189</v>
      </c>
      <c r="G120" s="8" t="s">
        <v>200</v>
      </c>
      <c r="I120" s="10">
        <v>1.7</v>
      </c>
      <c r="J120" s="10">
        <v>1.7</v>
      </c>
      <c r="K120" s="10">
        <f>MasterTable[[#This Row],[Total
Time]]</f>
        <v>1.7</v>
      </c>
      <c r="L120" s="10">
        <v>0</v>
      </c>
      <c r="M120" s="13">
        <v>0</v>
      </c>
      <c r="N120" s="13"/>
      <c r="O120" s="10">
        <v>0</v>
      </c>
      <c r="P120" s="10">
        <v>1.7</v>
      </c>
      <c r="Q120" s="14">
        <v>0</v>
      </c>
      <c r="R120" s="14">
        <v>0</v>
      </c>
      <c r="S120" s="10">
        <v>0</v>
      </c>
      <c r="T120" s="10">
        <v>1.7</v>
      </c>
      <c r="U120" s="14">
        <v>0</v>
      </c>
      <c r="V120" s="10">
        <v>0</v>
      </c>
      <c r="W120" s="11">
        <v>1</v>
      </c>
      <c r="X120" s="11">
        <v>1</v>
      </c>
      <c r="Y120" s="11">
        <v>0</v>
      </c>
      <c r="Z120" s="11">
        <v>0</v>
      </c>
      <c r="AA120" s="11">
        <f>MasterTable[[#This Row],[Landings
Night]]+MasterTable[[#This Row],[Landings
Day]]</f>
        <v>1</v>
      </c>
      <c r="AB120" s="10">
        <v>0</v>
      </c>
      <c r="AC120" s="10">
        <v>1.7</v>
      </c>
      <c r="AD120" s="11">
        <v>1</v>
      </c>
      <c r="AE120" s="21">
        <f>SUM(MasterTable[[#This Row],[ILS]:[PAR]])</f>
        <v>4</v>
      </c>
      <c r="AG120" s="11">
        <v>2</v>
      </c>
      <c r="AH120" s="11">
        <v>1</v>
      </c>
      <c r="AI120" s="11">
        <v>1</v>
      </c>
      <c r="AL120" s="11"/>
      <c r="AR120" s="140" t="str">
        <f>_xlfn.XLOOKUP(MasterTable[[#This Row],[Aircraft ID]],Aircraft!A:A,Aircraft!H:H)</f>
        <v>Airplane Single Engine Land</v>
      </c>
      <c r="AS120" s="8" t="b">
        <f>OR((SUM(MasterTable[[#This Row],[ILS]:[PAR]]) = MasterTable[[#This Row],[APPR]]))</f>
        <v>1</v>
      </c>
      <c r="AT120" s="8" t="b">
        <f>NOT(ISBLANK(MasterTable[[#This Row],[Total
Time]]))</f>
        <v>1</v>
      </c>
    </row>
    <row r="121" spans="4:46" ht="28.8" x14ac:dyDescent="0.3">
      <c r="D121" s="22">
        <v>46066</v>
      </c>
      <c r="E121" s="8" t="s">
        <v>425</v>
      </c>
      <c r="F121" s="8" t="s">
        <v>189</v>
      </c>
      <c r="G121" s="8" t="s">
        <v>194</v>
      </c>
      <c r="I121" s="10">
        <v>1.8</v>
      </c>
      <c r="J121" s="10">
        <v>1.8</v>
      </c>
      <c r="K121" s="10">
        <f>MasterTable[[#This Row],[Total
Time]]</f>
        <v>1.8</v>
      </c>
      <c r="L121" s="10">
        <v>0</v>
      </c>
      <c r="M121" s="13">
        <v>0</v>
      </c>
      <c r="N121" s="13"/>
      <c r="O121" s="10">
        <v>0</v>
      </c>
      <c r="P121" s="10">
        <v>1.8</v>
      </c>
      <c r="Q121" s="14">
        <v>0</v>
      </c>
      <c r="R121" s="14">
        <v>0</v>
      </c>
      <c r="S121" s="10">
        <v>0</v>
      </c>
      <c r="T121" s="10">
        <v>1.8</v>
      </c>
      <c r="U121" s="14">
        <v>0</v>
      </c>
      <c r="V121" s="10">
        <v>0</v>
      </c>
      <c r="W121" s="11">
        <v>1</v>
      </c>
      <c r="X121" s="11">
        <v>1</v>
      </c>
      <c r="Y121" s="11">
        <v>0</v>
      </c>
      <c r="Z121" s="11">
        <v>0</v>
      </c>
      <c r="AA121" s="11">
        <f>MasterTable[[#This Row],[Landings
Night]]+MasterTable[[#This Row],[Landings
Day]]</f>
        <v>1</v>
      </c>
      <c r="AB121" s="10">
        <v>0</v>
      </c>
      <c r="AC121" s="10">
        <v>1.8</v>
      </c>
      <c r="AD121" s="11">
        <v>2</v>
      </c>
      <c r="AE121" s="21">
        <f>SUM(MasterTable[[#This Row],[ILS]:[PAR]])</f>
        <v>3</v>
      </c>
      <c r="AF121" s="11">
        <v>1</v>
      </c>
      <c r="AH121" s="11">
        <v>1</v>
      </c>
      <c r="AI121" s="11">
        <v>1</v>
      </c>
      <c r="AL121" s="11"/>
      <c r="AR121" s="140" t="str">
        <f>_xlfn.XLOOKUP(MasterTable[[#This Row],[Aircraft ID]],Aircraft!A:A,Aircraft!H:H)</f>
        <v>Airplane Single Engine Land</v>
      </c>
      <c r="AS121" s="8" t="b">
        <f>OR((SUM(MasterTable[[#This Row],[ILS]:[PAR]]) = MasterTable[[#This Row],[APPR]]))</f>
        <v>1</v>
      </c>
      <c r="AT121" s="8" t="b">
        <f>NOT(ISBLANK(MasterTable[[#This Row],[Total
Time]]))</f>
        <v>1</v>
      </c>
    </row>
    <row r="122" spans="4:46" ht="28.8" x14ac:dyDescent="0.3">
      <c r="D122" s="22">
        <v>46063</v>
      </c>
      <c r="E122" s="8" t="s">
        <v>425</v>
      </c>
      <c r="F122" s="8" t="s">
        <v>189</v>
      </c>
      <c r="G122" s="8" t="s">
        <v>201</v>
      </c>
      <c r="I122" s="10">
        <v>1.7</v>
      </c>
      <c r="J122" s="10">
        <v>1.7</v>
      </c>
      <c r="K122" s="10">
        <f>MasterTable[[#This Row],[Total
Time]]</f>
        <v>1.7</v>
      </c>
      <c r="L122" s="10">
        <v>0</v>
      </c>
      <c r="M122" s="13">
        <v>0</v>
      </c>
      <c r="N122" s="13"/>
      <c r="O122" s="10">
        <v>0</v>
      </c>
      <c r="P122" s="10">
        <v>1.7</v>
      </c>
      <c r="Q122" s="14">
        <v>0</v>
      </c>
      <c r="R122" s="14">
        <v>0</v>
      </c>
      <c r="S122" s="10">
        <v>0</v>
      </c>
      <c r="T122" s="10">
        <v>1.7</v>
      </c>
      <c r="U122" s="14">
        <v>0</v>
      </c>
      <c r="V122" s="10">
        <v>0</v>
      </c>
      <c r="W122" s="11">
        <v>3</v>
      </c>
      <c r="X122" s="11">
        <v>3</v>
      </c>
      <c r="Y122" s="11">
        <v>0</v>
      </c>
      <c r="Z122" s="11">
        <v>0</v>
      </c>
      <c r="AA122" s="11">
        <f>MasterTable[[#This Row],[Landings
Night]]+MasterTable[[#This Row],[Landings
Day]]</f>
        <v>3</v>
      </c>
      <c r="AB122" s="10">
        <v>0</v>
      </c>
      <c r="AC122" s="10">
        <v>1.7</v>
      </c>
      <c r="AD122" s="11">
        <v>0</v>
      </c>
      <c r="AE122" s="21">
        <f>SUM(MasterTable[[#This Row],[ILS]:[PAR]])</f>
        <v>3</v>
      </c>
      <c r="AF122" s="11">
        <v>1</v>
      </c>
      <c r="AH122" s="11">
        <v>1</v>
      </c>
      <c r="AI122" s="11">
        <v>1</v>
      </c>
      <c r="AL122" s="11">
        <v>1</v>
      </c>
      <c r="AR122" s="140" t="str">
        <f>_xlfn.XLOOKUP(MasterTable[[#This Row],[Aircraft ID]],Aircraft!A:A,Aircraft!H:H)</f>
        <v>Airplane Single Engine Land</v>
      </c>
      <c r="AS122" s="8" t="b">
        <f>OR((SUM(MasterTable[[#This Row],[ILS]:[PAR]]) = MasterTable[[#This Row],[APPR]]))</f>
        <v>1</v>
      </c>
      <c r="AT122" s="8" t="b">
        <f>NOT(ISBLANK(MasterTable[[#This Row],[Total
Time]]))</f>
        <v>1</v>
      </c>
    </row>
    <row r="123" spans="4:46" ht="28.8" x14ac:dyDescent="0.3">
      <c r="D123" s="22">
        <v>46059</v>
      </c>
      <c r="E123" s="8" t="s">
        <v>425</v>
      </c>
      <c r="F123" s="8" t="s">
        <v>189</v>
      </c>
      <c r="G123" s="8" t="s">
        <v>189</v>
      </c>
      <c r="I123" s="10">
        <v>1.3</v>
      </c>
      <c r="J123" s="10">
        <v>1.3</v>
      </c>
      <c r="K123" s="10">
        <f>MasterTable[[#This Row],[Total
Time]]</f>
        <v>1.3</v>
      </c>
      <c r="L123" s="10">
        <v>0</v>
      </c>
      <c r="M123" s="13">
        <v>0</v>
      </c>
      <c r="N123" s="13"/>
      <c r="O123" s="10">
        <v>0</v>
      </c>
      <c r="P123" s="10">
        <v>1.3</v>
      </c>
      <c r="Q123" s="14">
        <v>0</v>
      </c>
      <c r="R123" s="14">
        <v>0</v>
      </c>
      <c r="S123" s="10">
        <v>0</v>
      </c>
      <c r="T123" s="10">
        <v>0</v>
      </c>
      <c r="U123" s="14">
        <v>0</v>
      </c>
      <c r="V123" s="10">
        <v>0</v>
      </c>
      <c r="W123" s="11">
        <v>4</v>
      </c>
      <c r="X123" s="11">
        <v>4</v>
      </c>
      <c r="Y123" s="11">
        <v>0</v>
      </c>
      <c r="Z123" s="11">
        <v>0</v>
      </c>
      <c r="AA123" s="11">
        <f>MasterTable[[#This Row],[Landings
Night]]+MasterTable[[#This Row],[Landings
Day]]</f>
        <v>4</v>
      </c>
      <c r="AB123" s="10">
        <v>0</v>
      </c>
      <c r="AC123" s="10">
        <v>0</v>
      </c>
      <c r="AD123" s="11">
        <v>0</v>
      </c>
      <c r="AE123" s="21">
        <f>SUM(MasterTable[[#This Row],[ILS]:[PAR]])</f>
        <v>0</v>
      </c>
      <c r="AL123" s="11"/>
      <c r="AR123" s="140" t="str">
        <f>_xlfn.XLOOKUP(MasterTable[[#This Row],[Aircraft ID]],Aircraft!A:A,Aircraft!H:H)</f>
        <v>Airplane Single Engine Land</v>
      </c>
      <c r="AS123" s="8" t="b">
        <f>OR((SUM(MasterTable[[#This Row],[ILS]:[PAR]]) = MasterTable[[#This Row],[APPR]]))</f>
        <v>1</v>
      </c>
      <c r="AT123" s="8" t="b">
        <f>NOT(ISBLANK(MasterTable[[#This Row],[Total
Time]]))</f>
        <v>1</v>
      </c>
    </row>
    <row r="124" spans="4:46" ht="28.8" x14ac:dyDescent="0.3">
      <c r="D124" s="22">
        <v>46058</v>
      </c>
      <c r="E124" s="8" t="s">
        <v>425</v>
      </c>
      <c r="F124" s="8" t="s">
        <v>189</v>
      </c>
      <c r="G124" s="8" t="s">
        <v>189</v>
      </c>
      <c r="I124" s="10">
        <v>1.7</v>
      </c>
      <c r="J124" s="10">
        <v>1.7</v>
      </c>
      <c r="K124" s="10">
        <f>MasterTable[[#This Row],[Total
Time]]</f>
        <v>1.7</v>
      </c>
      <c r="L124" s="10">
        <v>0</v>
      </c>
      <c r="M124" s="13">
        <v>0</v>
      </c>
      <c r="N124" s="13"/>
      <c r="O124" s="10">
        <v>0</v>
      </c>
      <c r="P124" s="10">
        <v>1.7</v>
      </c>
      <c r="Q124" s="14">
        <v>0</v>
      </c>
      <c r="R124" s="14">
        <v>0</v>
      </c>
      <c r="S124" s="10">
        <v>0</v>
      </c>
      <c r="T124" s="10">
        <v>0</v>
      </c>
      <c r="U124" s="14">
        <v>0</v>
      </c>
      <c r="V124" s="10">
        <v>0</v>
      </c>
      <c r="W124" s="11">
        <v>8</v>
      </c>
      <c r="X124" s="11">
        <v>8</v>
      </c>
      <c r="Y124" s="11">
        <v>0</v>
      </c>
      <c r="Z124" s="11">
        <v>0</v>
      </c>
      <c r="AA124" s="11">
        <f>MasterTable[[#This Row],[Landings
Night]]+MasterTable[[#This Row],[Landings
Day]]</f>
        <v>8</v>
      </c>
      <c r="AB124" s="10">
        <v>0</v>
      </c>
      <c r="AC124" s="10">
        <v>0</v>
      </c>
      <c r="AD124" s="11">
        <v>0</v>
      </c>
      <c r="AE124" s="21">
        <f>SUM(MasterTable[[#This Row],[ILS]:[PAR]])</f>
        <v>0</v>
      </c>
      <c r="AL124" s="11"/>
      <c r="AR124" s="140" t="str">
        <f>_xlfn.XLOOKUP(MasterTable[[#This Row],[Aircraft ID]],Aircraft!A:A,Aircraft!H:H)</f>
        <v>Airplane Single Engine Land</v>
      </c>
      <c r="AS124" s="8" t="b">
        <f>OR((SUM(MasterTable[[#This Row],[ILS]:[PAR]]) = MasterTable[[#This Row],[APPR]]))</f>
        <v>1</v>
      </c>
      <c r="AT124" s="8" t="b">
        <f>NOT(ISBLANK(MasterTable[[#This Row],[Total
Time]]))</f>
        <v>1</v>
      </c>
    </row>
    <row r="125" spans="4:46" ht="28.8" x14ac:dyDescent="0.3">
      <c r="D125" s="22">
        <v>46057</v>
      </c>
      <c r="E125" s="8" t="s">
        <v>425</v>
      </c>
      <c r="F125" s="8" t="s">
        <v>189</v>
      </c>
      <c r="G125" s="8" t="s">
        <v>189</v>
      </c>
      <c r="I125" s="10">
        <v>1.1000000000000001</v>
      </c>
      <c r="J125" s="10">
        <v>1.1000000000000001</v>
      </c>
      <c r="K125" s="10">
        <f>MasterTable[[#This Row],[Total
Time]]</f>
        <v>1.1000000000000001</v>
      </c>
      <c r="L125" s="10">
        <v>0</v>
      </c>
      <c r="M125" s="13">
        <v>0</v>
      </c>
      <c r="N125" s="13"/>
      <c r="O125" s="10">
        <v>0</v>
      </c>
      <c r="P125" s="10">
        <v>1.1000000000000001</v>
      </c>
      <c r="Q125" s="14">
        <v>0</v>
      </c>
      <c r="R125" s="14">
        <v>0</v>
      </c>
      <c r="S125" s="10">
        <v>1.1000000000000001</v>
      </c>
      <c r="T125" s="10">
        <v>0</v>
      </c>
      <c r="U125" s="14">
        <v>0</v>
      </c>
      <c r="V125" s="10">
        <v>0</v>
      </c>
      <c r="W125" s="11">
        <v>0</v>
      </c>
      <c r="X125" s="11">
        <v>0</v>
      </c>
      <c r="Y125" s="11">
        <v>6</v>
      </c>
      <c r="Z125" s="11">
        <v>6</v>
      </c>
      <c r="AA125" s="11">
        <f>MasterTable[[#This Row],[Landings
Night]]+MasterTable[[#This Row],[Landings
Day]]</f>
        <v>6</v>
      </c>
      <c r="AB125" s="10">
        <v>1.1000000000000001</v>
      </c>
      <c r="AC125" s="10">
        <v>0</v>
      </c>
      <c r="AD125" s="11">
        <v>0</v>
      </c>
      <c r="AE125" s="21">
        <f>SUM(MasterTable[[#This Row],[ILS]:[PAR]])</f>
        <v>0</v>
      </c>
      <c r="AL125" s="11"/>
      <c r="AR125" s="140" t="str">
        <f>_xlfn.XLOOKUP(MasterTable[[#This Row],[Aircraft ID]],Aircraft!A:A,Aircraft!H:H)</f>
        <v>Airplane Single Engine Land</v>
      </c>
      <c r="AS125" s="8" t="b">
        <f>OR((SUM(MasterTable[[#This Row],[ILS]:[PAR]]) = MasterTable[[#This Row],[APPR]]))</f>
        <v>1</v>
      </c>
      <c r="AT125" s="8" t="b">
        <f>NOT(ISBLANK(MasterTable[[#This Row],[Total
Time]]))</f>
        <v>1</v>
      </c>
    </row>
    <row r="126" spans="4:46" ht="28.8" x14ac:dyDescent="0.3">
      <c r="D126" s="22">
        <v>46056</v>
      </c>
      <c r="E126" s="8" t="s">
        <v>425</v>
      </c>
      <c r="F126" s="8" t="s">
        <v>189</v>
      </c>
      <c r="G126" s="8" t="s">
        <v>189</v>
      </c>
      <c r="I126" s="10">
        <v>1.7</v>
      </c>
      <c r="J126" s="10">
        <v>1.7</v>
      </c>
      <c r="K126" s="10">
        <f>MasterTable[[#This Row],[Total
Time]]</f>
        <v>1.7</v>
      </c>
      <c r="L126" s="10">
        <v>0</v>
      </c>
      <c r="M126" s="13">
        <v>0</v>
      </c>
      <c r="N126" s="13"/>
      <c r="O126" s="10">
        <v>0</v>
      </c>
      <c r="P126" s="10">
        <v>1.7</v>
      </c>
      <c r="Q126" s="14">
        <v>0</v>
      </c>
      <c r="R126" s="14">
        <v>0</v>
      </c>
      <c r="S126" s="10">
        <v>0</v>
      </c>
      <c r="T126" s="10">
        <v>0</v>
      </c>
      <c r="U126" s="14">
        <v>0</v>
      </c>
      <c r="V126" s="10">
        <v>0</v>
      </c>
      <c r="W126" s="11">
        <v>7</v>
      </c>
      <c r="X126" s="11">
        <v>7</v>
      </c>
      <c r="Y126" s="11">
        <v>0</v>
      </c>
      <c r="Z126" s="11">
        <v>0</v>
      </c>
      <c r="AA126" s="11">
        <f>MasterTable[[#This Row],[Landings
Night]]+MasterTable[[#This Row],[Landings
Day]]</f>
        <v>7</v>
      </c>
      <c r="AB126" s="10">
        <v>0</v>
      </c>
      <c r="AC126" s="10">
        <v>0</v>
      </c>
      <c r="AD126" s="11">
        <v>0</v>
      </c>
      <c r="AE126" s="21">
        <f>SUM(MasterTable[[#This Row],[ILS]:[PAR]])</f>
        <v>0</v>
      </c>
      <c r="AL126" s="11"/>
      <c r="AR126" s="140" t="str">
        <f>_xlfn.XLOOKUP(MasterTable[[#This Row],[Aircraft ID]],Aircraft!A:A,Aircraft!H:H)</f>
        <v>Airplane Single Engine Land</v>
      </c>
      <c r="AS126" s="8" t="b">
        <f>OR((SUM(MasterTable[[#This Row],[ILS]:[PAR]]) = MasterTable[[#This Row],[APPR]]))</f>
        <v>1</v>
      </c>
      <c r="AT126" s="8" t="b">
        <f>NOT(ISBLANK(MasterTable[[#This Row],[Total
Time]]))</f>
        <v>1</v>
      </c>
    </row>
    <row r="127" spans="4:46" ht="28.8" x14ac:dyDescent="0.3">
      <c r="D127" s="22">
        <v>46055</v>
      </c>
      <c r="E127" s="8" t="s">
        <v>425</v>
      </c>
      <c r="F127" s="8" t="s">
        <v>189</v>
      </c>
      <c r="G127" s="8" t="s">
        <v>189</v>
      </c>
      <c r="I127" s="10">
        <v>1.6</v>
      </c>
      <c r="J127" s="10">
        <v>1.6</v>
      </c>
      <c r="K127" s="10">
        <f>MasterTable[[#This Row],[Total
Time]]</f>
        <v>1.6</v>
      </c>
      <c r="L127" s="10">
        <v>0</v>
      </c>
      <c r="M127" s="13">
        <v>0</v>
      </c>
      <c r="N127" s="13"/>
      <c r="O127" s="10">
        <v>0</v>
      </c>
      <c r="P127" s="10">
        <v>1.6</v>
      </c>
      <c r="Q127" s="14">
        <v>0</v>
      </c>
      <c r="R127" s="14">
        <v>0</v>
      </c>
      <c r="S127" s="10">
        <v>0</v>
      </c>
      <c r="T127" s="10">
        <v>0</v>
      </c>
      <c r="U127" s="14">
        <v>0</v>
      </c>
      <c r="V127" s="10">
        <v>0</v>
      </c>
      <c r="W127" s="11">
        <v>8</v>
      </c>
      <c r="X127" s="11">
        <v>8</v>
      </c>
      <c r="Y127" s="11">
        <v>0</v>
      </c>
      <c r="Z127" s="11">
        <v>0</v>
      </c>
      <c r="AA127" s="11">
        <f>MasterTable[[#This Row],[Landings
Night]]+MasterTable[[#This Row],[Landings
Day]]</f>
        <v>8</v>
      </c>
      <c r="AB127" s="10">
        <v>0</v>
      </c>
      <c r="AC127" s="10">
        <v>0</v>
      </c>
      <c r="AD127" s="11">
        <v>0</v>
      </c>
      <c r="AE127" s="21">
        <f>SUM(MasterTable[[#This Row],[ILS]:[PAR]])</f>
        <v>0</v>
      </c>
      <c r="AL127" s="11"/>
      <c r="AR127" s="140" t="str">
        <f>_xlfn.XLOOKUP(MasterTable[[#This Row],[Aircraft ID]],Aircraft!A:A,Aircraft!H:H)</f>
        <v>Airplane Single Engine Land</v>
      </c>
      <c r="AS127" s="8" t="b">
        <f>OR((SUM(MasterTable[[#This Row],[ILS]:[PAR]]) = MasterTable[[#This Row],[APPR]]))</f>
        <v>1</v>
      </c>
      <c r="AT127" s="8" t="b">
        <f>NOT(ISBLANK(MasterTable[[#This Row],[Total
Time]]))</f>
        <v>1</v>
      </c>
    </row>
    <row r="128" spans="4:46" ht="28.8" x14ac:dyDescent="0.3">
      <c r="D128" s="22">
        <v>46044</v>
      </c>
      <c r="E128" s="8" t="s">
        <v>425</v>
      </c>
      <c r="F128" s="8" t="s">
        <v>189</v>
      </c>
      <c r="G128" s="8" t="s">
        <v>189</v>
      </c>
      <c r="I128" s="10">
        <v>1.5</v>
      </c>
      <c r="J128" s="10">
        <v>1.5</v>
      </c>
      <c r="K128" s="10">
        <f>MasterTable[[#This Row],[Total
Time]]</f>
        <v>1.5</v>
      </c>
      <c r="L128" s="10">
        <v>0</v>
      </c>
      <c r="M128" s="13">
        <v>0</v>
      </c>
      <c r="N128" s="13"/>
      <c r="O128" s="10">
        <v>0</v>
      </c>
      <c r="P128" s="10">
        <v>1.5</v>
      </c>
      <c r="Q128" s="14">
        <v>0</v>
      </c>
      <c r="R128" s="14">
        <v>0</v>
      </c>
      <c r="S128" s="10">
        <v>0</v>
      </c>
      <c r="T128" s="10">
        <v>0</v>
      </c>
      <c r="U128" s="14">
        <v>0</v>
      </c>
      <c r="V128" s="10">
        <v>0</v>
      </c>
      <c r="W128" s="11">
        <v>7</v>
      </c>
      <c r="X128" s="11">
        <v>7</v>
      </c>
      <c r="Y128" s="11">
        <v>0</v>
      </c>
      <c r="Z128" s="11">
        <v>0</v>
      </c>
      <c r="AA128" s="11">
        <f>MasterTable[[#This Row],[Landings
Night]]+MasterTable[[#This Row],[Landings
Day]]</f>
        <v>7</v>
      </c>
      <c r="AB128" s="10">
        <v>0.3</v>
      </c>
      <c r="AC128" s="10">
        <v>0</v>
      </c>
      <c r="AD128" s="11">
        <v>0</v>
      </c>
      <c r="AE128" s="21">
        <f>SUM(MasterTable[[#This Row],[ILS]:[PAR]])</f>
        <v>0</v>
      </c>
      <c r="AL128" s="11"/>
      <c r="AR128" s="140" t="str">
        <f>_xlfn.XLOOKUP(MasterTable[[#This Row],[Aircraft ID]],Aircraft!A:A,Aircraft!H:H)</f>
        <v>Airplane Single Engine Land</v>
      </c>
      <c r="AS128" s="8" t="b">
        <f>OR((SUM(MasterTable[[#This Row],[ILS]:[PAR]]) = MasterTable[[#This Row],[APPR]]))</f>
        <v>1</v>
      </c>
      <c r="AT128" s="8" t="b">
        <f>NOT(ISBLANK(MasterTable[[#This Row],[Total
Time]]))</f>
        <v>1</v>
      </c>
    </row>
    <row r="129" spans="4:46" ht="28.8" x14ac:dyDescent="0.3">
      <c r="D129" s="22">
        <v>46043</v>
      </c>
      <c r="E129" s="8" t="s">
        <v>425</v>
      </c>
      <c r="F129" s="8" t="s">
        <v>189</v>
      </c>
      <c r="G129" s="8" t="s">
        <v>189</v>
      </c>
      <c r="I129" s="10">
        <v>1.6</v>
      </c>
      <c r="J129" s="10">
        <v>1.6</v>
      </c>
      <c r="K129" s="10">
        <f>MasterTable[[#This Row],[Total
Time]]</f>
        <v>1.6</v>
      </c>
      <c r="M129" s="13">
        <v>0</v>
      </c>
      <c r="N129" s="13"/>
      <c r="O129" s="10">
        <v>0</v>
      </c>
      <c r="Q129" s="14">
        <v>0</v>
      </c>
      <c r="R129" s="14">
        <v>0</v>
      </c>
      <c r="S129" s="10">
        <v>0</v>
      </c>
      <c r="T129" s="10">
        <v>0</v>
      </c>
      <c r="U129" s="14">
        <v>0</v>
      </c>
      <c r="V129" s="10">
        <v>0</v>
      </c>
      <c r="W129" s="11">
        <v>2</v>
      </c>
      <c r="X129" s="11">
        <v>2</v>
      </c>
      <c r="Y129" s="11">
        <v>0</v>
      </c>
      <c r="Z129" s="11">
        <v>0</v>
      </c>
      <c r="AA129" s="11">
        <f>MasterTable[[#This Row],[Landings
Night]]+MasterTable[[#This Row],[Landings
Day]]</f>
        <v>2</v>
      </c>
      <c r="AB129" s="10">
        <v>0</v>
      </c>
      <c r="AC129" s="10">
        <v>0</v>
      </c>
      <c r="AD129" s="11">
        <v>0</v>
      </c>
      <c r="AE129" s="21">
        <f>SUM(MasterTable[[#This Row],[ILS]:[PAR]])</f>
        <v>0</v>
      </c>
      <c r="AL129" s="11"/>
      <c r="AR129" s="140" t="str">
        <f>_xlfn.XLOOKUP(MasterTable[[#This Row],[Aircraft ID]],Aircraft!A:A,Aircraft!H:H)</f>
        <v>Airplane Single Engine Land</v>
      </c>
      <c r="AS129" s="8" t="b">
        <f>OR((SUM(MasterTable[[#This Row],[ILS]:[PAR]]) = MasterTable[[#This Row],[APPR]]))</f>
        <v>1</v>
      </c>
      <c r="AT129" s="8" t="b">
        <f>NOT(ISBLANK(MasterTable[[#This Row],[Total
Time]]))</f>
        <v>1</v>
      </c>
    </row>
    <row r="130" spans="4:46" ht="28.8" x14ac:dyDescent="0.3">
      <c r="D130" s="22">
        <v>46043</v>
      </c>
      <c r="E130" s="8" t="s">
        <v>425</v>
      </c>
      <c r="F130" s="8" t="s">
        <v>189</v>
      </c>
      <c r="G130" s="8" t="s">
        <v>189</v>
      </c>
      <c r="I130" s="10">
        <v>1.6</v>
      </c>
      <c r="J130" s="10">
        <v>1.6</v>
      </c>
      <c r="K130" s="10">
        <f>MasterTable[[#This Row],[Total
Time]]</f>
        <v>1.6</v>
      </c>
      <c r="L130" s="10">
        <v>0</v>
      </c>
      <c r="M130" s="13">
        <v>0</v>
      </c>
      <c r="N130" s="13"/>
      <c r="O130" s="10">
        <v>0</v>
      </c>
      <c r="P130" s="10">
        <v>1.6</v>
      </c>
      <c r="Q130" s="14">
        <v>0</v>
      </c>
      <c r="R130" s="14">
        <v>0</v>
      </c>
      <c r="S130" s="10">
        <v>0</v>
      </c>
      <c r="T130" s="10">
        <v>0</v>
      </c>
      <c r="U130" s="14">
        <v>0</v>
      </c>
      <c r="V130" s="10">
        <v>0</v>
      </c>
      <c r="W130" s="11">
        <v>4</v>
      </c>
      <c r="X130" s="11">
        <v>4</v>
      </c>
      <c r="Y130" s="11">
        <v>0</v>
      </c>
      <c r="Z130" s="11">
        <v>0</v>
      </c>
      <c r="AA130" s="11">
        <f>MasterTable[[#This Row],[Landings
Night]]+MasterTable[[#This Row],[Landings
Day]]</f>
        <v>4</v>
      </c>
      <c r="AB130" s="10">
        <v>0</v>
      </c>
      <c r="AC130" s="10">
        <v>0</v>
      </c>
      <c r="AD130" s="11">
        <v>0</v>
      </c>
      <c r="AE130" s="21">
        <f>SUM(MasterTable[[#This Row],[ILS]:[PAR]])</f>
        <v>0</v>
      </c>
      <c r="AL130" s="11"/>
      <c r="AR130" s="140" t="str">
        <f>_xlfn.XLOOKUP(MasterTable[[#This Row],[Aircraft ID]],Aircraft!A:A,Aircraft!H:H)</f>
        <v>Airplane Single Engine Land</v>
      </c>
      <c r="AS130" s="8" t="b">
        <f>OR((SUM(MasterTable[[#This Row],[ILS]:[PAR]]) = MasterTable[[#This Row],[APPR]]))</f>
        <v>1</v>
      </c>
      <c r="AT130" s="8" t="b">
        <f>NOT(ISBLANK(MasterTable[[#This Row],[Total
Time]]))</f>
        <v>1</v>
      </c>
    </row>
    <row r="131" spans="4:46" ht="28.8" x14ac:dyDescent="0.3">
      <c r="D131" s="22">
        <v>46042</v>
      </c>
      <c r="E131" s="8" t="s">
        <v>425</v>
      </c>
      <c r="F131" s="8" t="s">
        <v>189</v>
      </c>
      <c r="G131" s="8" t="s">
        <v>189</v>
      </c>
      <c r="I131" s="10">
        <v>1.7</v>
      </c>
      <c r="J131" s="10">
        <v>1.7</v>
      </c>
      <c r="K131" s="10">
        <f>MasterTable[[#This Row],[Total
Time]]</f>
        <v>1.7</v>
      </c>
      <c r="L131" s="10">
        <v>0</v>
      </c>
      <c r="M131" s="13">
        <v>0</v>
      </c>
      <c r="N131" s="13"/>
      <c r="O131" s="10">
        <v>0</v>
      </c>
      <c r="P131" s="10">
        <v>1.7</v>
      </c>
      <c r="Q131" s="14">
        <v>0</v>
      </c>
      <c r="R131" s="14">
        <v>0</v>
      </c>
      <c r="S131" s="10">
        <v>0</v>
      </c>
      <c r="T131" s="10">
        <v>0</v>
      </c>
      <c r="U131" s="14">
        <v>0</v>
      </c>
      <c r="V131" s="10">
        <v>0</v>
      </c>
      <c r="W131" s="11">
        <v>4</v>
      </c>
      <c r="X131" s="11">
        <v>4</v>
      </c>
      <c r="Y131" s="11">
        <v>0</v>
      </c>
      <c r="Z131" s="11">
        <v>0</v>
      </c>
      <c r="AA131" s="11">
        <f>MasterTable[[#This Row],[Landings
Night]]+MasterTable[[#This Row],[Landings
Day]]</f>
        <v>4</v>
      </c>
      <c r="AB131" s="10">
        <v>0</v>
      </c>
      <c r="AC131" s="10">
        <v>1.3</v>
      </c>
      <c r="AD131" s="11">
        <v>0</v>
      </c>
      <c r="AE131" s="21">
        <f>SUM(MasterTable[[#This Row],[ILS]:[PAR]])</f>
        <v>0</v>
      </c>
      <c r="AL131" s="11"/>
      <c r="AR131" s="140" t="str">
        <f>_xlfn.XLOOKUP(MasterTable[[#This Row],[Aircraft ID]],Aircraft!A:A,Aircraft!H:H)</f>
        <v>Airplane Single Engine Land</v>
      </c>
      <c r="AS131" s="8" t="b">
        <f>OR((SUM(MasterTable[[#This Row],[ILS]:[PAR]]) = MasterTable[[#This Row],[APPR]]))</f>
        <v>1</v>
      </c>
      <c r="AT131" s="8" t="b">
        <f>NOT(ISBLANK(MasterTable[[#This Row],[Total
Time]]))</f>
        <v>1</v>
      </c>
    </row>
    <row r="132" spans="4:46" ht="28.8" x14ac:dyDescent="0.3">
      <c r="D132" s="22">
        <v>46037</v>
      </c>
      <c r="E132" s="8" t="s">
        <v>425</v>
      </c>
      <c r="F132" s="8" t="s">
        <v>189</v>
      </c>
      <c r="G132" s="8" t="s">
        <v>189</v>
      </c>
      <c r="I132" s="10">
        <v>1.3</v>
      </c>
      <c r="J132" s="10">
        <v>1.3</v>
      </c>
      <c r="K132" s="10">
        <f>MasterTable[[#This Row],[Total
Time]]</f>
        <v>1.3</v>
      </c>
      <c r="L132" s="10">
        <v>0</v>
      </c>
      <c r="M132" s="13">
        <v>0</v>
      </c>
      <c r="N132" s="13"/>
      <c r="O132" s="10">
        <v>0</v>
      </c>
      <c r="P132" s="10">
        <v>0</v>
      </c>
      <c r="Q132" s="14">
        <v>0</v>
      </c>
      <c r="R132" s="14">
        <v>0</v>
      </c>
      <c r="S132" s="10">
        <v>0</v>
      </c>
      <c r="T132" s="10">
        <v>0</v>
      </c>
      <c r="U132" s="14">
        <v>0</v>
      </c>
      <c r="V132" s="10">
        <v>0</v>
      </c>
      <c r="W132" s="11">
        <v>1</v>
      </c>
      <c r="X132" s="11">
        <v>1</v>
      </c>
      <c r="Y132" s="11">
        <v>0</v>
      </c>
      <c r="Z132" s="11">
        <v>0</v>
      </c>
      <c r="AA132" s="11">
        <f>MasterTable[[#This Row],[Landings
Night]]+MasterTable[[#This Row],[Landings
Day]]</f>
        <v>1</v>
      </c>
      <c r="AB132" s="10">
        <v>0</v>
      </c>
      <c r="AC132" s="10">
        <v>0</v>
      </c>
      <c r="AD132" s="11">
        <v>0</v>
      </c>
      <c r="AE132" s="21">
        <f>SUM(MasterTable[[#This Row],[ILS]:[PAR]])</f>
        <v>0</v>
      </c>
      <c r="AL132" s="11"/>
      <c r="AR132" s="140" t="str">
        <f>_xlfn.XLOOKUP(MasterTable[[#This Row],[Aircraft ID]],Aircraft!A:A,Aircraft!H:H)</f>
        <v>Airplane Single Engine Land</v>
      </c>
      <c r="AS132" s="8" t="b">
        <f>OR((SUM(MasterTable[[#This Row],[ILS]:[PAR]]) = MasterTable[[#This Row],[APPR]]))</f>
        <v>1</v>
      </c>
      <c r="AT132" s="8" t="b">
        <f>NOT(ISBLANK(MasterTable[[#This Row],[Total
Time]]))</f>
        <v>1</v>
      </c>
    </row>
    <row r="133" spans="4:46" ht="28.8" x14ac:dyDescent="0.3">
      <c r="D133" s="22">
        <v>46036</v>
      </c>
      <c r="E133" s="8" t="s">
        <v>425</v>
      </c>
      <c r="F133" s="8" t="s">
        <v>189</v>
      </c>
      <c r="G133" s="8" t="s">
        <v>189</v>
      </c>
      <c r="I133" s="10">
        <v>1.7</v>
      </c>
      <c r="J133" s="10">
        <v>1.7</v>
      </c>
      <c r="K133" s="10">
        <f>MasterTable[[#This Row],[Total
Time]]</f>
        <v>1.7</v>
      </c>
      <c r="L133" s="10">
        <v>0</v>
      </c>
      <c r="M133" s="13">
        <v>0</v>
      </c>
      <c r="N133" s="13"/>
      <c r="O133" s="10">
        <v>0</v>
      </c>
      <c r="P133" s="10">
        <v>1.7</v>
      </c>
      <c r="Q133" s="14">
        <v>0</v>
      </c>
      <c r="R133" s="14">
        <v>0</v>
      </c>
      <c r="S133" s="10">
        <v>0</v>
      </c>
      <c r="T133" s="10">
        <v>0</v>
      </c>
      <c r="U133" s="14">
        <v>0</v>
      </c>
      <c r="V133" s="10">
        <v>0</v>
      </c>
      <c r="W133" s="11">
        <v>7</v>
      </c>
      <c r="X133" s="11">
        <v>7</v>
      </c>
      <c r="Y133" s="11">
        <v>0</v>
      </c>
      <c r="Z133" s="11">
        <v>0</v>
      </c>
      <c r="AA133" s="11">
        <f>MasterTable[[#This Row],[Landings
Night]]+MasterTable[[#This Row],[Landings
Day]]</f>
        <v>7</v>
      </c>
      <c r="AB133" s="10">
        <v>0</v>
      </c>
      <c r="AD133" s="11">
        <v>0</v>
      </c>
      <c r="AE133" s="21">
        <f>SUM(MasterTable[[#This Row],[ILS]:[PAR]])</f>
        <v>0</v>
      </c>
      <c r="AL133" s="11"/>
      <c r="AR133" s="140" t="str">
        <f>_xlfn.XLOOKUP(MasterTable[[#This Row],[Aircraft ID]],Aircraft!A:A,Aircraft!H:H)</f>
        <v>Airplane Single Engine Land</v>
      </c>
      <c r="AS133" s="8" t="b">
        <f>OR((SUM(MasterTable[[#This Row],[ILS]:[PAR]]) = MasterTable[[#This Row],[APPR]]))</f>
        <v>1</v>
      </c>
      <c r="AT133" s="8" t="b">
        <f>NOT(ISBLANK(MasterTable[[#This Row],[Total
Time]]))</f>
        <v>1</v>
      </c>
    </row>
    <row r="134" spans="4:46" ht="28.8" x14ac:dyDescent="0.3">
      <c r="D134" s="22">
        <v>46035</v>
      </c>
      <c r="E134" s="8" t="s">
        <v>425</v>
      </c>
      <c r="F134" s="8" t="s">
        <v>189</v>
      </c>
      <c r="G134" s="8" t="s">
        <v>189</v>
      </c>
      <c r="I134" s="10">
        <v>1.6</v>
      </c>
      <c r="J134" s="10">
        <v>1.6</v>
      </c>
      <c r="K134" s="10">
        <f>MasterTable[[#This Row],[Total
Time]]</f>
        <v>1.6</v>
      </c>
      <c r="L134" s="10">
        <v>0</v>
      </c>
      <c r="M134" s="13">
        <v>0</v>
      </c>
      <c r="N134" s="13"/>
      <c r="O134" s="10">
        <v>0</v>
      </c>
      <c r="P134" s="10">
        <v>1.6</v>
      </c>
      <c r="Q134" s="14">
        <v>0</v>
      </c>
      <c r="R134" s="14">
        <v>0</v>
      </c>
      <c r="S134" s="10">
        <v>0</v>
      </c>
      <c r="T134" s="10">
        <v>0</v>
      </c>
      <c r="U134" s="14">
        <v>0</v>
      </c>
      <c r="V134" s="10">
        <v>0</v>
      </c>
      <c r="W134" s="11">
        <v>3</v>
      </c>
      <c r="X134" s="11">
        <v>3</v>
      </c>
      <c r="Y134" s="11">
        <v>0</v>
      </c>
      <c r="Z134" s="11">
        <v>0</v>
      </c>
      <c r="AA134" s="11">
        <f>MasterTable[[#This Row],[Landings
Night]]+MasterTable[[#This Row],[Landings
Day]]</f>
        <v>3</v>
      </c>
      <c r="AB134" s="10">
        <v>0</v>
      </c>
      <c r="AC134" s="10">
        <v>0</v>
      </c>
      <c r="AD134" s="11">
        <v>0</v>
      </c>
      <c r="AE134" s="21">
        <f>SUM(MasterTable[[#This Row],[ILS]:[PAR]])</f>
        <v>0</v>
      </c>
      <c r="AL134" s="11"/>
      <c r="AR134" s="140" t="str">
        <f>_xlfn.XLOOKUP(MasterTable[[#This Row],[Aircraft ID]],Aircraft!A:A,Aircraft!H:H)</f>
        <v>Airplane Single Engine Land</v>
      </c>
      <c r="AS134" s="8" t="b">
        <f>OR((SUM(MasterTable[[#This Row],[ILS]:[PAR]]) = MasterTable[[#This Row],[APPR]]))</f>
        <v>1</v>
      </c>
      <c r="AT134" s="8" t="b">
        <f>NOT(ISBLANK(MasterTable[[#This Row],[Total
Time]]))</f>
        <v>1</v>
      </c>
    </row>
    <row r="135" spans="4:46" ht="28.8" x14ac:dyDescent="0.3">
      <c r="D135" s="22">
        <v>46034</v>
      </c>
      <c r="E135" s="8" t="s">
        <v>425</v>
      </c>
      <c r="F135" s="8" t="s">
        <v>189</v>
      </c>
      <c r="G135" s="8" t="s">
        <v>189</v>
      </c>
      <c r="I135" s="10">
        <v>1.5</v>
      </c>
      <c r="J135" s="10">
        <v>1.5</v>
      </c>
      <c r="K135" s="10">
        <f>MasterTable[[#This Row],[Total
Time]]</f>
        <v>1.5</v>
      </c>
      <c r="L135" s="10">
        <v>0</v>
      </c>
      <c r="M135" s="13">
        <v>0</v>
      </c>
      <c r="N135" s="13"/>
      <c r="O135" s="10">
        <v>0</v>
      </c>
      <c r="P135" s="10">
        <v>1.5</v>
      </c>
      <c r="Q135" s="14">
        <v>0</v>
      </c>
      <c r="R135" s="14">
        <v>0</v>
      </c>
      <c r="S135" s="10">
        <v>0</v>
      </c>
      <c r="T135" s="10">
        <v>0</v>
      </c>
      <c r="U135" s="14">
        <v>0</v>
      </c>
      <c r="V135" s="10">
        <v>0</v>
      </c>
      <c r="W135" s="11">
        <v>6</v>
      </c>
      <c r="X135" s="11">
        <v>6</v>
      </c>
      <c r="Y135" s="11">
        <v>0</v>
      </c>
      <c r="Z135" s="11">
        <v>0</v>
      </c>
      <c r="AA135" s="11">
        <f>MasterTable[[#This Row],[Landings
Night]]+MasterTable[[#This Row],[Landings
Day]]</f>
        <v>6</v>
      </c>
      <c r="AB135" s="10">
        <v>0</v>
      </c>
      <c r="AC135" s="10">
        <v>0</v>
      </c>
      <c r="AD135" s="11">
        <v>0</v>
      </c>
      <c r="AE135" s="21">
        <f>SUM(MasterTable[[#This Row],[ILS]:[PAR]])</f>
        <v>0</v>
      </c>
      <c r="AL135" s="11"/>
      <c r="AR135" s="140" t="str">
        <f>_xlfn.XLOOKUP(MasterTable[[#This Row],[Aircraft ID]],Aircraft!A:A,Aircraft!H:H)</f>
        <v>Airplane Single Engine Land</v>
      </c>
      <c r="AS135" s="8" t="b">
        <f>OR((SUM(MasterTable[[#This Row],[ILS]:[PAR]]) = MasterTable[[#This Row],[APPR]]))</f>
        <v>1</v>
      </c>
      <c r="AT135" s="8" t="b">
        <f>NOT(ISBLANK(MasterTable[[#This Row],[Total
Time]]))</f>
        <v>1</v>
      </c>
    </row>
    <row r="136" spans="4:46" ht="28.8" x14ac:dyDescent="0.3">
      <c r="D136" s="22">
        <v>46034</v>
      </c>
      <c r="E136" s="8" t="s">
        <v>425</v>
      </c>
      <c r="F136" s="8" t="s">
        <v>189</v>
      </c>
      <c r="G136" s="8" t="s">
        <v>189</v>
      </c>
      <c r="I136" s="10">
        <v>1.5</v>
      </c>
      <c r="J136" s="10">
        <v>1.5</v>
      </c>
      <c r="K136" s="10">
        <f>MasterTable[[#This Row],[Total
Time]]</f>
        <v>1.5</v>
      </c>
      <c r="L136" s="10">
        <v>0</v>
      </c>
      <c r="M136" s="13">
        <v>0</v>
      </c>
      <c r="N136" s="13"/>
      <c r="O136" s="10">
        <v>0</v>
      </c>
      <c r="P136" s="10">
        <v>1.5</v>
      </c>
      <c r="Q136" s="14">
        <v>0</v>
      </c>
      <c r="R136" s="14">
        <v>0</v>
      </c>
      <c r="S136" s="10">
        <v>0</v>
      </c>
      <c r="T136" s="10">
        <v>0</v>
      </c>
      <c r="U136" s="14">
        <v>0</v>
      </c>
      <c r="V136" s="10">
        <v>0</v>
      </c>
      <c r="W136" s="11">
        <v>5</v>
      </c>
      <c r="X136" s="11">
        <v>5</v>
      </c>
      <c r="Y136" s="11">
        <v>0</v>
      </c>
      <c r="Z136" s="11">
        <v>0</v>
      </c>
      <c r="AA136" s="11">
        <f>MasterTable[[#This Row],[Landings
Night]]+MasterTable[[#This Row],[Landings
Day]]</f>
        <v>5</v>
      </c>
      <c r="AB136" s="10">
        <v>0</v>
      </c>
      <c r="AC136" s="10">
        <v>0</v>
      </c>
      <c r="AD136" s="11">
        <v>0</v>
      </c>
      <c r="AE136" s="21">
        <f>SUM(MasterTable[[#This Row],[ILS]:[PAR]])</f>
        <v>0</v>
      </c>
      <c r="AL136" s="11"/>
      <c r="AR136" s="140" t="str">
        <f>_xlfn.XLOOKUP(MasterTable[[#This Row],[Aircraft ID]],Aircraft!A:A,Aircraft!H:H)</f>
        <v>Airplane Single Engine Land</v>
      </c>
      <c r="AS136" s="8" t="b">
        <f>OR((SUM(MasterTable[[#This Row],[ILS]:[PAR]]) = MasterTable[[#This Row],[APPR]]))</f>
        <v>1</v>
      </c>
      <c r="AT136" s="8" t="b">
        <f>NOT(ISBLANK(MasterTable[[#This Row],[Total
Time]]))</f>
        <v>1</v>
      </c>
    </row>
    <row r="137" spans="4:46" ht="28.8" x14ac:dyDescent="0.3">
      <c r="D137" s="22">
        <v>46029</v>
      </c>
      <c r="E137" s="8" t="s">
        <v>425</v>
      </c>
      <c r="F137" s="8" t="s">
        <v>189</v>
      </c>
      <c r="G137" s="8" t="s">
        <v>189</v>
      </c>
      <c r="I137" s="10">
        <v>1.6</v>
      </c>
      <c r="J137" s="10">
        <v>1.6</v>
      </c>
      <c r="K137" s="10">
        <f>MasterTable[[#This Row],[Total
Time]]</f>
        <v>1.6</v>
      </c>
      <c r="L137" s="10">
        <v>0</v>
      </c>
      <c r="M137" s="13">
        <v>0</v>
      </c>
      <c r="N137" s="13"/>
      <c r="P137" s="10">
        <v>1.6</v>
      </c>
      <c r="Q137" s="14">
        <v>0</v>
      </c>
      <c r="R137" s="14">
        <v>0</v>
      </c>
      <c r="S137" s="10">
        <v>0</v>
      </c>
      <c r="T137" s="10">
        <v>0</v>
      </c>
      <c r="U137" s="14">
        <v>0</v>
      </c>
      <c r="V137" s="10">
        <v>0</v>
      </c>
      <c r="W137" s="11">
        <v>10</v>
      </c>
      <c r="X137" s="11">
        <v>10</v>
      </c>
      <c r="Y137" s="11">
        <v>0</v>
      </c>
      <c r="Z137" s="11">
        <v>0</v>
      </c>
      <c r="AA137" s="11">
        <f>MasterTable[[#This Row],[Landings
Night]]+MasterTable[[#This Row],[Landings
Day]]</f>
        <v>10</v>
      </c>
      <c r="AB137" s="10">
        <v>0</v>
      </c>
      <c r="AC137" s="10">
        <v>0</v>
      </c>
      <c r="AD137" s="11">
        <v>0</v>
      </c>
      <c r="AE137" s="21">
        <f>SUM(MasterTable[[#This Row],[ILS]:[PAR]])</f>
        <v>0</v>
      </c>
      <c r="AL137" s="11"/>
      <c r="AR137" s="140" t="str">
        <f>_xlfn.XLOOKUP(MasterTable[[#This Row],[Aircraft ID]],Aircraft!A:A,Aircraft!H:H)</f>
        <v>Airplane Single Engine Land</v>
      </c>
      <c r="AS137" s="8" t="b">
        <f>OR((SUM(MasterTable[[#This Row],[ILS]:[PAR]]) = MasterTable[[#This Row],[APPR]]))</f>
        <v>1</v>
      </c>
      <c r="AT137" s="8" t="b">
        <f>NOT(ISBLANK(MasterTable[[#This Row],[Total
Time]]))</f>
        <v>1</v>
      </c>
    </row>
    <row r="138" spans="4:46" ht="28.8" x14ac:dyDescent="0.3">
      <c r="D138" s="22">
        <v>46020</v>
      </c>
      <c r="E138" s="8" t="s">
        <v>174</v>
      </c>
      <c r="F138" s="8" t="s">
        <v>202</v>
      </c>
      <c r="G138" s="8" t="s">
        <v>202</v>
      </c>
      <c r="I138" s="10">
        <v>0.9</v>
      </c>
      <c r="J138" s="10">
        <v>0.9</v>
      </c>
      <c r="K138" s="10">
        <v>0</v>
      </c>
      <c r="L138" s="10">
        <v>0</v>
      </c>
      <c r="M138" s="13">
        <v>0</v>
      </c>
      <c r="N138" s="13"/>
      <c r="O138" s="10">
        <v>0.9</v>
      </c>
      <c r="P138" s="10">
        <v>0</v>
      </c>
      <c r="Q138" s="14">
        <v>0</v>
      </c>
      <c r="R138" s="14">
        <v>0</v>
      </c>
      <c r="S138" s="10">
        <v>0</v>
      </c>
      <c r="T138" s="10">
        <v>0</v>
      </c>
      <c r="U138" s="14">
        <v>0</v>
      </c>
      <c r="V138" s="10">
        <v>0</v>
      </c>
      <c r="W138" s="11">
        <v>1</v>
      </c>
      <c r="X138" s="11">
        <v>1</v>
      </c>
      <c r="Y138" s="11">
        <v>0</v>
      </c>
      <c r="Z138" s="11">
        <v>0</v>
      </c>
      <c r="AA138" s="11">
        <f>MasterTable[[#This Row],[Landings
Night]]+MasterTable[[#This Row],[Landings
Day]]</f>
        <v>1</v>
      </c>
      <c r="AB138" s="10">
        <v>0</v>
      </c>
      <c r="AC138" s="10">
        <v>0</v>
      </c>
      <c r="AD138" s="11">
        <v>0</v>
      </c>
      <c r="AE138" s="21">
        <f>SUM(MasterTable[[#This Row],[ILS]:[PAR]])</f>
        <v>0</v>
      </c>
      <c r="AL138" s="11"/>
      <c r="AR138" s="140" t="str">
        <f>_xlfn.XLOOKUP(MasterTable[[#This Row],[Aircraft ID]],Aircraft!A:A,Aircraft!H:H)</f>
        <v>Airplane Single Engine Land</v>
      </c>
      <c r="AS138" s="8" t="b">
        <f>OR((SUM(MasterTable[[#This Row],[ILS]:[PAR]]) = MasterTable[[#This Row],[APPR]]))</f>
        <v>1</v>
      </c>
      <c r="AT138" s="8" t="b">
        <f>NOT(ISBLANK(MasterTable[[#This Row],[Total
Time]]))</f>
        <v>1</v>
      </c>
    </row>
    <row r="139" spans="4:46" ht="28.8" x14ac:dyDescent="0.3">
      <c r="D139" s="22">
        <v>46019</v>
      </c>
      <c r="E139" s="8" t="s">
        <v>174</v>
      </c>
      <c r="F139" s="8" t="s">
        <v>202</v>
      </c>
      <c r="G139" s="8" t="s">
        <v>202</v>
      </c>
      <c r="I139" s="10">
        <v>0.7</v>
      </c>
      <c r="J139" s="10">
        <v>0.7</v>
      </c>
      <c r="K139" s="10">
        <v>0</v>
      </c>
      <c r="L139" s="10">
        <v>0</v>
      </c>
      <c r="M139" s="13">
        <v>0</v>
      </c>
      <c r="N139" s="13"/>
      <c r="O139" s="10">
        <v>0</v>
      </c>
      <c r="P139" s="10">
        <v>0</v>
      </c>
      <c r="Q139" s="14">
        <v>0</v>
      </c>
      <c r="R139" s="14">
        <v>0</v>
      </c>
      <c r="S139" s="10">
        <v>0</v>
      </c>
      <c r="T139" s="10">
        <v>0</v>
      </c>
      <c r="U139" s="14">
        <v>0</v>
      </c>
      <c r="V139" s="10">
        <v>0</v>
      </c>
      <c r="W139" s="11">
        <v>6</v>
      </c>
      <c r="X139" s="11">
        <v>6</v>
      </c>
      <c r="Y139" s="11">
        <v>0</v>
      </c>
      <c r="Z139" s="11">
        <v>0</v>
      </c>
      <c r="AA139" s="11">
        <f>MasterTable[[#This Row],[Landings
Night]]+MasterTable[[#This Row],[Landings
Day]]</f>
        <v>6</v>
      </c>
      <c r="AB139" s="10">
        <v>0</v>
      </c>
      <c r="AC139" s="10">
        <v>0</v>
      </c>
      <c r="AD139" s="11">
        <v>0</v>
      </c>
      <c r="AE139" s="21">
        <f>SUM(MasterTable[[#This Row],[ILS]:[PAR]])</f>
        <v>0</v>
      </c>
      <c r="AL139" s="11"/>
      <c r="AR139" s="140" t="str">
        <f>_xlfn.XLOOKUP(MasterTable[[#This Row],[Aircraft ID]],Aircraft!A:A,Aircraft!H:H)</f>
        <v>Airplane Single Engine Land</v>
      </c>
      <c r="AS139" s="8" t="b">
        <f>OR((SUM(MasterTable[[#This Row],[ILS]:[PAR]]) = MasterTable[[#This Row],[APPR]]))</f>
        <v>1</v>
      </c>
      <c r="AT139" s="8" t="b">
        <f>NOT(ISBLANK(MasterTable[[#This Row],[Total
Time]]))</f>
        <v>1</v>
      </c>
    </row>
    <row r="140" spans="4:46" ht="28.8" x14ac:dyDescent="0.3">
      <c r="D140" s="22">
        <v>46010</v>
      </c>
      <c r="E140" s="8" t="s">
        <v>425</v>
      </c>
      <c r="F140" s="8" t="s">
        <v>189</v>
      </c>
      <c r="G140" s="8" t="s">
        <v>189</v>
      </c>
      <c r="I140" s="10">
        <v>0.6</v>
      </c>
      <c r="J140" s="10">
        <v>0.6</v>
      </c>
      <c r="K140" s="10">
        <f>MasterTable[[#This Row],[Total
Time]]</f>
        <v>0.6</v>
      </c>
      <c r="M140" s="13">
        <v>0</v>
      </c>
      <c r="N140" s="13"/>
      <c r="Q140" s="14">
        <v>0</v>
      </c>
      <c r="R140" s="14">
        <v>0</v>
      </c>
      <c r="U140" s="14">
        <v>0</v>
      </c>
      <c r="V140" s="10"/>
      <c r="W140" s="11">
        <v>6</v>
      </c>
      <c r="X140" s="11">
        <v>6</v>
      </c>
      <c r="Y140" s="11">
        <v>0</v>
      </c>
      <c r="Z140" s="11">
        <v>0</v>
      </c>
      <c r="AA140" s="11">
        <f>MasterTable[[#This Row],[Landings
Night]]+MasterTable[[#This Row],[Landings
Day]]</f>
        <v>6</v>
      </c>
      <c r="AE140" s="21">
        <f>SUM(MasterTable[[#This Row],[ILS]:[PAR]])</f>
        <v>0</v>
      </c>
      <c r="AL140" s="11"/>
      <c r="AM140" s="8" t="s">
        <v>545</v>
      </c>
      <c r="AR140" s="140" t="str">
        <f>_xlfn.XLOOKUP(MasterTable[[#This Row],[Aircraft ID]],Aircraft!A:A,Aircraft!H:H)</f>
        <v>Airplane Single Engine Land</v>
      </c>
      <c r="AS140" s="8" t="b">
        <f>OR((SUM(MasterTable[[#This Row],[ILS]:[PAR]]) = MasterTable[[#This Row],[APPR]]))</f>
        <v>1</v>
      </c>
      <c r="AT140" s="8" t="b">
        <f>NOT(ISBLANK(MasterTable[[#This Row],[Total
Time]]))</f>
        <v>1</v>
      </c>
    </row>
    <row r="141" spans="4:46" ht="28.8" x14ac:dyDescent="0.3">
      <c r="D141" s="22">
        <v>46010</v>
      </c>
      <c r="E141" s="8" t="s">
        <v>425</v>
      </c>
      <c r="F141" s="8" t="s">
        <v>189</v>
      </c>
      <c r="G141" s="8" t="s">
        <v>189</v>
      </c>
      <c r="I141" s="10">
        <v>0.7</v>
      </c>
      <c r="J141" s="10">
        <v>0.7</v>
      </c>
      <c r="K141" s="10">
        <f>MasterTable[[#This Row],[Total
Time]]</f>
        <v>0.7</v>
      </c>
      <c r="M141" s="13">
        <v>0</v>
      </c>
      <c r="N141" s="13"/>
      <c r="P141" s="10">
        <v>0.7</v>
      </c>
      <c r="Q141" s="14">
        <v>0</v>
      </c>
      <c r="R141" s="14">
        <v>0</v>
      </c>
      <c r="U141" s="14">
        <v>0</v>
      </c>
      <c r="V141" s="10"/>
      <c r="W141" s="11">
        <v>4</v>
      </c>
      <c r="X141" s="11">
        <v>4</v>
      </c>
      <c r="Y141" s="11">
        <v>0</v>
      </c>
      <c r="Z141" s="11">
        <v>0</v>
      </c>
      <c r="AA141" s="11">
        <f>MasterTable[[#This Row],[Landings
Night]]+MasterTable[[#This Row],[Landings
Day]]</f>
        <v>4</v>
      </c>
      <c r="AE141" s="21">
        <f>SUM(MasterTable[[#This Row],[ILS]:[PAR]])</f>
        <v>0</v>
      </c>
      <c r="AL141" s="11"/>
      <c r="AR141" s="140" t="str">
        <f>_xlfn.XLOOKUP(MasterTable[[#This Row],[Aircraft ID]],Aircraft!A:A,Aircraft!H:H)</f>
        <v>Airplane Single Engine Land</v>
      </c>
      <c r="AS141" s="8" t="b">
        <f>OR((SUM(MasterTable[[#This Row],[ILS]:[PAR]]) = MasterTable[[#This Row],[APPR]]))</f>
        <v>1</v>
      </c>
      <c r="AT141" s="8" t="b">
        <f>NOT(ISBLANK(MasterTable[[#This Row],[Total
Time]]))</f>
        <v>1</v>
      </c>
    </row>
    <row r="142" spans="4:46" ht="28.8" x14ac:dyDescent="0.3">
      <c r="D142" s="22">
        <v>46009</v>
      </c>
      <c r="E142" s="8" t="s">
        <v>425</v>
      </c>
      <c r="F142" s="8" t="s">
        <v>189</v>
      </c>
      <c r="G142" s="8" t="s">
        <v>189</v>
      </c>
      <c r="I142" s="10">
        <v>1.6</v>
      </c>
      <c r="J142" s="10">
        <v>1.6</v>
      </c>
      <c r="K142" s="10">
        <f>MasterTable[[#This Row],[Total
Time]]</f>
        <v>1.6</v>
      </c>
      <c r="M142" s="13">
        <v>0</v>
      </c>
      <c r="N142" s="13"/>
      <c r="P142" s="10">
        <v>1.6</v>
      </c>
      <c r="Q142" s="14">
        <v>0</v>
      </c>
      <c r="R142" s="14">
        <v>0</v>
      </c>
      <c r="U142" s="14">
        <v>0</v>
      </c>
      <c r="V142" s="10"/>
      <c r="W142" s="11">
        <v>5</v>
      </c>
      <c r="X142" s="11">
        <v>5</v>
      </c>
      <c r="Y142" s="11">
        <v>0</v>
      </c>
      <c r="Z142" s="11">
        <v>0</v>
      </c>
      <c r="AA142" s="11">
        <f>MasterTable[[#This Row],[Landings
Night]]+MasterTable[[#This Row],[Landings
Day]]</f>
        <v>5</v>
      </c>
      <c r="AE142" s="21">
        <f>SUM(MasterTable[[#This Row],[ILS]:[PAR]])</f>
        <v>0</v>
      </c>
      <c r="AL142" s="11"/>
      <c r="AR142" s="140" t="str">
        <f>_xlfn.XLOOKUP(MasterTable[[#This Row],[Aircraft ID]],Aircraft!A:A,Aircraft!H:H)</f>
        <v>Airplane Single Engine Land</v>
      </c>
      <c r="AS142" s="8" t="b">
        <f>OR((SUM(MasterTable[[#This Row],[ILS]:[PAR]]) = MasterTable[[#This Row],[APPR]]))</f>
        <v>1</v>
      </c>
      <c r="AT142" s="8" t="b">
        <f>NOT(ISBLANK(MasterTable[[#This Row],[Total
Time]]))</f>
        <v>1</v>
      </c>
    </row>
    <row r="143" spans="4:46" ht="28.8" x14ac:dyDescent="0.3">
      <c r="D143" s="22">
        <v>46009</v>
      </c>
      <c r="E143" s="8" t="s">
        <v>425</v>
      </c>
      <c r="F143" s="8" t="s">
        <v>189</v>
      </c>
      <c r="G143" s="8" t="s">
        <v>189</v>
      </c>
      <c r="I143" s="10">
        <v>1.6</v>
      </c>
      <c r="J143" s="10">
        <v>1.6</v>
      </c>
      <c r="K143" s="10">
        <f>MasterTable[[#This Row],[Total
Time]]</f>
        <v>1.6</v>
      </c>
      <c r="M143" s="13">
        <v>0</v>
      </c>
      <c r="N143" s="13"/>
      <c r="P143" s="10">
        <v>1.6</v>
      </c>
      <c r="Q143" s="14">
        <v>0</v>
      </c>
      <c r="R143" s="14">
        <v>0</v>
      </c>
      <c r="U143" s="14">
        <v>0</v>
      </c>
      <c r="V143" s="10"/>
      <c r="W143" s="11">
        <v>6</v>
      </c>
      <c r="X143" s="11">
        <v>6</v>
      </c>
      <c r="Y143" s="11">
        <v>0</v>
      </c>
      <c r="Z143" s="11">
        <v>0</v>
      </c>
      <c r="AA143" s="11">
        <f>MasterTable[[#This Row],[Landings
Night]]+MasterTable[[#This Row],[Landings
Day]]</f>
        <v>6</v>
      </c>
      <c r="AE143" s="21">
        <f>SUM(MasterTable[[#This Row],[ILS]:[PAR]])</f>
        <v>0</v>
      </c>
      <c r="AL143" s="11"/>
      <c r="AR143" s="140" t="str">
        <f>_xlfn.XLOOKUP(MasterTable[[#This Row],[Aircraft ID]],Aircraft!A:A,Aircraft!H:H)</f>
        <v>Airplane Single Engine Land</v>
      </c>
      <c r="AS143" s="8" t="b">
        <f>OR((SUM(MasterTable[[#This Row],[ILS]:[PAR]]) = MasterTable[[#This Row],[APPR]]))</f>
        <v>1</v>
      </c>
      <c r="AT143" s="8" t="b">
        <f>NOT(ISBLANK(MasterTable[[#This Row],[Total
Time]]))</f>
        <v>1</v>
      </c>
    </row>
    <row r="144" spans="4:46" ht="28.8" x14ac:dyDescent="0.3">
      <c r="D144" s="22">
        <v>46007</v>
      </c>
      <c r="E144" s="8" t="s">
        <v>425</v>
      </c>
      <c r="F144" s="8" t="s">
        <v>189</v>
      </c>
      <c r="G144" s="8" t="s">
        <v>189</v>
      </c>
      <c r="I144" s="10">
        <v>1.5</v>
      </c>
      <c r="J144" s="10">
        <v>1.5</v>
      </c>
      <c r="K144" s="10">
        <f>MasterTable[[#This Row],[Total
Time]]</f>
        <v>1.5</v>
      </c>
      <c r="M144" s="13">
        <v>0</v>
      </c>
      <c r="N144" s="13"/>
      <c r="P144" s="10">
        <v>1.5</v>
      </c>
      <c r="Q144" s="14">
        <v>0</v>
      </c>
      <c r="R144" s="14">
        <v>0</v>
      </c>
      <c r="U144" s="14">
        <v>0</v>
      </c>
      <c r="V144" s="10"/>
      <c r="W144" s="11">
        <v>6</v>
      </c>
      <c r="X144" s="11">
        <v>6</v>
      </c>
      <c r="Y144" s="11">
        <v>0</v>
      </c>
      <c r="Z144" s="11">
        <v>0</v>
      </c>
      <c r="AA144" s="11">
        <f>MasterTable[[#This Row],[Landings
Night]]+MasterTable[[#This Row],[Landings
Day]]</f>
        <v>6</v>
      </c>
      <c r="AE144" s="21">
        <f>SUM(MasterTable[[#This Row],[ILS]:[PAR]])</f>
        <v>0</v>
      </c>
      <c r="AL144" s="11"/>
      <c r="AR144" s="140" t="str">
        <f>_xlfn.XLOOKUP(MasterTable[[#This Row],[Aircraft ID]],Aircraft!A:A,Aircraft!H:H)</f>
        <v>Airplane Single Engine Land</v>
      </c>
      <c r="AS144" s="8" t="b">
        <f>OR((SUM(MasterTable[[#This Row],[ILS]:[PAR]]) = MasterTable[[#This Row],[APPR]]))</f>
        <v>1</v>
      </c>
      <c r="AT144" s="8" t="b">
        <f>NOT(ISBLANK(MasterTable[[#This Row],[Total
Time]]))</f>
        <v>1</v>
      </c>
    </row>
    <row r="145" spans="4:46" ht="28.8" x14ac:dyDescent="0.3">
      <c r="D145" s="22">
        <v>46006</v>
      </c>
      <c r="E145" s="8" t="s">
        <v>425</v>
      </c>
      <c r="F145" s="8" t="s">
        <v>189</v>
      </c>
      <c r="G145" s="8" t="s">
        <v>189</v>
      </c>
      <c r="I145" s="10">
        <v>1.5</v>
      </c>
      <c r="J145" s="10">
        <v>1.5</v>
      </c>
      <c r="K145" s="10">
        <f>MasterTable[[#This Row],[Total
Time]]</f>
        <v>1.5</v>
      </c>
      <c r="M145" s="13">
        <v>0</v>
      </c>
      <c r="N145" s="13"/>
      <c r="P145" s="10">
        <v>1.5</v>
      </c>
      <c r="Q145" s="14">
        <v>0</v>
      </c>
      <c r="R145" s="14">
        <v>0</v>
      </c>
      <c r="U145" s="14">
        <v>0</v>
      </c>
      <c r="V145" s="10"/>
      <c r="W145" s="11">
        <v>6</v>
      </c>
      <c r="X145" s="11">
        <v>6</v>
      </c>
      <c r="Y145" s="11">
        <v>0</v>
      </c>
      <c r="Z145" s="11">
        <v>0</v>
      </c>
      <c r="AA145" s="11">
        <f>MasterTable[[#This Row],[Landings
Night]]+MasterTable[[#This Row],[Landings
Day]]</f>
        <v>6</v>
      </c>
      <c r="AB145" s="10">
        <v>0.2</v>
      </c>
      <c r="AE145" s="21">
        <f>SUM(MasterTable[[#This Row],[ILS]:[PAR]])</f>
        <v>0</v>
      </c>
      <c r="AL145" s="11"/>
      <c r="AR145" s="140" t="str">
        <f>_xlfn.XLOOKUP(MasterTable[[#This Row],[Aircraft ID]],Aircraft!A:A,Aircraft!H:H)</f>
        <v>Airplane Single Engine Land</v>
      </c>
      <c r="AS145" s="8" t="b">
        <f>OR((SUM(MasterTable[[#This Row],[ILS]:[PAR]]) = MasterTable[[#This Row],[APPR]]))</f>
        <v>1</v>
      </c>
      <c r="AT145" s="8" t="b">
        <f>NOT(ISBLANK(MasterTable[[#This Row],[Total
Time]]))</f>
        <v>1</v>
      </c>
    </row>
    <row r="146" spans="4:46" ht="28.8" x14ac:dyDescent="0.3">
      <c r="D146" s="22">
        <v>46003</v>
      </c>
      <c r="E146" s="8" t="s">
        <v>425</v>
      </c>
      <c r="F146" s="8" t="s">
        <v>189</v>
      </c>
      <c r="G146" s="8" t="s">
        <v>203</v>
      </c>
      <c r="I146" s="10">
        <v>1.5</v>
      </c>
      <c r="J146" s="10">
        <v>1.5</v>
      </c>
      <c r="K146" s="10">
        <f>MasterTable[[#This Row],[Total
Time]]</f>
        <v>1.5</v>
      </c>
      <c r="M146" s="13">
        <v>0</v>
      </c>
      <c r="N146" s="13"/>
      <c r="P146" s="10">
        <v>1.5</v>
      </c>
      <c r="Q146" s="14">
        <v>0</v>
      </c>
      <c r="R146" s="14">
        <v>0</v>
      </c>
      <c r="U146" s="14">
        <v>0</v>
      </c>
      <c r="V146" s="10"/>
      <c r="W146" s="11">
        <v>9</v>
      </c>
      <c r="X146" s="11">
        <v>9</v>
      </c>
      <c r="Y146" s="11">
        <v>0</v>
      </c>
      <c r="Z146" s="11">
        <v>0</v>
      </c>
      <c r="AA146" s="11">
        <f>MasterTable[[#This Row],[Landings
Night]]+MasterTable[[#This Row],[Landings
Day]]</f>
        <v>9</v>
      </c>
      <c r="AE146" s="21">
        <f>SUM(MasterTable[[#This Row],[ILS]:[PAR]])</f>
        <v>0</v>
      </c>
      <c r="AL146" s="11"/>
      <c r="AR146" s="140" t="str">
        <f>_xlfn.XLOOKUP(MasterTable[[#This Row],[Aircraft ID]],Aircraft!A:A,Aircraft!H:H)</f>
        <v>Airplane Single Engine Land</v>
      </c>
      <c r="AS146" s="8" t="b">
        <f>OR((SUM(MasterTable[[#This Row],[ILS]:[PAR]]) = MasterTable[[#This Row],[APPR]]))</f>
        <v>1</v>
      </c>
      <c r="AT146" s="8" t="b">
        <f>NOT(ISBLANK(MasterTable[[#This Row],[Total
Time]]))</f>
        <v>1</v>
      </c>
    </row>
    <row r="147" spans="4:46" ht="28.8" x14ac:dyDescent="0.3">
      <c r="D147" s="22">
        <v>46002</v>
      </c>
      <c r="E147" s="8" t="s">
        <v>425</v>
      </c>
      <c r="F147" s="8" t="s">
        <v>189</v>
      </c>
      <c r="G147" s="8" t="s">
        <v>189</v>
      </c>
      <c r="I147" s="10">
        <v>1.5</v>
      </c>
      <c r="J147" s="10">
        <v>1.5</v>
      </c>
      <c r="K147" s="10">
        <f>MasterTable[[#This Row],[Total
Time]]</f>
        <v>1.5</v>
      </c>
      <c r="M147" s="13">
        <v>0</v>
      </c>
      <c r="N147" s="13"/>
      <c r="P147" s="10">
        <v>1.5</v>
      </c>
      <c r="Q147" s="14">
        <v>0</v>
      </c>
      <c r="R147" s="14">
        <v>0</v>
      </c>
      <c r="U147" s="14">
        <v>0</v>
      </c>
      <c r="V147" s="10"/>
      <c r="W147" s="11">
        <v>7</v>
      </c>
      <c r="X147" s="11">
        <v>7</v>
      </c>
      <c r="Y147" s="11">
        <v>0</v>
      </c>
      <c r="Z147" s="11">
        <v>0</v>
      </c>
      <c r="AA147" s="11">
        <f>MasterTable[[#This Row],[Landings
Night]]+MasterTable[[#This Row],[Landings
Day]]</f>
        <v>7</v>
      </c>
      <c r="AE147" s="21">
        <f>SUM(MasterTable[[#This Row],[ILS]:[PAR]])</f>
        <v>0</v>
      </c>
      <c r="AL147" s="11"/>
      <c r="AR147" s="140" t="str">
        <f>_xlfn.XLOOKUP(MasterTable[[#This Row],[Aircraft ID]],Aircraft!A:A,Aircraft!H:H)</f>
        <v>Airplane Single Engine Land</v>
      </c>
      <c r="AS147" s="8" t="b">
        <f>OR((SUM(MasterTable[[#This Row],[ILS]:[PAR]]) = MasterTable[[#This Row],[APPR]]))</f>
        <v>1</v>
      </c>
      <c r="AT147" s="8" t="b">
        <f>NOT(ISBLANK(MasterTable[[#This Row],[Total
Time]]))</f>
        <v>1</v>
      </c>
    </row>
    <row r="148" spans="4:46" ht="28.8" x14ac:dyDescent="0.3">
      <c r="D148" s="22">
        <v>45994</v>
      </c>
      <c r="E148" s="8" t="s">
        <v>425</v>
      </c>
      <c r="F148" s="8" t="s">
        <v>189</v>
      </c>
      <c r="G148" s="8" t="s">
        <v>189</v>
      </c>
      <c r="I148" s="10">
        <v>1.5</v>
      </c>
      <c r="J148" s="10">
        <v>1.5</v>
      </c>
      <c r="K148" s="10">
        <f>MasterTable[[#This Row],[Total
Time]]</f>
        <v>1.5</v>
      </c>
      <c r="M148" s="13">
        <v>0</v>
      </c>
      <c r="N148" s="13"/>
      <c r="P148" s="10">
        <v>1.5</v>
      </c>
      <c r="Q148" s="14">
        <v>0</v>
      </c>
      <c r="R148" s="14">
        <v>0</v>
      </c>
      <c r="U148" s="14">
        <v>0</v>
      </c>
      <c r="V148" s="10"/>
      <c r="W148" s="11">
        <v>6</v>
      </c>
      <c r="X148" s="11">
        <v>6</v>
      </c>
      <c r="Y148" s="11">
        <v>0</v>
      </c>
      <c r="Z148" s="11">
        <v>0</v>
      </c>
      <c r="AA148" s="11">
        <f>MasterTable[[#This Row],[Landings
Night]]+MasterTable[[#This Row],[Landings
Day]]</f>
        <v>6</v>
      </c>
      <c r="AE148" s="21">
        <f>SUM(MasterTable[[#This Row],[ILS]:[PAR]])</f>
        <v>0</v>
      </c>
      <c r="AL148" s="11"/>
      <c r="AR148" s="140" t="str">
        <f>_xlfn.XLOOKUP(MasterTable[[#This Row],[Aircraft ID]],Aircraft!A:A,Aircraft!H:H)</f>
        <v>Airplane Single Engine Land</v>
      </c>
      <c r="AS148" s="8" t="b">
        <f>OR((SUM(MasterTable[[#This Row],[ILS]:[PAR]]) = MasterTable[[#This Row],[APPR]]))</f>
        <v>1</v>
      </c>
      <c r="AT148" s="8" t="b">
        <f>NOT(ISBLANK(MasterTable[[#This Row],[Total
Time]]))</f>
        <v>1</v>
      </c>
    </row>
    <row r="149" spans="4:46" ht="28.8" x14ac:dyDescent="0.3">
      <c r="D149" s="22">
        <v>45993</v>
      </c>
      <c r="E149" s="8" t="s">
        <v>425</v>
      </c>
      <c r="F149" s="8" t="s">
        <v>189</v>
      </c>
      <c r="G149" s="8" t="s">
        <v>189</v>
      </c>
      <c r="I149" s="10">
        <v>1.6</v>
      </c>
      <c r="J149" s="10">
        <v>1.6</v>
      </c>
      <c r="K149" s="10">
        <f>MasterTable[[#This Row],[Total
Time]]</f>
        <v>1.6</v>
      </c>
      <c r="M149" s="13">
        <v>0</v>
      </c>
      <c r="N149" s="13"/>
      <c r="P149" s="10">
        <v>1.6</v>
      </c>
      <c r="Q149" s="14">
        <v>0</v>
      </c>
      <c r="R149" s="14">
        <v>0</v>
      </c>
      <c r="U149" s="14">
        <v>0</v>
      </c>
      <c r="V149" s="10"/>
      <c r="W149" s="11">
        <v>7</v>
      </c>
      <c r="X149" s="11">
        <v>7</v>
      </c>
      <c r="Y149" s="11">
        <v>0</v>
      </c>
      <c r="Z149" s="11">
        <v>0</v>
      </c>
      <c r="AA149" s="11">
        <f>MasterTable[[#This Row],[Landings
Night]]+MasterTable[[#This Row],[Landings
Day]]</f>
        <v>7</v>
      </c>
      <c r="AE149" s="21">
        <f>SUM(MasterTable[[#This Row],[ILS]:[PAR]])</f>
        <v>0</v>
      </c>
      <c r="AL149" s="11"/>
      <c r="AR149" s="140" t="str">
        <f>_xlfn.XLOOKUP(MasterTable[[#This Row],[Aircraft ID]],Aircraft!A:A,Aircraft!H:H)</f>
        <v>Airplane Single Engine Land</v>
      </c>
      <c r="AS149" s="8" t="b">
        <f>OR((SUM(MasterTable[[#This Row],[ILS]:[PAR]]) = MasterTable[[#This Row],[APPR]]))</f>
        <v>1</v>
      </c>
      <c r="AT149" s="8" t="b">
        <f>NOT(ISBLANK(MasterTable[[#This Row],[Total
Time]]))</f>
        <v>1</v>
      </c>
    </row>
    <row r="150" spans="4:46" ht="28.8" x14ac:dyDescent="0.3">
      <c r="D150" s="22">
        <v>45817</v>
      </c>
      <c r="E150" s="8" t="s">
        <v>174</v>
      </c>
      <c r="F150" s="8" t="s">
        <v>202</v>
      </c>
      <c r="G150" s="8" t="s">
        <v>202</v>
      </c>
      <c r="I150" s="10">
        <v>1.4</v>
      </c>
      <c r="J150" s="10">
        <v>1.4</v>
      </c>
      <c r="L150" s="10">
        <v>0</v>
      </c>
      <c r="M150" s="13">
        <v>0</v>
      </c>
      <c r="N150" s="13"/>
      <c r="O150" s="10">
        <v>1.4</v>
      </c>
      <c r="P150" s="10">
        <v>0</v>
      </c>
      <c r="Q150" s="14">
        <v>0</v>
      </c>
      <c r="R150" s="14">
        <v>0</v>
      </c>
      <c r="S150" s="10">
        <v>0</v>
      </c>
      <c r="T150" s="10">
        <v>0</v>
      </c>
      <c r="U150" s="14">
        <v>0</v>
      </c>
      <c r="V150" s="10">
        <v>0</v>
      </c>
      <c r="W150" s="11">
        <v>6</v>
      </c>
      <c r="X150" s="11">
        <v>6</v>
      </c>
      <c r="Y150" s="11">
        <v>0</v>
      </c>
      <c r="Z150" s="11">
        <v>0</v>
      </c>
      <c r="AA150" s="11">
        <f>MasterTable[[#This Row],[Landings
Night]]+MasterTable[[#This Row],[Landings
Day]]</f>
        <v>6</v>
      </c>
      <c r="AB150" s="10">
        <v>0</v>
      </c>
      <c r="AC150" s="10">
        <v>0</v>
      </c>
      <c r="AD150" s="11">
        <v>0</v>
      </c>
      <c r="AE150" s="21">
        <f>SUM(MasterTable[[#This Row],[ILS]:[PAR]])</f>
        <v>0</v>
      </c>
      <c r="AL150" s="11"/>
      <c r="AR150" s="140" t="str">
        <f>_xlfn.XLOOKUP(MasterTable[[#This Row],[Aircraft ID]],Aircraft!A:A,Aircraft!H:H)</f>
        <v>Airplane Single Engine Land</v>
      </c>
      <c r="AS150" s="8" t="b">
        <f>OR((SUM(MasterTable[[#This Row],[ILS]:[PAR]]) = MasterTable[[#This Row],[APPR]]))</f>
        <v>1</v>
      </c>
      <c r="AT150" s="8" t="b">
        <f>NOT(ISBLANK(MasterTable[[#This Row],[Total
Time]]))</f>
        <v>1</v>
      </c>
    </row>
    <row r="151" spans="4:46" ht="28.8" x14ac:dyDescent="0.3">
      <c r="D151" s="22">
        <v>45814</v>
      </c>
      <c r="E151" s="8" t="s">
        <v>154</v>
      </c>
      <c r="F151" s="8" t="s">
        <v>204</v>
      </c>
      <c r="G151" s="8" t="s">
        <v>204</v>
      </c>
      <c r="I151" s="10">
        <v>0.6</v>
      </c>
      <c r="J151" s="10">
        <v>0.6</v>
      </c>
      <c r="L151" s="10">
        <v>0</v>
      </c>
      <c r="M151" s="13">
        <v>0</v>
      </c>
      <c r="N151" s="13"/>
      <c r="O151" s="10">
        <v>0</v>
      </c>
      <c r="P151" s="10">
        <v>0</v>
      </c>
      <c r="Q151" s="14">
        <v>0</v>
      </c>
      <c r="R151" s="14">
        <v>0</v>
      </c>
      <c r="S151" s="10">
        <v>0</v>
      </c>
      <c r="T151" s="10">
        <v>0</v>
      </c>
      <c r="U151" s="14">
        <v>0</v>
      </c>
      <c r="V151" s="10">
        <v>0</v>
      </c>
      <c r="W151" s="11">
        <v>0</v>
      </c>
      <c r="X151" s="11">
        <v>0</v>
      </c>
      <c r="Y151" s="11">
        <v>0</v>
      </c>
      <c r="Z151" s="11">
        <v>0</v>
      </c>
      <c r="AA151" s="11">
        <f>MasterTable[[#This Row],[Landings
Night]]+MasterTable[[#This Row],[Landings
Day]]</f>
        <v>0</v>
      </c>
      <c r="AB151" s="10">
        <v>0</v>
      </c>
      <c r="AC151" s="10">
        <v>0</v>
      </c>
      <c r="AD151" s="11">
        <v>0</v>
      </c>
      <c r="AE151" s="21">
        <f>SUM(MasterTable[[#This Row],[ILS]:[PAR]])</f>
        <v>0</v>
      </c>
      <c r="AL151" s="11"/>
      <c r="AR151" s="140" t="str">
        <f>_xlfn.XLOOKUP(MasterTable[[#This Row],[Aircraft ID]],Aircraft!A:A,Aircraft!H:H)</f>
        <v>Airplane Single Engine Land</v>
      </c>
      <c r="AS151" s="8" t="b">
        <f>OR((SUM(MasterTable[[#This Row],[ILS]:[PAR]]) = MasterTable[[#This Row],[APPR]]))</f>
        <v>1</v>
      </c>
      <c r="AT151" s="8" t="b">
        <f>NOT(ISBLANK(MasterTable[[#This Row],[Total
Time]]))</f>
        <v>1</v>
      </c>
    </row>
    <row r="152" spans="4:46" ht="28.8" x14ac:dyDescent="0.3">
      <c r="D152" s="22">
        <v>45731</v>
      </c>
      <c r="E152" s="8" t="s">
        <v>150</v>
      </c>
      <c r="F152" s="8" t="s">
        <v>205</v>
      </c>
      <c r="G152" s="8" t="s">
        <v>205</v>
      </c>
      <c r="I152" s="10">
        <v>0.4</v>
      </c>
      <c r="J152" s="10">
        <v>0.4</v>
      </c>
      <c r="L152" s="10">
        <v>0</v>
      </c>
      <c r="M152" s="13">
        <v>0</v>
      </c>
      <c r="N152" s="13"/>
      <c r="O152" s="10">
        <v>0</v>
      </c>
      <c r="P152" s="10">
        <v>0</v>
      </c>
      <c r="Q152" s="14">
        <v>0</v>
      </c>
      <c r="R152" s="14">
        <v>0</v>
      </c>
      <c r="S152" s="10">
        <v>0</v>
      </c>
      <c r="T152" s="10">
        <v>0</v>
      </c>
      <c r="U152" s="14">
        <v>0</v>
      </c>
      <c r="V152" s="10">
        <v>0</v>
      </c>
      <c r="W152" s="11">
        <v>0</v>
      </c>
      <c r="X152" s="11">
        <v>0</v>
      </c>
      <c r="Y152" s="11">
        <v>0</v>
      </c>
      <c r="Z152" s="11">
        <v>0</v>
      </c>
      <c r="AA152" s="11">
        <f>MasterTable[[#This Row],[Landings
Night]]+MasterTable[[#This Row],[Landings
Day]]</f>
        <v>0</v>
      </c>
      <c r="AB152" s="10">
        <v>0</v>
      </c>
      <c r="AC152" s="10">
        <v>0</v>
      </c>
      <c r="AD152" s="11">
        <v>0</v>
      </c>
      <c r="AE152" s="21">
        <f>SUM(MasterTable[[#This Row],[ILS]:[PAR]])</f>
        <v>0</v>
      </c>
      <c r="AL152" s="11"/>
      <c r="AR152" s="140" t="str">
        <f>_xlfn.XLOOKUP(MasterTable[[#This Row],[Aircraft ID]],Aircraft!A:A,Aircraft!H:H)</f>
        <v>Airplane Single Engine Land</v>
      </c>
      <c r="AS152" s="8" t="b">
        <f>OR((SUM(MasterTable[[#This Row],[ILS]:[PAR]]) = MasterTable[[#This Row],[APPR]]))</f>
        <v>1</v>
      </c>
      <c r="AT152" s="8" t="b">
        <f>NOT(ISBLANK(MasterTable[[#This Row],[Total
Time]]))</f>
        <v>1</v>
      </c>
    </row>
    <row r="153" spans="4:46" ht="28.8" x14ac:dyDescent="0.3">
      <c r="D153" s="22">
        <v>45725</v>
      </c>
      <c r="E153" s="8" t="s">
        <v>174</v>
      </c>
      <c r="F153" s="8" t="s">
        <v>206</v>
      </c>
      <c r="G153" s="8" t="s">
        <v>202</v>
      </c>
      <c r="I153" s="10">
        <v>2.8</v>
      </c>
      <c r="J153" s="10">
        <v>2.8</v>
      </c>
      <c r="L153" s="10">
        <v>0</v>
      </c>
      <c r="M153" s="13">
        <v>0</v>
      </c>
      <c r="N153" s="13"/>
      <c r="O153" s="10">
        <v>0</v>
      </c>
      <c r="P153" s="10">
        <v>0</v>
      </c>
      <c r="Q153" s="14">
        <v>0</v>
      </c>
      <c r="R153" s="14">
        <v>0</v>
      </c>
      <c r="S153" s="10">
        <v>0</v>
      </c>
      <c r="T153" s="10">
        <v>2.8</v>
      </c>
      <c r="U153" s="14">
        <v>0</v>
      </c>
      <c r="V153" s="10">
        <v>0.9</v>
      </c>
      <c r="W153" s="11">
        <v>1</v>
      </c>
      <c r="X153" s="11">
        <v>1</v>
      </c>
      <c r="Y153" s="11">
        <v>0</v>
      </c>
      <c r="Z153" s="11">
        <v>0</v>
      </c>
      <c r="AA153" s="11">
        <f>MasterTable[[#This Row],[Landings
Night]]+MasterTable[[#This Row],[Landings
Day]]</f>
        <v>1</v>
      </c>
      <c r="AB153" s="10">
        <v>0</v>
      </c>
      <c r="AC153" s="10">
        <v>0</v>
      </c>
      <c r="AD153" s="11">
        <v>0</v>
      </c>
      <c r="AE153" s="21">
        <f>SUM(MasterTable[[#This Row],[ILS]:[PAR]])</f>
        <v>0</v>
      </c>
      <c r="AL153" s="11"/>
      <c r="AR153" s="140" t="str">
        <f>_xlfn.XLOOKUP(MasterTable[[#This Row],[Aircraft ID]],Aircraft!A:A,Aircraft!H:H)</f>
        <v>Airplane Single Engine Land</v>
      </c>
      <c r="AS153" s="8" t="b">
        <f>OR((SUM(MasterTable[[#This Row],[ILS]:[PAR]]) = MasterTable[[#This Row],[APPR]]))</f>
        <v>1</v>
      </c>
      <c r="AT153" s="8" t="b">
        <f>NOT(ISBLANK(MasterTable[[#This Row],[Total
Time]]))</f>
        <v>1</v>
      </c>
    </row>
    <row r="154" spans="4:46" ht="28.8" x14ac:dyDescent="0.3">
      <c r="D154" s="22">
        <v>45723</v>
      </c>
      <c r="E154" s="8" t="s">
        <v>174</v>
      </c>
      <c r="F154" s="8" t="s">
        <v>202</v>
      </c>
      <c r="G154" s="8" t="s">
        <v>206</v>
      </c>
      <c r="I154" s="10">
        <v>1.8</v>
      </c>
      <c r="J154" s="10">
        <v>1.8</v>
      </c>
      <c r="L154" s="10">
        <v>0</v>
      </c>
      <c r="M154" s="13">
        <v>0</v>
      </c>
      <c r="N154" s="13"/>
      <c r="O154" s="10">
        <v>0</v>
      </c>
      <c r="P154" s="10">
        <v>0</v>
      </c>
      <c r="Q154" s="14">
        <v>0</v>
      </c>
      <c r="R154" s="14">
        <v>0</v>
      </c>
      <c r="S154" s="10">
        <v>0</v>
      </c>
      <c r="T154" s="10">
        <v>1.8</v>
      </c>
      <c r="U154" s="14">
        <v>0</v>
      </c>
      <c r="V154" s="10">
        <v>0</v>
      </c>
      <c r="W154" s="11">
        <v>1</v>
      </c>
      <c r="X154" s="11">
        <v>1</v>
      </c>
      <c r="Y154" s="11">
        <v>0</v>
      </c>
      <c r="Z154" s="11">
        <v>0</v>
      </c>
      <c r="AA154" s="11">
        <f>MasterTable[[#This Row],[Landings
Night]]+MasterTable[[#This Row],[Landings
Day]]</f>
        <v>1</v>
      </c>
      <c r="AB154" s="10">
        <v>0</v>
      </c>
      <c r="AC154" s="10">
        <v>0</v>
      </c>
      <c r="AD154" s="11">
        <v>0</v>
      </c>
      <c r="AE154" s="21">
        <f>SUM(MasterTable[[#This Row],[ILS]:[PAR]])</f>
        <v>0</v>
      </c>
      <c r="AL154" s="11"/>
      <c r="AR154" s="140" t="str">
        <f>_xlfn.XLOOKUP(MasterTable[[#This Row],[Aircraft ID]],Aircraft!A:A,Aircraft!H:H)</f>
        <v>Airplane Single Engine Land</v>
      </c>
      <c r="AS154" s="8" t="b">
        <f>OR((SUM(MasterTable[[#This Row],[ILS]:[PAR]]) = MasterTable[[#This Row],[APPR]]))</f>
        <v>1</v>
      </c>
      <c r="AT154" s="8" t="b">
        <f>NOT(ISBLANK(MasterTable[[#This Row],[Total
Time]]))</f>
        <v>1</v>
      </c>
    </row>
    <row r="155" spans="4:46" ht="28.8" x14ac:dyDescent="0.3">
      <c r="D155" s="22">
        <v>45555</v>
      </c>
      <c r="E155" s="8" t="s">
        <v>147</v>
      </c>
      <c r="F155" s="8" t="s">
        <v>207</v>
      </c>
      <c r="G155" s="8" t="s">
        <v>206</v>
      </c>
      <c r="I155" s="10">
        <v>0.5</v>
      </c>
      <c r="J155" s="10">
        <v>0.5</v>
      </c>
      <c r="L155" s="10">
        <v>0</v>
      </c>
      <c r="M155" s="13">
        <v>0</v>
      </c>
      <c r="N155" s="13"/>
      <c r="O155" s="10">
        <v>0</v>
      </c>
      <c r="P155" s="10">
        <v>0</v>
      </c>
      <c r="Q155" s="14">
        <v>0</v>
      </c>
      <c r="R155" s="14">
        <v>0</v>
      </c>
      <c r="S155" s="10">
        <v>0</v>
      </c>
      <c r="T155" s="10">
        <v>0</v>
      </c>
      <c r="U155" s="14">
        <v>0</v>
      </c>
      <c r="V155" s="10">
        <v>0</v>
      </c>
      <c r="W155" s="11">
        <v>1</v>
      </c>
      <c r="X155" s="11">
        <v>1</v>
      </c>
      <c r="Y155" s="11">
        <v>0</v>
      </c>
      <c r="Z155" s="11">
        <v>0</v>
      </c>
      <c r="AA155" s="11">
        <f>MasterTable[[#This Row],[Landings
Night]]+MasterTable[[#This Row],[Landings
Day]]</f>
        <v>1</v>
      </c>
      <c r="AB155" s="10">
        <v>0</v>
      </c>
      <c r="AC155" s="10">
        <v>0</v>
      </c>
      <c r="AD155" s="11">
        <v>0</v>
      </c>
      <c r="AE155" s="21">
        <f>SUM(MasterTable[[#This Row],[ILS]:[PAR]])</f>
        <v>0</v>
      </c>
      <c r="AL155" s="11"/>
      <c r="AR155" s="140" t="str">
        <f>_xlfn.XLOOKUP(MasterTable[[#This Row],[Aircraft ID]],Aircraft!A:A,Aircraft!H:H)</f>
        <v>Airplane Single Engine Land</v>
      </c>
      <c r="AS155" s="8" t="b">
        <f>OR((SUM(MasterTable[[#This Row],[ILS]:[PAR]]) = MasterTable[[#This Row],[APPR]]))</f>
        <v>1</v>
      </c>
      <c r="AT155" s="8" t="b">
        <f>NOT(ISBLANK(MasterTable[[#This Row],[Total
Time]]))</f>
        <v>1</v>
      </c>
    </row>
    <row r="156" spans="4:46" ht="28.8" x14ac:dyDescent="0.3">
      <c r="D156" s="22">
        <v>45542</v>
      </c>
      <c r="E156" s="8" t="s">
        <v>146</v>
      </c>
      <c r="F156" s="8" t="s">
        <v>207</v>
      </c>
      <c r="G156" s="8" t="s">
        <v>207</v>
      </c>
      <c r="I156" s="10">
        <v>4.7</v>
      </c>
      <c r="L156" s="10">
        <v>4.7</v>
      </c>
      <c r="M156" s="13">
        <v>0</v>
      </c>
      <c r="N156" s="13"/>
      <c r="O156" s="10">
        <v>0</v>
      </c>
      <c r="P156" s="10">
        <v>0</v>
      </c>
      <c r="Q156" s="14">
        <v>0</v>
      </c>
      <c r="R156" s="14">
        <v>0</v>
      </c>
      <c r="S156" s="10">
        <v>0</v>
      </c>
      <c r="T156" s="10">
        <v>0</v>
      </c>
      <c r="U156" s="14">
        <v>0</v>
      </c>
      <c r="V156" s="10">
        <v>4.7</v>
      </c>
      <c r="W156" s="11">
        <v>1</v>
      </c>
      <c r="X156" s="11">
        <v>1</v>
      </c>
      <c r="Y156" s="11">
        <v>0</v>
      </c>
      <c r="Z156" s="11">
        <v>0</v>
      </c>
      <c r="AA156" s="11">
        <f>MasterTable[[#This Row],[Landings
Night]]+MasterTable[[#This Row],[Landings
Day]]</f>
        <v>1</v>
      </c>
      <c r="AB156" s="10">
        <v>0</v>
      </c>
      <c r="AC156" s="10">
        <v>0</v>
      </c>
      <c r="AD156" s="11">
        <v>0</v>
      </c>
      <c r="AE156" s="21">
        <f>SUM(MasterTable[[#This Row],[ILS]:[PAR]])</f>
        <v>0</v>
      </c>
      <c r="AL156" s="11"/>
      <c r="AM156" s="8" t="s">
        <v>564</v>
      </c>
      <c r="AR156" s="140" t="str">
        <f>_xlfn.XLOOKUP(MasterTable[[#This Row],[Aircraft ID]],Aircraft!A:A,Aircraft!H:H)</f>
        <v>Airplane Multi Engine Land</v>
      </c>
      <c r="AS156" s="8" t="b">
        <f>OR((SUM(MasterTable[[#This Row],[ILS]:[PAR]]) = MasterTable[[#This Row],[APPR]]))</f>
        <v>1</v>
      </c>
      <c r="AT156" s="8" t="b">
        <f>NOT(ISBLANK(MasterTable[[#This Row],[Total
Time]]))</f>
        <v>1</v>
      </c>
    </row>
    <row r="157" spans="4:46" ht="28.8" x14ac:dyDescent="0.3">
      <c r="D157" s="22">
        <v>45535</v>
      </c>
      <c r="E157" s="8" t="s">
        <v>143</v>
      </c>
      <c r="F157" s="8" t="s">
        <v>202</v>
      </c>
      <c r="G157" s="8" t="s">
        <v>206</v>
      </c>
      <c r="I157" s="10">
        <v>0.4</v>
      </c>
      <c r="J157" s="10">
        <v>0.4</v>
      </c>
      <c r="L157" s="10">
        <v>0</v>
      </c>
      <c r="M157" s="13">
        <v>0</v>
      </c>
      <c r="N157" s="13"/>
      <c r="O157" s="10">
        <v>0</v>
      </c>
      <c r="P157" s="10">
        <v>0</v>
      </c>
      <c r="Q157" s="14">
        <v>0</v>
      </c>
      <c r="R157" s="14">
        <v>0</v>
      </c>
      <c r="S157" s="10">
        <v>0</v>
      </c>
      <c r="T157" s="10">
        <v>0.4</v>
      </c>
      <c r="U157" s="14">
        <v>0</v>
      </c>
      <c r="V157" s="10">
        <v>0</v>
      </c>
      <c r="W157" s="11">
        <v>0</v>
      </c>
      <c r="X157" s="11">
        <v>0</v>
      </c>
      <c r="Y157" s="11">
        <v>0</v>
      </c>
      <c r="Z157" s="11">
        <v>0</v>
      </c>
      <c r="AA157" s="11">
        <f>MasterTable[[#This Row],[Landings
Night]]+MasterTable[[#This Row],[Landings
Day]]</f>
        <v>0</v>
      </c>
      <c r="AB157" s="10">
        <v>0</v>
      </c>
      <c r="AC157" s="10">
        <v>0</v>
      </c>
      <c r="AD157" s="11">
        <v>0</v>
      </c>
      <c r="AE157" s="21">
        <f>SUM(MasterTable[[#This Row],[ILS]:[PAR]])</f>
        <v>0</v>
      </c>
      <c r="AL157" s="11"/>
      <c r="AR157" s="140" t="str">
        <f>_xlfn.XLOOKUP(MasterTable[[#This Row],[Aircraft ID]],Aircraft!A:A,Aircraft!H:H)</f>
        <v>Airplane Single Engine Land</v>
      </c>
      <c r="AS157" s="8" t="b">
        <f>OR((SUM(MasterTable[[#This Row],[ILS]:[PAR]]) = MasterTable[[#This Row],[APPR]]))</f>
        <v>1</v>
      </c>
      <c r="AT157" s="8" t="b">
        <f>NOT(ISBLANK(MasterTable[[#This Row],[Total
Time]]))</f>
        <v>1</v>
      </c>
    </row>
    <row r="158" spans="4:46" ht="28.8" x14ac:dyDescent="0.3">
      <c r="D158" s="22">
        <v>45535</v>
      </c>
      <c r="E158" s="8" t="s">
        <v>139</v>
      </c>
      <c r="F158" s="8" t="s">
        <v>207</v>
      </c>
      <c r="G158" s="8" t="s">
        <v>202</v>
      </c>
      <c r="I158" s="10">
        <v>1.4</v>
      </c>
      <c r="J158" s="10">
        <v>1.4</v>
      </c>
      <c r="L158" s="10">
        <v>0</v>
      </c>
      <c r="M158" s="13">
        <v>0</v>
      </c>
      <c r="N158" s="13"/>
      <c r="O158" s="10">
        <v>0</v>
      </c>
      <c r="P158" s="10">
        <v>0</v>
      </c>
      <c r="Q158" s="14">
        <v>0</v>
      </c>
      <c r="R158" s="14">
        <v>0</v>
      </c>
      <c r="S158" s="10">
        <v>0</v>
      </c>
      <c r="T158" s="10">
        <v>1.4</v>
      </c>
      <c r="U158" s="14">
        <v>0</v>
      </c>
      <c r="V158" s="10">
        <v>1.4</v>
      </c>
      <c r="W158" s="11">
        <v>1</v>
      </c>
      <c r="X158" s="11">
        <v>1</v>
      </c>
      <c r="Y158" s="11">
        <v>0</v>
      </c>
      <c r="Z158" s="11">
        <v>0</v>
      </c>
      <c r="AA158" s="11">
        <f>MasterTable[[#This Row],[Landings
Night]]+MasterTable[[#This Row],[Landings
Day]]</f>
        <v>1</v>
      </c>
      <c r="AB158" s="10">
        <v>0</v>
      </c>
      <c r="AC158" s="10">
        <v>0</v>
      </c>
      <c r="AD158" s="11">
        <v>0</v>
      </c>
      <c r="AE158" s="21">
        <f>SUM(MasterTable[[#This Row],[ILS]:[PAR]])</f>
        <v>0</v>
      </c>
      <c r="AL158" s="11"/>
      <c r="AR158" s="140" t="str">
        <f>_xlfn.XLOOKUP(MasterTable[[#This Row],[Aircraft ID]],Aircraft!A:A,Aircraft!H:H)</f>
        <v>Airplane Single Engine Land</v>
      </c>
      <c r="AS158" s="8" t="b">
        <f>OR((SUM(MasterTable[[#This Row],[ILS]:[PAR]]) = MasterTable[[#This Row],[APPR]]))</f>
        <v>1</v>
      </c>
      <c r="AT158" s="8" t="b">
        <f>NOT(ISBLANK(MasterTable[[#This Row],[Total
Time]]))</f>
        <v>1</v>
      </c>
    </row>
    <row r="159" spans="4:46" ht="28.8" x14ac:dyDescent="0.3">
      <c r="D159" s="22">
        <v>45535</v>
      </c>
      <c r="E159" s="8" t="s">
        <v>139</v>
      </c>
      <c r="F159" s="8" t="s">
        <v>207</v>
      </c>
      <c r="G159" s="8" t="s">
        <v>207</v>
      </c>
      <c r="I159" s="10">
        <v>0.9</v>
      </c>
      <c r="J159" s="10">
        <v>0.9</v>
      </c>
      <c r="L159" s="10">
        <v>0</v>
      </c>
      <c r="M159" s="13">
        <v>0</v>
      </c>
      <c r="N159" s="13"/>
      <c r="O159" s="10">
        <v>0</v>
      </c>
      <c r="P159" s="10">
        <v>0</v>
      </c>
      <c r="Q159" s="14">
        <v>0</v>
      </c>
      <c r="R159" s="14">
        <v>0</v>
      </c>
      <c r="S159" s="10">
        <v>0</v>
      </c>
      <c r="T159" s="10">
        <v>0</v>
      </c>
      <c r="U159" s="14">
        <v>0</v>
      </c>
      <c r="V159" s="10">
        <v>0.9</v>
      </c>
      <c r="W159" s="11">
        <v>1</v>
      </c>
      <c r="X159" s="11">
        <v>1</v>
      </c>
      <c r="Y159" s="11">
        <v>0</v>
      </c>
      <c r="Z159" s="11">
        <v>0</v>
      </c>
      <c r="AA159" s="11">
        <f>MasterTable[[#This Row],[Landings
Night]]+MasterTable[[#This Row],[Landings
Day]]</f>
        <v>1</v>
      </c>
      <c r="AB159" s="10">
        <v>0</v>
      </c>
      <c r="AC159" s="10">
        <v>0</v>
      </c>
      <c r="AD159" s="11">
        <v>0</v>
      </c>
      <c r="AE159" s="21">
        <f>SUM(MasterTable[[#This Row],[ILS]:[PAR]])</f>
        <v>0</v>
      </c>
      <c r="AL159" s="11"/>
      <c r="AR159" s="140" t="str">
        <f>_xlfn.XLOOKUP(MasterTable[[#This Row],[Aircraft ID]],Aircraft!A:A,Aircraft!H:H)</f>
        <v>Airplane Single Engine Land</v>
      </c>
      <c r="AS159" s="8" t="b">
        <f>OR((SUM(MasterTable[[#This Row],[ILS]:[PAR]]) = MasterTable[[#This Row],[APPR]]))</f>
        <v>1</v>
      </c>
      <c r="AT159" s="8" t="b">
        <f>NOT(ISBLANK(MasterTable[[#This Row],[Total
Time]]))</f>
        <v>1</v>
      </c>
    </row>
    <row r="160" spans="4:46" ht="28.8" x14ac:dyDescent="0.3">
      <c r="D160" s="22">
        <v>45533</v>
      </c>
      <c r="E160" s="8" t="s">
        <v>135</v>
      </c>
      <c r="F160" s="8" t="s">
        <v>206</v>
      </c>
      <c r="G160" s="8" t="s">
        <v>206</v>
      </c>
      <c r="I160" s="10">
        <v>0.6</v>
      </c>
      <c r="J160" s="10">
        <v>0.6</v>
      </c>
      <c r="L160" s="10">
        <v>0</v>
      </c>
      <c r="M160" s="13">
        <v>0</v>
      </c>
      <c r="N160" s="13"/>
      <c r="O160" s="10">
        <v>0</v>
      </c>
      <c r="P160" s="10">
        <v>0</v>
      </c>
      <c r="Q160" s="14">
        <v>0</v>
      </c>
      <c r="R160" s="14">
        <v>0</v>
      </c>
      <c r="S160" s="10">
        <v>0</v>
      </c>
      <c r="T160" s="10">
        <v>0</v>
      </c>
      <c r="U160" s="14">
        <v>0</v>
      </c>
      <c r="V160" s="10">
        <v>0</v>
      </c>
      <c r="W160" s="11">
        <v>0</v>
      </c>
      <c r="X160" s="11">
        <v>0</v>
      </c>
      <c r="Y160" s="11">
        <v>0</v>
      </c>
      <c r="Z160" s="11">
        <v>0</v>
      </c>
      <c r="AA160" s="11">
        <f>MasterTable[[#This Row],[Landings
Night]]+MasterTable[[#This Row],[Landings
Day]]</f>
        <v>0</v>
      </c>
      <c r="AB160" s="10">
        <v>0</v>
      </c>
      <c r="AC160" s="10">
        <v>0</v>
      </c>
      <c r="AD160" s="11">
        <v>0</v>
      </c>
      <c r="AE160" s="21">
        <f>SUM(MasterTable[[#This Row],[ILS]:[PAR]])</f>
        <v>0</v>
      </c>
      <c r="AL160" s="11"/>
      <c r="AR160" s="140" t="str">
        <f>_xlfn.XLOOKUP(MasterTable[[#This Row],[Aircraft ID]],Aircraft!A:A,Aircraft!H:H)</f>
        <v>Airplane Single Engine Land</v>
      </c>
      <c r="AS160" s="8" t="b">
        <f>OR((SUM(MasterTable[[#This Row],[ILS]:[PAR]]) = MasterTable[[#This Row],[APPR]]))</f>
        <v>1</v>
      </c>
      <c r="AT160" s="8" t="b">
        <f>NOT(ISBLANK(MasterTable[[#This Row],[Total
Time]]))</f>
        <v>1</v>
      </c>
    </row>
    <row r="161" spans="4:46" ht="28.8" x14ac:dyDescent="0.3">
      <c r="D161" s="22">
        <v>45532</v>
      </c>
      <c r="E161" s="8" t="s">
        <v>133</v>
      </c>
      <c r="F161" s="8" t="s">
        <v>207</v>
      </c>
      <c r="G161" s="8" t="s">
        <v>207</v>
      </c>
      <c r="I161" s="10">
        <v>1.5</v>
      </c>
      <c r="J161" s="10">
        <v>0</v>
      </c>
      <c r="L161" s="10">
        <v>1.5</v>
      </c>
      <c r="M161" s="13">
        <v>0</v>
      </c>
      <c r="N161" s="13"/>
      <c r="O161" s="10">
        <v>0</v>
      </c>
      <c r="P161" s="10">
        <v>0</v>
      </c>
      <c r="Q161" s="14">
        <v>0</v>
      </c>
      <c r="R161" s="14">
        <v>0</v>
      </c>
      <c r="S161" s="10">
        <v>0</v>
      </c>
      <c r="T161" s="10">
        <v>0</v>
      </c>
      <c r="U161" s="14">
        <v>0</v>
      </c>
      <c r="V161" s="10">
        <v>1.5</v>
      </c>
      <c r="W161" s="11">
        <v>0</v>
      </c>
      <c r="X161" s="11">
        <v>0</v>
      </c>
      <c r="Y161" s="11">
        <v>0</v>
      </c>
      <c r="Z161" s="11">
        <v>0</v>
      </c>
      <c r="AA161" s="11">
        <f>MasterTable[[#This Row],[Landings
Night]]+MasterTable[[#This Row],[Landings
Day]]</f>
        <v>0</v>
      </c>
      <c r="AB161" s="10">
        <v>0</v>
      </c>
      <c r="AC161" s="10">
        <v>0</v>
      </c>
      <c r="AD161" s="11">
        <v>0</v>
      </c>
      <c r="AE161" s="21">
        <f>SUM(MasterTable[[#This Row],[ILS]:[PAR]])</f>
        <v>0</v>
      </c>
      <c r="AL161" s="11"/>
      <c r="AR161" s="140" t="str">
        <f>_xlfn.XLOOKUP(MasterTable[[#This Row],[Aircraft ID]],Aircraft!A:A,Aircraft!H:H)</f>
        <v>Airplane Multi Engine Land</v>
      </c>
      <c r="AS161" s="8" t="b">
        <f>OR((SUM(MasterTable[[#This Row],[ILS]:[PAR]]) = MasterTable[[#This Row],[APPR]]))</f>
        <v>1</v>
      </c>
      <c r="AT161" s="8" t="b">
        <f>NOT(ISBLANK(MasterTable[[#This Row],[Total
Time]]))</f>
        <v>1</v>
      </c>
    </row>
    <row r="162" spans="4:46" ht="28.8" x14ac:dyDescent="0.3">
      <c r="D162" s="22">
        <v>45529</v>
      </c>
      <c r="E162" s="8" t="s">
        <v>139</v>
      </c>
      <c r="F162" s="8" t="s">
        <v>207</v>
      </c>
      <c r="G162" s="8" t="s">
        <v>207</v>
      </c>
      <c r="I162" s="10">
        <v>1.2</v>
      </c>
      <c r="J162" s="10">
        <v>1.2</v>
      </c>
      <c r="L162" s="10">
        <v>0</v>
      </c>
      <c r="M162" s="13">
        <v>0</v>
      </c>
      <c r="N162" s="13"/>
      <c r="O162" s="10">
        <v>0</v>
      </c>
      <c r="P162" s="10">
        <v>0</v>
      </c>
      <c r="Q162" s="14">
        <v>0</v>
      </c>
      <c r="R162" s="14">
        <v>0</v>
      </c>
      <c r="S162" s="10">
        <v>0</v>
      </c>
      <c r="T162" s="10">
        <v>0</v>
      </c>
      <c r="U162" s="14">
        <v>0</v>
      </c>
      <c r="V162" s="10">
        <v>1.2</v>
      </c>
      <c r="W162" s="11">
        <v>1</v>
      </c>
      <c r="X162" s="11">
        <v>1</v>
      </c>
      <c r="Y162" s="11">
        <v>0</v>
      </c>
      <c r="Z162" s="11">
        <v>0</v>
      </c>
      <c r="AA162" s="11">
        <f>MasterTable[[#This Row],[Landings
Night]]+MasterTable[[#This Row],[Landings
Day]]</f>
        <v>1</v>
      </c>
      <c r="AB162" s="10">
        <v>0</v>
      </c>
      <c r="AC162" s="10">
        <v>0</v>
      </c>
      <c r="AD162" s="11">
        <v>0</v>
      </c>
      <c r="AE162" s="21">
        <f>SUM(MasterTable[[#This Row],[ILS]:[PAR]])</f>
        <v>0</v>
      </c>
      <c r="AL162" s="11"/>
      <c r="AR162" s="140" t="str">
        <f>_xlfn.XLOOKUP(MasterTable[[#This Row],[Aircraft ID]],Aircraft!A:A,Aircraft!H:H)</f>
        <v>Airplane Single Engine Land</v>
      </c>
      <c r="AS162" s="8" t="b">
        <f>OR((SUM(MasterTable[[#This Row],[ILS]:[PAR]]) = MasterTable[[#This Row],[APPR]]))</f>
        <v>1</v>
      </c>
      <c r="AT162" s="8" t="b">
        <f>NOT(ISBLANK(MasterTable[[#This Row],[Total
Time]]))</f>
        <v>1</v>
      </c>
    </row>
    <row r="163" spans="4:46" ht="28.8" x14ac:dyDescent="0.3">
      <c r="D163" s="22">
        <v>45529</v>
      </c>
      <c r="E163" s="8" t="s">
        <v>139</v>
      </c>
      <c r="F163" s="8" t="s">
        <v>207</v>
      </c>
      <c r="G163" s="8" t="s">
        <v>207</v>
      </c>
      <c r="I163" s="10">
        <v>0.6</v>
      </c>
      <c r="J163" s="10">
        <v>0.6</v>
      </c>
      <c r="L163" s="10">
        <v>0</v>
      </c>
      <c r="M163" s="13">
        <v>0</v>
      </c>
      <c r="N163" s="13"/>
      <c r="O163" s="10">
        <v>0</v>
      </c>
      <c r="P163" s="10">
        <v>0</v>
      </c>
      <c r="Q163" s="14">
        <v>0</v>
      </c>
      <c r="R163" s="14">
        <v>0</v>
      </c>
      <c r="S163" s="10">
        <v>0</v>
      </c>
      <c r="T163" s="10">
        <v>0</v>
      </c>
      <c r="U163" s="14">
        <v>0</v>
      </c>
      <c r="V163" s="10">
        <v>0.6</v>
      </c>
      <c r="W163" s="11">
        <v>1</v>
      </c>
      <c r="X163" s="11">
        <v>1</v>
      </c>
      <c r="Y163" s="11">
        <v>0</v>
      </c>
      <c r="Z163" s="11">
        <v>0</v>
      </c>
      <c r="AA163" s="11">
        <f>MasterTable[[#This Row],[Landings
Night]]+MasterTable[[#This Row],[Landings
Day]]</f>
        <v>1</v>
      </c>
      <c r="AB163" s="10">
        <v>0</v>
      </c>
      <c r="AC163" s="10">
        <v>0</v>
      </c>
      <c r="AD163" s="11">
        <v>0</v>
      </c>
      <c r="AE163" s="21">
        <f>SUM(MasterTable[[#This Row],[ILS]:[PAR]])</f>
        <v>0</v>
      </c>
      <c r="AL163" s="11"/>
      <c r="AR163" s="140" t="str">
        <f>_xlfn.XLOOKUP(MasterTable[[#This Row],[Aircraft ID]],Aircraft!A:A,Aircraft!H:H)</f>
        <v>Airplane Single Engine Land</v>
      </c>
      <c r="AS163" s="8" t="b">
        <f>OR((SUM(MasterTable[[#This Row],[ILS]:[PAR]]) = MasterTable[[#This Row],[APPR]]))</f>
        <v>1</v>
      </c>
      <c r="AT163" s="8" t="b">
        <f>NOT(ISBLANK(MasterTable[[#This Row],[Total
Time]]))</f>
        <v>1</v>
      </c>
    </row>
    <row r="164" spans="4:46" ht="28.8" x14ac:dyDescent="0.3">
      <c r="D164" s="22">
        <v>45501</v>
      </c>
      <c r="E164" s="8" t="s">
        <v>129</v>
      </c>
      <c r="F164" s="8" t="s">
        <v>206</v>
      </c>
      <c r="G164" s="8" t="s">
        <v>206</v>
      </c>
      <c r="I164" s="10">
        <v>1.1000000000000001</v>
      </c>
      <c r="J164" s="10">
        <v>1.1000000000000001</v>
      </c>
      <c r="L164" s="10">
        <v>0</v>
      </c>
      <c r="M164" s="13">
        <v>0</v>
      </c>
      <c r="N164" s="13"/>
      <c r="O164" s="10">
        <v>0</v>
      </c>
      <c r="P164" s="10">
        <v>0</v>
      </c>
      <c r="Q164" s="14">
        <v>0</v>
      </c>
      <c r="R164" s="14">
        <v>0</v>
      </c>
      <c r="S164" s="10">
        <v>0</v>
      </c>
      <c r="T164" s="10">
        <v>0</v>
      </c>
      <c r="U164" s="14">
        <v>0</v>
      </c>
      <c r="V164" s="10">
        <v>0</v>
      </c>
      <c r="W164" s="11">
        <v>3</v>
      </c>
      <c r="X164" s="11">
        <v>3</v>
      </c>
      <c r="Y164" s="11">
        <v>0</v>
      </c>
      <c r="Z164" s="11">
        <v>0</v>
      </c>
      <c r="AA164" s="11">
        <f>MasterTable[[#This Row],[Landings
Night]]+MasterTable[[#This Row],[Landings
Day]]</f>
        <v>3</v>
      </c>
      <c r="AB164" s="10">
        <v>0</v>
      </c>
      <c r="AC164" s="10">
        <v>0</v>
      </c>
      <c r="AD164" s="11">
        <v>0</v>
      </c>
      <c r="AE164" s="21">
        <f>SUM(MasterTable[[#This Row],[ILS]:[PAR]])</f>
        <v>0</v>
      </c>
      <c r="AL164" s="11"/>
      <c r="AN164" s="27" t="s">
        <v>410</v>
      </c>
      <c r="AR164" s="140" t="str">
        <f>_xlfn.XLOOKUP(MasterTable[[#This Row],[Aircraft ID]],Aircraft!A:A,Aircraft!H:H)</f>
        <v>Airplane Single Engine Land</v>
      </c>
      <c r="AS164" s="8" t="b">
        <f>OR((SUM(MasterTable[[#This Row],[ILS]:[PAR]]) = MasterTable[[#This Row],[APPR]]))</f>
        <v>1</v>
      </c>
      <c r="AT164" s="8" t="b">
        <f>NOT(ISBLANK(MasterTable[[#This Row],[Total
Time]]))</f>
        <v>1</v>
      </c>
    </row>
    <row r="165" spans="4:46" ht="28.8" x14ac:dyDescent="0.3">
      <c r="D165" s="22">
        <v>45479</v>
      </c>
      <c r="E165" s="8" t="s">
        <v>139</v>
      </c>
      <c r="F165" s="8" t="s">
        <v>207</v>
      </c>
      <c r="G165" s="8" t="s">
        <v>207</v>
      </c>
      <c r="I165" s="10">
        <v>1</v>
      </c>
      <c r="J165" s="10">
        <v>1</v>
      </c>
      <c r="L165" s="10">
        <v>0</v>
      </c>
      <c r="M165" s="13">
        <v>0</v>
      </c>
      <c r="N165" s="13"/>
      <c r="O165" s="10">
        <v>0</v>
      </c>
      <c r="P165" s="10">
        <v>0</v>
      </c>
      <c r="Q165" s="14">
        <v>0</v>
      </c>
      <c r="R165" s="14">
        <v>0</v>
      </c>
      <c r="S165" s="10">
        <v>0</v>
      </c>
      <c r="T165" s="10">
        <v>0</v>
      </c>
      <c r="U165" s="14">
        <v>0</v>
      </c>
      <c r="V165" s="10">
        <v>0.8</v>
      </c>
      <c r="W165" s="11">
        <v>1</v>
      </c>
      <c r="X165" s="11">
        <v>1</v>
      </c>
      <c r="Y165" s="11">
        <v>0</v>
      </c>
      <c r="Z165" s="11">
        <v>0</v>
      </c>
      <c r="AA165" s="11">
        <f>MasterTable[[#This Row],[Landings
Night]]+MasterTable[[#This Row],[Landings
Day]]</f>
        <v>1</v>
      </c>
      <c r="AB165" s="10">
        <v>0</v>
      </c>
      <c r="AC165" s="10">
        <v>0</v>
      </c>
      <c r="AD165" s="11">
        <v>0</v>
      </c>
      <c r="AE165" s="21">
        <f>SUM(MasterTable[[#This Row],[ILS]:[PAR]])</f>
        <v>0</v>
      </c>
      <c r="AL165" s="11"/>
      <c r="AR165" s="140" t="str">
        <f>_xlfn.XLOOKUP(MasterTable[[#This Row],[Aircraft ID]],Aircraft!A:A,Aircraft!H:H)</f>
        <v>Airplane Single Engine Land</v>
      </c>
      <c r="AS165" s="8" t="b">
        <f>OR((SUM(MasterTable[[#This Row],[ILS]:[PAR]]) = MasterTable[[#This Row],[APPR]]))</f>
        <v>1</v>
      </c>
      <c r="AT165" s="8" t="b">
        <f>NOT(ISBLANK(MasterTable[[#This Row],[Total
Time]]))</f>
        <v>1</v>
      </c>
    </row>
    <row r="166" spans="4:46" ht="28.8" x14ac:dyDescent="0.3">
      <c r="D166" s="22">
        <v>45476</v>
      </c>
      <c r="E166" s="8" t="s">
        <v>139</v>
      </c>
      <c r="F166" s="8" t="s">
        <v>207</v>
      </c>
      <c r="G166" s="8" t="s">
        <v>207</v>
      </c>
      <c r="I166" s="10">
        <v>0.9</v>
      </c>
      <c r="J166" s="10">
        <v>0.9</v>
      </c>
      <c r="L166" s="10">
        <v>0</v>
      </c>
      <c r="M166" s="13">
        <v>0</v>
      </c>
      <c r="N166" s="13"/>
      <c r="O166" s="10">
        <v>0</v>
      </c>
      <c r="P166" s="10">
        <v>0</v>
      </c>
      <c r="Q166" s="14">
        <v>0</v>
      </c>
      <c r="R166" s="14">
        <v>0</v>
      </c>
      <c r="S166" s="10">
        <v>0</v>
      </c>
      <c r="T166" s="10">
        <v>0</v>
      </c>
      <c r="U166" s="14">
        <v>0</v>
      </c>
      <c r="V166" s="10">
        <v>0</v>
      </c>
      <c r="W166" s="11">
        <v>1</v>
      </c>
      <c r="X166" s="11">
        <v>1</v>
      </c>
      <c r="Y166" s="11">
        <v>0</v>
      </c>
      <c r="Z166" s="11">
        <v>0</v>
      </c>
      <c r="AA166" s="11">
        <f>MasterTable[[#This Row],[Landings
Night]]+MasterTable[[#This Row],[Landings
Day]]</f>
        <v>1</v>
      </c>
      <c r="AB166" s="10">
        <v>0</v>
      </c>
      <c r="AC166" s="10">
        <v>0</v>
      </c>
      <c r="AD166" s="11">
        <v>0</v>
      </c>
      <c r="AE166" s="21">
        <f>SUM(MasterTable[[#This Row],[ILS]:[PAR]])</f>
        <v>0</v>
      </c>
      <c r="AL166" s="11"/>
      <c r="AR166" s="140" t="str">
        <f>_xlfn.XLOOKUP(MasterTable[[#This Row],[Aircraft ID]],Aircraft!A:A,Aircraft!H:H)</f>
        <v>Airplane Single Engine Land</v>
      </c>
      <c r="AS166" s="8" t="b">
        <f>OR((SUM(MasterTable[[#This Row],[ILS]:[PAR]]) = MasterTable[[#This Row],[APPR]]))</f>
        <v>1</v>
      </c>
      <c r="AT166" s="8" t="b">
        <f>NOT(ISBLANK(MasterTable[[#This Row],[Total
Time]]))</f>
        <v>1</v>
      </c>
    </row>
    <row r="167" spans="4:46" ht="28.8" x14ac:dyDescent="0.3">
      <c r="D167" s="22">
        <v>45475</v>
      </c>
      <c r="E167" s="8" t="s">
        <v>139</v>
      </c>
      <c r="F167" s="8" t="s">
        <v>207</v>
      </c>
      <c r="G167" s="8" t="s">
        <v>207</v>
      </c>
      <c r="I167" s="10">
        <v>0.8</v>
      </c>
      <c r="J167" s="10">
        <v>0.8</v>
      </c>
      <c r="L167" s="10">
        <v>0</v>
      </c>
      <c r="M167" s="13">
        <v>0</v>
      </c>
      <c r="N167" s="13"/>
      <c r="O167" s="10">
        <v>0</v>
      </c>
      <c r="P167" s="10">
        <v>0</v>
      </c>
      <c r="Q167" s="14">
        <v>0</v>
      </c>
      <c r="R167" s="14">
        <v>0</v>
      </c>
      <c r="S167" s="10">
        <v>0</v>
      </c>
      <c r="T167" s="10">
        <v>0</v>
      </c>
      <c r="U167" s="14">
        <v>0</v>
      </c>
      <c r="V167" s="10">
        <v>0</v>
      </c>
      <c r="W167" s="11">
        <v>1</v>
      </c>
      <c r="X167" s="11">
        <v>1</v>
      </c>
      <c r="Y167" s="11">
        <v>0</v>
      </c>
      <c r="Z167" s="11">
        <v>0</v>
      </c>
      <c r="AA167" s="11">
        <f>MasterTable[[#This Row],[Landings
Night]]+MasterTable[[#This Row],[Landings
Day]]</f>
        <v>1</v>
      </c>
      <c r="AB167" s="10">
        <v>0</v>
      </c>
      <c r="AC167" s="10">
        <v>0</v>
      </c>
      <c r="AD167" s="11">
        <v>0</v>
      </c>
      <c r="AE167" s="21">
        <f>SUM(MasterTable[[#This Row],[ILS]:[PAR]])</f>
        <v>0</v>
      </c>
      <c r="AL167" s="11"/>
      <c r="AR167" s="140" t="str">
        <f>_xlfn.XLOOKUP(MasterTable[[#This Row],[Aircraft ID]],Aircraft!A:A,Aircraft!H:H)</f>
        <v>Airplane Single Engine Land</v>
      </c>
      <c r="AS167" s="8" t="b">
        <f>OR((SUM(MasterTable[[#This Row],[ILS]:[PAR]]) = MasterTable[[#This Row],[APPR]]))</f>
        <v>1</v>
      </c>
      <c r="AT167" s="8" t="b">
        <f>NOT(ISBLANK(MasterTable[[#This Row],[Total
Time]]))</f>
        <v>1</v>
      </c>
    </row>
    <row r="168" spans="4:46" ht="28.8" x14ac:dyDescent="0.3">
      <c r="D168" s="22">
        <v>45470</v>
      </c>
      <c r="E168" s="8" t="s">
        <v>146</v>
      </c>
      <c r="F168" s="8" t="s">
        <v>208</v>
      </c>
      <c r="G168" s="8" t="s">
        <v>207</v>
      </c>
      <c r="I168" s="10">
        <v>0.6</v>
      </c>
      <c r="J168" s="10">
        <v>0</v>
      </c>
      <c r="L168" s="10">
        <v>0.6</v>
      </c>
      <c r="M168" s="13">
        <v>0</v>
      </c>
      <c r="N168" s="13"/>
      <c r="O168" s="10">
        <v>0</v>
      </c>
      <c r="P168" s="10">
        <v>0</v>
      </c>
      <c r="Q168" s="14">
        <v>0</v>
      </c>
      <c r="R168" s="14">
        <v>0</v>
      </c>
      <c r="S168" s="10">
        <v>0</v>
      </c>
      <c r="T168" s="10">
        <v>0.6</v>
      </c>
      <c r="U168" s="14">
        <v>0</v>
      </c>
      <c r="V168" s="10">
        <v>0</v>
      </c>
      <c r="W168" s="11">
        <v>0</v>
      </c>
      <c r="X168" s="11">
        <v>0</v>
      </c>
      <c r="Y168" s="11">
        <v>0</v>
      </c>
      <c r="Z168" s="11">
        <v>0</v>
      </c>
      <c r="AA168" s="11">
        <f>MasterTable[[#This Row],[Landings
Night]]+MasterTable[[#This Row],[Landings
Day]]</f>
        <v>0</v>
      </c>
      <c r="AB168" s="10">
        <v>0</v>
      </c>
      <c r="AC168" s="10">
        <v>0</v>
      </c>
      <c r="AD168" s="11">
        <v>0</v>
      </c>
      <c r="AE168" s="21">
        <f>SUM(MasterTable[[#This Row],[ILS]:[PAR]])</f>
        <v>0</v>
      </c>
      <c r="AL168" s="11"/>
      <c r="AR168" s="140" t="str">
        <f>_xlfn.XLOOKUP(MasterTable[[#This Row],[Aircraft ID]],Aircraft!A:A,Aircraft!H:H)</f>
        <v>Airplane Multi Engine Land</v>
      </c>
      <c r="AS168" s="8" t="b">
        <f>OR((SUM(MasterTable[[#This Row],[ILS]:[PAR]]) = MasterTable[[#This Row],[APPR]]))</f>
        <v>1</v>
      </c>
      <c r="AT168" s="8" t="b">
        <f>NOT(ISBLANK(MasterTable[[#This Row],[Total
Time]]))</f>
        <v>1</v>
      </c>
    </row>
    <row r="169" spans="4:46" ht="28.8" x14ac:dyDescent="0.3">
      <c r="D169" s="22">
        <v>45470</v>
      </c>
      <c r="E169" s="8" t="s">
        <v>146</v>
      </c>
      <c r="F169" s="8" t="s">
        <v>207</v>
      </c>
      <c r="G169" s="8" t="s">
        <v>208</v>
      </c>
      <c r="I169" s="10">
        <v>0.8</v>
      </c>
      <c r="J169" s="10">
        <v>0</v>
      </c>
      <c r="L169" s="10">
        <v>0.8</v>
      </c>
      <c r="M169" s="13">
        <v>0</v>
      </c>
      <c r="N169" s="13"/>
      <c r="O169" s="10">
        <v>0</v>
      </c>
      <c r="P169" s="10">
        <v>0</v>
      </c>
      <c r="Q169" s="14">
        <v>0</v>
      </c>
      <c r="R169" s="14">
        <v>0</v>
      </c>
      <c r="S169" s="10">
        <v>0</v>
      </c>
      <c r="T169" s="10">
        <v>0.8</v>
      </c>
      <c r="U169" s="14">
        <v>0</v>
      </c>
      <c r="V169" s="10">
        <v>0</v>
      </c>
      <c r="W169" s="11">
        <v>1</v>
      </c>
      <c r="X169" s="11">
        <v>1</v>
      </c>
      <c r="Y169" s="11">
        <v>0</v>
      </c>
      <c r="Z169" s="11">
        <v>0</v>
      </c>
      <c r="AA169" s="11">
        <f>MasterTable[[#This Row],[Landings
Night]]+MasterTable[[#This Row],[Landings
Day]]</f>
        <v>1</v>
      </c>
      <c r="AB169" s="10">
        <v>0</v>
      </c>
      <c r="AC169" s="10">
        <v>0</v>
      </c>
      <c r="AD169" s="11">
        <v>0</v>
      </c>
      <c r="AE169" s="21">
        <f>SUM(MasterTable[[#This Row],[ILS]:[PAR]])</f>
        <v>0</v>
      </c>
      <c r="AL169" s="11"/>
      <c r="AR169" s="140" t="str">
        <f>_xlfn.XLOOKUP(MasterTable[[#This Row],[Aircraft ID]],Aircraft!A:A,Aircraft!H:H)</f>
        <v>Airplane Multi Engine Land</v>
      </c>
      <c r="AS169" s="8" t="b">
        <f>OR((SUM(MasterTable[[#This Row],[ILS]:[PAR]]) = MasterTable[[#This Row],[APPR]]))</f>
        <v>1</v>
      </c>
      <c r="AT169" s="8" t="b">
        <f>NOT(ISBLANK(MasterTable[[#This Row],[Total
Time]]))</f>
        <v>1</v>
      </c>
    </row>
    <row r="170" spans="4:46" ht="28.8" x14ac:dyDescent="0.3">
      <c r="D170" s="22">
        <v>45460</v>
      </c>
      <c r="E170" s="8" t="s">
        <v>146</v>
      </c>
      <c r="F170" s="8" t="s">
        <v>209</v>
      </c>
      <c r="G170" s="8" t="s">
        <v>207</v>
      </c>
      <c r="I170" s="10">
        <v>0.8</v>
      </c>
      <c r="J170" s="10">
        <v>0</v>
      </c>
      <c r="L170" s="10">
        <v>0.8</v>
      </c>
      <c r="M170" s="13">
        <v>0</v>
      </c>
      <c r="N170" s="13"/>
      <c r="O170" s="10">
        <v>0</v>
      </c>
      <c r="P170" s="10">
        <v>0</v>
      </c>
      <c r="Q170" s="14">
        <v>0</v>
      </c>
      <c r="R170" s="14">
        <v>0</v>
      </c>
      <c r="S170" s="10">
        <v>0</v>
      </c>
      <c r="T170" s="10">
        <v>0</v>
      </c>
      <c r="U170" s="14">
        <v>0</v>
      </c>
      <c r="V170" s="10">
        <v>0</v>
      </c>
      <c r="W170" s="11">
        <v>0</v>
      </c>
      <c r="X170" s="11">
        <v>0</v>
      </c>
      <c r="Y170" s="11">
        <v>0</v>
      </c>
      <c r="Z170" s="11">
        <v>0</v>
      </c>
      <c r="AA170" s="11">
        <f>MasterTable[[#This Row],[Landings
Night]]+MasterTable[[#This Row],[Landings
Day]]</f>
        <v>0</v>
      </c>
      <c r="AB170" s="10">
        <v>0</v>
      </c>
      <c r="AC170" s="10">
        <v>0</v>
      </c>
      <c r="AD170" s="11">
        <v>0</v>
      </c>
      <c r="AE170" s="21">
        <f>SUM(MasterTable[[#This Row],[ILS]:[PAR]])</f>
        <v>0</v>
      </c>
      <c r="AL170" s="11"/>
      <c r="AR170" s="140" t="str">
        <f>_xlfn.XLOOKUP(MasterTable[[#This Row],[Aircraft ID]],Aircraft!A:A,Aircraft!H:H)</f>
        <v>Airplane Multi Engine Land</v>
      </c>
      <c r="AS170" s="8" t="b">
        <f>OR((SUM(MasterTable[[#This Row],[ILS]:[PAR]]) = MasterTable[[#This Row],[APPR]]))</f>
        <v>1</v>
      </c>
      <c r="AT170" s="8" t="b">
        <f>NOT(ISBLANK(MasterTable[[#This Row],[Total
Time]]))</f>
        <v>1</v>
      </c>
    </row>
    <row r="171" spans="4:46" ht="28.8" x14ac:dyDescent="0.3">
      <c r="D171" s="22">
        <v>45460</v>
      </c>
      <c r="E171" s="8" t="s">
        <v>133</v>
      </c>
      <c r="F171" s="8" t="s">
        <v>207</v>
      </c>
      <c r="G171" s="8" t="s">
        <v>209</v>
      </c>
      <c r="I171" s="10">
        <v>0.9</v>
      </c>
      <c r="J171" s="10">
        <v>0</v>
      </c>
      <c r="L171" s="10">
        <v>0.9</v>
      </c>
      <c r="M171" s="13">
        <v>0</v>
      </c>
      <c r="N171" s="13"/>
      <c r="O171" s="10">
        <v>0</v>
      </c>
      <c r="P171" s="10">
        <v>0</v>
      </c>
      <c r="Q171" s="14">
        <v>0</v>
      </c>
      <c r="R171" s="14">
        <v>0</v>
      </c>
      <c r="S171" s="10">
        <v>0</v>
      </c>
      <c r="T171" s="10">
        <v>0</v>
      </c>
      <c r="U171" s="14">
        <v>0</v>
      </c>
      <c r="V171" s="10">
        <v>0.9</v>
      </c>
      <c r="W171" s="11">
        <v>1</v>
      </c>
      <c r="X171" s="11">
        <v>1</v>
      </c>
      <c r="Y171" s="11">
        <v>0</v>
      </c>
      <c r="Z171" s="11">
        <v>0</v>
      </c>
      <c r="AA171" s="11">
        <f>MasterTable[[#This Row],[Landings
Night]]+MasterTable[[#This Row],[Landings
Day]]</f>
        <v>1</v>
      </c>
      <c r="AB171" s="10">
        <v>0</v>
      </c>
      <c r="AC171" s="10">
        <v>0</v>
      </c>
      <c r="AD171" s="11">
        <v>0</v>
      </c>
      <c r="AE171" s="21">
        <f>SUM(MasterTable[[#This Row],[ILS]:[PAR]])</f>
        <v>0</v>
      </c>
      <c r="AL171" s="11"/>
      <c r="AR171" s="140" t="str">
        <f>_xlfn.XLOOKUP(MasterTable[[#This Row],[Aircraft ID]],Aircraft!A:A,Aircraft!H:H)</f>
        <v>Airplane Multi Engine Land</v>
      </c>
      <c r="AS171" s="8" t="b">
        <f>OR((SUM(MasterTable[[#This Row],[ILS]:[PAR]]) = MasterTable[[#This Row],[APPR]]))</f>
        <v>1</v>
      </c>
      <c r="AT171" s="8" t="b">
        <f>NOT(ISBLANK(MasterTable[[#This Row],[Total
Time]]))</f>
        <v>1</v>
      </c>
    </row>
    <row r="172" spans="4:46" ht="28.8" x14ac:dyDescent="0.3">
      <c r="D172" s="22">
        <v>45458</v>
      </c>
      <c r="E172" s="8" t="s">
        <v>174</v>
      </c>
      <c r="F172" s="8" t="s">
        <v>206</v>
      </c>
      <c r="G172" s="8" t="s">
        <v>202</v>
      </c>
      <c r="I172" s="10">
        <v>2.1</v>
      </c>
      <c r="J172" s="10">
        <v>2.1</v>
      </c>
      <c r="L172" s="10">
        <v>0</v>
      </c>
      <c r="M172" s="13">
        <v>0</v>
      </c>
      <c r="N172" s="13"/>
      <c r="O172" s="10">
        <v>0</v>
      </c>
      <c r="P172" s="10">
        <v>0</v>
      </c>
      <c r="Q172" s="14">
        <v>0</v>
      </c>
      <c r="R172" s="14">
        <v>0</v>
      </c>
      <c r="S172" s="10">
        <v>0</v>
      </c>
      <c r="T172" s="10">
        <v>2.1</v>
      </c>
      <c r="U172" s="14">
        <v>0</v>
      </c>
      <c r="V172" s="10"/>
      <c r="W172" s="11">
        <v>1</v>
      </c>
      <c r="X172" s="11">
        <v>1</v>
      </c>
      <c r="Y172" s="11">
        <v>0</v>
      </c>
      <c r="Z172" s="11">
        <v>0</v>
      </c>
      <c r="AA172" s="11">
        <f>MasterTable[[#This Row],[Landings
Night]]+MasterTable[[#This Row],[Landings
Day]]</f>
        <v>1</v>
      </c>
      <c r="AB172" s="10">
        <v>0</v>
      </c>
      <c r="AC172" s="10">
        <v>0</v>
      </c>
      <c r="AD172" s="11">
        <v>0</v>
      </c>
      <c r="AE172" s="21">
        <f>SUM(MasterTable[[#This Row],[ILS]:[PAR]])</f>
        <v>0</v>
      </c>
      <c r="AL172" s="11"/>
      <c r="AR172" s="140" t="str">
        <f>_xlfn.XLOOKUP(MasterTable[[#This Row],[Aircraft ID]],Aircraft!A:A,Aircraft!H:H)</f>
        <v>Airplane Single Engine Land</v>
      </c>
      <c r="AS172" s="8" t="b">
        <f>OR((SUM(MasterTable[[#This Row],[ILS]:[PAR]]) = MasterTable[[#This Row],[APPR]]))</f>
        <v>1</v>
      </c>
      <c r="AT172" s="8" t="b">
        <f>NOT(ISBLANK(MasterTable[[#This Row],[Total
Time]]))</f>
        <v>1</v>
      </c>
    </row>
    <row r="173" spans="4:46" ht="28.8" x14ac:dyDescent="0.3">
      <c r="D173" s="22">
        <v>45453</v>
      </c>
      <c r="E173" s="8" t="s">
        <v>139</v>
      </c>
      <c r="F173" s="8" t="s">
        <v>207</v>
      </c>
      <c r="G173" s="8" t="s">
        <v>207</v>
      </c>
      <c r="I173" s="10">
        <v>0.7</v>
      </c>
      <c r="J173" s="10">
        <v>0.7</v>
      </c>
      <c r="L173" s="10">
        <v>0</v>
      </c>
      <c r="M173" s="13">
        <v>0</v>
      </c>
      <c r="N173" s="13"/>
      <c r="O173" s="10">
        <v>0</v>
      </c>
      <c r="P173" s="10">
        <v>0</v>
      </c>
      <c r="Q173" s="14">
        <v>0</v>
      </c>
      <c r="R173" s="14">
        <v>0</v>
      </c>
      <c r="T173" s="10">
        <v>0</v>
      </c>
      <c r="U173" s="14">
        <v>0</v>
      </c>
      <c r="V173" s="10">
        <v>0</v>
      </c>
      <c r="W173" s="11">
        <v>1</v>
      </c>
      <c r="X173" s="11">
        <v>1</v>
      </c>
      <c r="Y173" s="11">
        <v>0</v>
      </c>
      <c r="Z173" s="11">
        <v>0</v>
      </c>
      <c r="AA173" s="11">
        <f>MasterTable[[#This Row],[Landings
Night]]+MasterTable[[#This Row],[Landings
Day]]</f>
        <v>1</v>
      </c>
      <c r="AB173" s="10">
        <v>0</v>
      </c>
      <c r="AC173" s="10">
        <v>0</v>
      </c>
      <c r="AD173" s="11">
        <v>0</v>
      </c>
      <c r="AE173" s="21">
        <f>SUM(MasterTable[[#This Row],[ILS]:[PAR]])</f>
        <v>0</v>
      </c>
      <c r="AL173" s="11"/>
      <c r="AR173" s="140" t="str">
        <f>_xlfn.XLOOKUP(MasterTable[[#This Row],[Aircraft ID]],Aircraft!A:A,Aircraft!H:H)</f>
        <v>Airplane Single Engine Land</v>
      </c>
      <c r="AS173" s="8" t="b">
        <f>OR((SUM(MasterTable[[#This Row],[ILS]:[PAR]]) = MasterTable[[#This Row],[APPR]]))</f>
        <v>1</v>
      </c>
      <c r="AT173" s="8" t="b">
        <f>NOT(ISBLANK(MasterTable[[#This Row],[Total
Time]]))</f>
        <v>1</v>
      </c>
    </row>
    <row r="174" spans="4:46" ht="28.8" x14ac:dyDescent="0.3">
      <c r="D174" s="22">
        <v>45449</v>
      </c>
      <c r="E174" s="8" t="s">
        <v>139</v>
      </c>
      <c r="F174" s="8" t="s">
        <v>207</v>
      </c>
      <c r="G174" s="8" t="s">
        <v>207</v>
      </c>
      <c r="I174" s="10">
        <v>1</v>
      </c>
      <c r="J174" s="10">
        <v>1</v>
      </c>
      <c r="L174" s="10">
        <v>0</v>
      </c>
      <c r="M174" s="13">
        <v>0</v>
      </c>
      <c r="N174" s="13"/>
      <c r="O174" s="10">
        <v>0</v>
      </c>
      <c r="P174" s="10">
        <v>0</v>
      </c>
      <c r="Q174" s="14">
        <v>0</v>
      </c>
      <c r="R174" s="14">
        <v>0</v>
      </c>
      <c r="S174" s="10">
        <v>0</v>
      </c>
      <c r="T174" s="10">
        <v>0</v>
      </c>
      <c r="U174" s="14">
        <v>0</v>
      </c>
      <c r="V174" s="10"/>
      <c r="W174" s="11">
        <v>1</v>
      </c>
      <c r="X174" s="11">
        <v>1</v>
      </c>
      <c r="Y174" s="11">
        <v>0</v>
      </c>
      <c r="Z174" s="11">
        <v>0</v>
      </c>
      <c r="AA174" s="11">
        <f>MasterTable[[#This Row],[Landings
Night]]+MasterTable[[#This Row],[Landings
Day]]</f>
        <v>1</v>
      </c>
      <c r="AB174" s="10">
        <v>0</v>
      </c>
      <c r="AC174" s="10">
        <v>0</v>
      </c>
      <c r="AD174" s="11">
        <v>0</v>
      </c>
      <c r="AE174" s="21">
        <f>SUM(MasterTable[[#This Row],[ILS]:[PAR]])</f>
        <v>0</v>
      </c>
      <c r="AL174" s="11"/>
      <c r="AR174" s="140" t="str">
        <f>_xlfn.XLOOKUP(MasterTable[[#This Row],[Aircraft ID]],Aircraft!A:A,Aircraft!H:H)</f>
        <v>Airplane Single Engine Land</v>
      </c>
      <c r="AS174" s="8" t="b">
        <f>OR((SUM(MasterTable[[#This Row],[ILS]:[PAR]]) = MasterTable[[#This Row],[APPR]]))</f>
        <v>1</v>
      </c>
      <c r="AT174" s="8" t="b">
        <f>NOT(ISBLANK(MasterTable[[#This Row],[Total
Time]]))</f>
        <v>1</v>
      </c>
    </row>
    <row r="175" spans="4:46" ht="28.8" x14ac:dyDescent="0.3">
      <c r="D175" s="22">
        <v>45447</v>
      </c>
      <c r="E175" s="8" t="s">
        <v>170</v>
      </c>
      <c r="F175" s="8" t="s">
        <v>210</v>
      </c>
      <c r="G175" s="8" t="s">
        <v>206</v>
      </c>
      <c r="I175" s="10">
        <v>0.9</v>
      </c>
      <c r="J175" s="10">
        <v>0.9</v>
      </c>
      <c r="L175" s="10">
        <v>0</v>
      </c>
      <c r="M175" s="13">
        <v>0</v>
      </c>
      <c r="N175" s="13"/>
      <c r="O175" s="10">
        <v>0</v>
      </c>
      <c r="P175" s="10">
        <v>0</v>
      </c>
      <c r="Q175" s="14">
        <v>0</v>
      </c>
      <c r="R175" s="14">
        <v>0</v>
      </c>
      <c r="S175" s="10">
        <v>0</v>
      </c>
      <c r="T175" s="10">
        <v>0.9</v>
      </c>
      <c r="U175" s="14">
        <v>0</v>
      </c>
      <c r="V175" s="10">
        <v>0.9</v>
      </c>
      <c r="W175" s="11">
        <v>1</v>
      </c>
      <c r="X175" s="11">
        <v>1</v>
      </c>
      <c r="Y175" s="11">
        <v>0</v>
      </c>
      <c r="Z175" s="11">
        <v>0</v>
      </c>
      <c r="AA175" s="11">
        <f>MasterTable[[#This Row],[Landings
Night]]+MasterTable[[#This Row],[Landings
Day]]</f>
        <v>1</v>
      </c>
      <c r="AB175" s="10">
        <v>0</v>
      </c>
      <c r="AC175" s="10">
        <v>0</v>
      </c>
      <c r="AD175" s="11">
        <v>0</v>
      </c>
      <c r="AE175" s="21">
        <f>SUM(MasterTable[[#This Row],[ILS]:[PAR]])</f>
        <v>0</v>
      </c>
      <c r="AL175" s="11"/>
      <c r="AR175" s="140" t="str">
        <f>_xlfn.XLOOKUP(MasterTable[[#This Row],[Aircraft ID]],Aircraft!A:A,Aircraft!H:H)</f>
        <v>Airplane Single Engine Land</v>
      </c>
      <c r="AS175" s="8" t="b">
        <f>OR((SUM(MasterTable[[#This Row],[ILS]:[PAR]]) = MasterTable[[#This Row],[APPR]]))</f>
        <v>1</v>
      </c>
      <c r="AT175" s="8" t="b">
        <f>NOT(ISBLANK(MasterTable[[#This Row],[Total
Time]]))</f>
        <v>1</v>
      </c>
    </row>
    <row r="176" spans="4:46" ht="28.8" x14ac:dyDescent="0.3">
      <c r="D176" s="22">
        <v>45447</v>
      </c>
      <c r="E176" s="8" t="s">
        <v>170</v>
      </c>
      <c r="F176" s="8" t="s">
        <v>211</v>
      </c>
      <c r="G176" s="8" t="s">
        <v>210</v>
      </c>
      <c r="I176" s="10">
        <v>1.1000000000000001</v>
      </c>
      <c r="J176" s="10">
        <v>1.1000000000000001</v>
      </c>
      <c r="L176" s="10">
        <v>0</v>
      </c>
      <c r="M176" s="13">
        <v>0</v>
      </c>
      <c r="N176" s="13"/>
      <c r="O176" s="10">
        <v>0</v>
      </c>
      <c r="P176" s="10">
        <v>0</v>
      </c>
      <c r="Q176" s="14">
        <v>0</v>
      </c>
      <c r="R176" s="14">
        <v>0</v>
      </c>
      <c r="S176" s="10">
        <v>0</v>
      </c>
      <c r="T176" s="10">
        <v>1.1000000000000001</v>
      </c>
      <c r="U176" s="14">
        <v>0</v>
      </c>
      <c r="V176" s="10">
        <v>1.1000000000000001</v>
      </c>
      <c r="W176" s="11">
        <v>2</v>
      </c>
      <c r="X176" s="11">
        <v>2</v>
      </c>
      <c r="Y176" s="11">
        <v>0</v>
      </c>
      <c r="Z176" s="11">
        <v>0</v>
      </c>
      <c r="AA176" s="11">
        <f>MasterTable[[#This Row],[Landings
Night]]+MasterTable[[#This Row],[Landings
Day]]</f>
        <v>2</v>
      </c>
      <c r="AB176" s="10">
        <v>0</v>
      </c>
      <c r="AC176" s="10">
        <v>0</v>
      </c>
      <c r="AD176" s="11">
        <v>0</v>
      </c>
      <c r="AE176" s="21">
        <f>SUM(MasterTable[[#This Row],[ILS]:[PAR]])</f>
        <v>0</v>
      </c>
      <c r="AL176" s="11"/>
      <c r="AR176" s="140" t="str">
        <f>_xlfn.XLOOKUP(MasterTable[[#This Row],[Aircraft ID]],Aircraft!A:A,Aircraft!H:H)</f>
        <v>Airplane Single Engine Land</v>
      </c>
      <c r="AS176" s="8" t="b">
        <f>OR((SUM(MasterTable[[#This Row],[ILS]:[PAR]]) = MasterTable[[#This Row],[APPR]]))</f>
        <v>1</v>
      </c>
      <c r="AT176" s="8" t="b">
        <f>NOT(ISBLANK(MasterTable[[#This Row],[Total
Time]]))</f>
        <v>1</v>
      </c>
    </row>
    <row r="177" spans="4:46" ht="28.8" x14ac:dyDescent="0.3">
      <c r="D177" s="22">
        <v>45447</v>
      </c>
      <c r="E177" s="8" t="s">
        <v>170</v>
      </c>
      <c r="F177" s="8" t="s">
        <v>212</v>
      </c>
      <c r="G177" s="8" t="s">
        <v>211</v>
      </c>
      <c r="I177" s="10">
        <v>1.4</v>
      </c>
      <c r="J177" s="10">
        <v>1.4</v>
      </c>
      <c r="L177" s="10">
        <v>0</v>
      </c>
      <c r="M177" s="13">
        <v>0</v>
      </c>
      <c r="N177" s="13"/>
      <c r="O177" s="10">
        <v>0</v>
      </c>
      <c r="P177" s="10">
        <v>0</v>
      </c>
      <c r="Q177" s="14">
        <v>0</v>
      </c>
      <c r="R177" s="14">
        <v>0</v>
      </c>
      <c r="S177" s="10">
        <v>0</v>
      </c>
      <c r="T177" s="10">
        <v>1.4</v>
      </c>
      <c r="U177" s="14">
        <v>0</v>
      </c>
      <c r="V177" s="10">
        <v>1.2</v>
      </c>
      <c r="W177" s="11">
        <v>1</v>
      </c>
      <c r="X177" s="11">
        <v>1</v>
      </c>
      <c r="Y177" s="11">
        <v>0</v>
      </c>
      <c r="Z177" s="11">
        <v>0</v>
      </c>
      <c r="AA177" s="11">
        <f>MasterTable[[#This Row],[Landings
Night]]+MasterTable[[#This Row],[Landings
Day]]</f>
        <v>1</v>
      </c>
      <c r="AB177" s="10">
        <v>0</v>
      </c>
      <c r="AC177" s="10">
        <v>0</v>
      </c>
      <c r="AD177" s="11">
        <v>0</v>
      </c>
      <c r="AE177" s="21">
        <f>SUM(MasterTable[[#This Row],[ILS]:[PAR]])</f>
        <v>0</v>
      </c>
      <c r="AL177" s="11"/>
      <c r="AR177" s="140" t="str">
        <f>_xlfn.XLOOKUP(MasterTable[[#This Row],[Aircraft ID]],Aircraft!A:A,Aircraft!H:H)</f>
        <v>Airplane Single Engine Land</v>
      </c>
      <c r="AS177" s="8" t="b">
        <f>OR((SUM(MasterTable[[#This Row],[ILS]:[PAR]]) = MasterTable[[#This Row],[APPR]]))</f>
        <v>1</v>
      </c>
      <c r="AT177" s="8" t="b">
        <f>NOT(ISBLANK(MasterTable[[#This Row],[Total
Time]]))</f>
        <v>1</v>
      </c>
    </row>
    <row r="178" spans="4:46" ht="28.8" x14ac:dyDescent="0.3">
      <c r="D178" s="22">
        <v>45445</v>
      </c>
      <c r="E178" s="8" t="s">
        <v>174</v>
      </c>
      <c r="F178" s="8" t="s">
        <v>213</v>
      </c>
      <c r="G178" s="8" t="s">
        <v>206</v>
      </c>
      <c r="I178" s="10">
        <v>0.5</v>
      </c>
      <c r="J178" s="10">
        <v>0.5</v>
      </c>
      <c r="L178" s="10">
        <v>0</v>
      </c>
      <c r="M178" s="13">
        <v>0</v>
      </c>
      <c r="N178" s="13"/>
      <c r="O178" s="10">
        <v>0</v>
      </c>
      <c r="P178" s="10">
        <v>0</v>
      </c>
      <c r="Q178" s="14">
        <v>0</v>
      </c>
      <c r="R178" s="14">
        <v>0</v>
      </c>
      <c r="S178" s="10">
        <v>0</v>
      </c>
      <c r="T178" s="10">
        <v>0</v>
      </c>
      <c r="U178" s="14">
        <v>0</v>
      </c>
      <c r="V178" s="10">
        <v>0.4</v>
      </c>
      <c r="W178" s="11">
        <v>1</v>
      </c>
      <c r="X178" s="11">
        <v>1</v>
      </c>
      <c r="Y178" s="11">
        <v>0</v>
      </c>
      <c r="Z178" s="11">
        <v>0</v>
      </c>
      <c r="AA178" s="11">
        <f>MasterTable[[#This Row],[Landings
Night]]+MasterTable[[#This Row],[Landings
Day]]</f>
        <v>1</v>
      </c>
      <c r="AB178" s="10">
        <v>0</v>
      </c>
      <c r="AC178" s="10">
        <v>0</v>
      </c>
      <c r="AD178" s="11">
        <v>0</v>
      </c>
      <c r="AE178" s="21">
        <f>SUM(MasterTable[[#This Row],[ILS]:[PAR]])</f>
        <v>0</v>
      </c>
      <c r="AL178" s="11"/>
      <c r="AR178" s="140" t="str">
        <f>_xlfn.XLOOKUP(MasterTable[[#This Row],[Aircraft ID]],Aircraft!A:A,Aircraft!H:H)</f>
        <v>Airplane Single Engine Land</v>
      </c>
      <c r="AS178" s="8" t="b">
        <f>OR((SUM(MasterTable[[#This Row],[ILS]:[PAR]]) = MasterTable[[#This Row],[APPR]]))</f>
        <v>1</v>
      </c>
      <c r="AT178" s="8" t="b">
        <f>NOT(ISBLANK(MasterTable[[#This Row],[Total
Time]]))</f>
        <v>1</v>
      </c>
    </row>
    <row r="179" spans="4:46" ht="28.8" x14ac:dyDescent="0.3">
      <c r="D179" s="22">
        <v>45443</v>
      </c>
      <c r="E179" s="8" t="s">
        <v>139</v>
      </c>
      <c r="F179" s="8" t="s">
        <v>207</v>
      </c>
      <c r="G179" s="8" t="s">
        <v>207</v>
      </c>
      <c r="I179" s="10">
        <v>0.6</v>
      </c>
      <c r="J179" s="10">
        <v>0.6</v>
      </c>
      <c r="M179" s="13">
        <v>0</v>
      </c>
      <c r="N179" s="13"/>
      <c r="Q179" s="14">
        <v>0</v>
      </c>
      <c r="R179" s="14">
        <v>0</v>
      </c>
      <c r="U179" s="14">
        <v>0</v>
      </c>
      <c r="V179" s="10"/>
      <c r="W179" s="11">
        <v>1</v>
      </c>
      <c r="X179" s="11">
        <v>1</v>
      </c>
      <c r="AA179" s="11">
        <f>MasterTable[[#This Row],[Landings
Night]]+MasterTable[[#This Row],[Landings
Day]]</f>
        <v>1</v>
      </c>
      <c r="AE179" s="21">
        <f>SUM(MasterTable[[#This Row],[ILS]:[PAR]])</f>
        <v>0</v>
      </c>
      <c r="AL179" s="11"/>
      <c r="AR179" s="140" t="str">
        <f>_xlfn.XLOOKUP(MasterTable[[#This Row],[Aircraft ID]],Aircraft!A:A,Aircraft!H:H)</f>
        <v>Airplane Single Engine Land</v>
      </c>
      <c r="AS179" s="8" t="b">
        <f>OR((SUM(MasterTable[[#This Row],[ILS]:[PAR]]) = MasterTable[[#This Row],[APPR]]))</f>
        <v>1</v>
      </c>
      <c r="AT179" s="8" t="b">
        <f>NOT(ISBLANK(MasterTable[[#This Row],[Total
Time]]))</f>
        <v>1</v>
      </c>
    </row>
    <row r="180" spans="4:46" ht="28.8" x14ac:dyDescent="0.3">
      <c r="D180" s="22">
        <v>45440</v>
      </c>
      <c r="E180" s="8" t="s">
        <v>139</v>
      </c>
      <c r="F180" s="8" t="s">
        <v>206</v>
      </c>
      <c r="G180" s="8" t="s">
        <v>207</v>
      </c>
      <c r="I180" s="10">
        <v>0.8</v>
      </c>
      <c r="J180" s="10">
        <v>0.8</v>
      </c>
      <c r="M180" s="13">
        <v>0</v>
      </c>
      <c r="N180" s="13"/>
      <c r="Q180" s="14">
        <v>0</v>
      </c>
      <c r="R180" s="14">
        <v>0</v>
      </c>
      <c r="U180" s="14">
        <v>0</v>
      </c>
      <c r="V180" s="10"/>
      <c r="W180" s="11">
        <v>1</v>
      </c>
      <c r="X180" s="11">
        <v>1</v>
      </c>
      <c r="AA180" s="11">
        <f>MasterTable[[#This Row],[Landings
Night]]+MasterTable[[#This Row],[Landings
Day]]</f>
        <v>1</v>
      </c>
      <c r="AE180" s="21">
        <f>SUM(MasterTable[[#This Row],[ILS]:[PAR]])</f>
        <v>0</v>
      </c>
      <c r="AL180" s="11"/>
      <c r="AR180" s="140" t="str">
        <f>_xlfn.XLOOKUP(MasterTable[[#This Row],[Aircraft ID]],Aircraft!A:A,Aircraft!H:H)</f>
        <v>Airplane Single Engine Land</v>
      </c>
      <c r="AS180" s="8" t="b">
        <f>OR((SUM(MasterTable[[#This Row],[ILS]:[PAR]]) = MasterTable[[#This Row],[APPR]]))</f>
        <v>1</v>
      </c>
      <c r="AT180" s="8" t="b">
        <f>NOT(ISBLANK(MasterTable[[#This Row],[Total
Time]]))</f>
        <v>1</v>
      </c>
    </row>
    <row r="181" spans="4:46" ht="28.8" x14ac:dyDescent="0.3">
      <c r="D181" s="22">
        <v>45439</v>
      </c>
      <c r="E181" s="8" t="s">
        <v>174</v>
      </c>
      <c r="F181" s="8" t="s">
        <v>206</v>
      </c>
      <c r="G181" s="8" t="s">
        <v>213</v>
      </c>
      <c r="I181" s="10">
        <v>0.4</v>
      </c>
      <c r="J181" s="10">
        <v>0.4</v>
      </c>
      <c r="M181" s="13">
        <v>0</v>
      </c>
      <c r="N181" s="13"/>
      <c r="Q181" s="14">
        <v>0</v>
      </c>
      <c r="R181" s="14">
        <v>0</v>
      </c>
      <c r="U181" s="14">
        <v>0</v>
      </c>
      <c r="V181" s="10"/>
      <c r="W181" s="11">
        <v>1</v>
      </c>
      <c r="X181" s="11">
        <v>1</v>
      </c>
      <c r="AA181" s="11">
        <f>MasterTable[[#This Row],[Landings
Night]]+MasterTable[[#This Row],[Landings
Day]]</f>
        <v>1</v>
      </c>
      <c r="AE181" s="21">
        <f>SUM(MasterTable[[#This Row],[ILS]:[PAR]])</f>
        <v>0</v>
      </c>
      <c r="AL181" s="11"/>
      <c r="AR181" s="140" t="str">
        <f>_xlfn.XLOOKUP(MasterTable[[#This Row],[Aircraft ID]],Aircraft!A:A,Aircraft!H:H)</f>
        <v>Airplane Single Engine Land</v>
      </c>
      <c r="AS181" s="8" t="b">
        <f>OR((SUM(MasterTable[[#This Row],[ILS]:[PAR]]) = MasterTable[[#This Row],[APPR]]))</f>
        <v>1</v>
      </c>
      <c r="AT181" s="8" t="b">
        <f>NOT(ISBLANK(MasterTable[[#This Row],[Total
Time]]))</f>
        <v>1</v>
      </c>
    </row>
    <row r="182" spans="4:46" ht="28.8" x14ac:dyDescent="0.3">
      <c r="D182" s="22">
        <v>45439</v>
      </c>
      <c r="E182" s="8" t="s">
        <v>174</v>
      </c>
      <c r="F182" s="8" t="s">
        <v>214</v>
      </c>
      <c r="G182" s="8" t="s">
        <v>206</v>
      </c>
      <c r="I182" s="10">
        <v>1.2</v>
      </c>
      <c r="J182" s="10">
        <v>1.2</v>
      </c>
      <c r="M182" s="13">
        <v>0</v>
      </c>
      <c r="N182" s="13"/>
      <c r="Q182" s="14">
        <v>0</v>
      </c>
      <c r="R182" s="14">
        <v>0</v>
      </c>
      <c r="T182" s="10">
        <v>1.2</v>
      </c>
      <c r="U182" s="14">
        <v>0</v>
      </c>
      <c r="V182" s="10"/>
      <c r="W182" s="11">
        <v>1</v>
      </c>
      <c r="X182" s="11">
        <v>1</v>
      </c>
      <c r="AA182" s="11">
        <f>MasterTable[[#This Row],[Landings
Night]]+MasterTable[[#This Row],[Landings
Day]]</f>
        <v>1</v>
      </c>
      <c r="AE182" s="21">
        <f>SUM(MasterTable[[#This Row],[ILS]:[PAR]])</f>
        <v>0</v>
      </c>
      <c r="AL182" s="11"/>
      <c r="AR182" s="140" t="str">
        <f>_xlfn.XLOOKUP(MasterTable[[#This Row],[Aircraft ID]],Aircraft!A:A,Aircraft!H:H)</f>
        <v>Airplane Single Engine Land</v>
      </c>
      <c r="AS182" s="8" t="b">
        <f>OR((SUM(MasterTable[[#This Row],[ILS]:[PAR]]) = MasterTable[[#This Row],[APPR]]))</f>
        <v>1</v>
      </c>
      <c r="AT182" s="8" t="b">
        <f>NOT(ISBLANK(MasterTable[[#This Row],[Total
Time]]))</f>
        <v>1</v>
      </c>
    </row>
    <row r="183" spans="4:46" ht="28.8" x14ac:dyDescent="0.3">
      <c r="D183" s="22">
        <v>45438</v>
      </c>
      <c r="E183" s="8" t="s">
        <v>174</v>
      </c>
      <c r="F183" s="8" t="s">
        <v>204</v>
      </c>
      <c r="G183" s="8" t="s">
        <v>214</v>
      </c>
      <c r="I183" s="10">
        <v>0.4</v>
      </c>
      <c r="J183" s="10">
        <v>0.4</v>
      </c>
      <c r="M183" s="13">
        <v>0</v>
      </c>
      <c r="N183" s="13"/>
      <c r="Q183" s="14">
        <v>0</v>
      </c>
      <c r="R183" s="14">
        <v>0</v>
      </c>
      <c r="U183" s="14">
        <v>0</v>
      </c>
      <c r="V183" s="10"/>
      <c r="W183" s="11">
        <v>1</v>
      </c>
      <c r="X183" s="11">
        <v>1</v>
      </c>
      <c r="AA183" s="11">
        <f>MasterTable[[#This Row],[Landings
Night]]+MasterTable[[#This Row],[Landings
Day]]</f>
        <v>1</v>
      </c>
      <c r="AE183" s="21">
        <f>SUM(MasterTable[[#This Row],[ILS]:[PAR]])</f>
        <v>0</v>
      </c>
      <c r="AL183" s="11"/>
      <c r="AR183" s="140" t="str">
        <f>_xlfn.XLOOKUP(MasterTable[[#This Row],[Aircraft ID]],Aircraft!A:A,Aircraft!H:H)</f>
        <v>Airplane Single Engine Land</v>
      </c>
      <c r="AS183" s="8" t="b">
        <f>OR((SUM(MasterTable[[#This Row],[ILS]:[PAR]]) = MasterTable[[#This Row],[APPR]]))</f>
        <v>1</v>
      </c>
      <c r="AT183" s="8" t="b">
        <f>NOT(ISBLANK(MasterTable[[#This Row],[Total
Time]]))</f>
        <v>1</v>
      </c>
    </row>
    <row r="184" spans="4:46" ht="28.8" x14ac:dyDescent="0.3">
      <c r="D184" s="22">
        <v>45438</v>
      </c>
      <c r="E184" s="8" t="s">
        <v>174</v>
      </c>
      <c r="F184" s="8" t="s">
        <v>206</v>
      </c>
      <c r="G184" s="8" t="s">
        <v>204</v>
      </c>
      <c r="I184" s="10">
        <v>1</v>
      </c>
      <c r="J184" s="10">
        <v>1</v>
      </c>
      <c r="L184" s="10">
        <v>0</v>
      </c>
      <c r="M184" s="13">
        <v>0</v>
      </c>
      <c r="N184" s="13"/>
      <c r="O184" s="10">
        <v>0</v>
      </c>
      <c r="P184" s="10">
        <v>0</v>
      </c>
      <c r="Q184" s="14">
        <v>0</v>
      </c>
      <c r="R184" s="14">
        <v>0</v>
      </c>
      <c r="S184" s="10">
        <v>0</v>
      </c>
      <c r="T184" s="10">
        <v>1</v>
      </c>
      <c r="U184" s="14">
        <v>0</v>
      </c>
      <c r="V184" s="10"/>
      <c r="W184" s="11">
        <v>1</v>
      </c>
      <c r="X184" s="11">
        <v>1</v>
      </c>
      <c r="Y184" s="11">
        <v>0</v>
      </c>
      <c r="Z184" s="11">
        <v>0</v>
      </c>
      <c r="AA184" s="11">
        <f>MasterTable[[#This Row],[Landings
Night]]+MasterTable[[#This Row],[Landings
Day]]</f>
        <v>1</v>
      </c>
      <c r="AB184" s="10">
        <v>0</v>
      </c>
      <c r="AC184" s="10">
        <v>0</v>
      </c>
      <c r="AD184" s="11">
        <v>0</v>
      </c>
      <c r="AE184" s="21">
        <f>SUM(MasterTable[[#This Row],[ILS]:[PAR]])</f>
        <v>0</v>
      </c>
      <c r="AL184" s="11"/>
      <c r="AR184" s="140" t="str">
        <f>_xlfn.XLOOKUP(MasterTable[[#This Row],[Aircraft ID]],Aircraft!A:A,Aircraft!H:H)</f>
        <v>Airplane Single Engine Land</v>
      </c>
      <c r="AS184" s="8" t="b">
        <f>OR((SUM(MasterTable[[#This Row],[ILS]:[PAR]]) = MasterTable[[#This Row],[APPR]]))</f>
        <v>1</v>
      </c>
      <c r="AT184" s="8" t="b">
        <f>NOT(ISBLANK(MasterTable[[#This Row],[Total
Time]]))</f>
        <v>1</v>
      </c>
    </row>
    <row r="185" spans="4:46" ht="28.8" x14ac:dyDescent="0.3">
      <c r="D185" s="22">
        <v>45428</v>
      </c>
      <c r="E185" s="8" t="s">
        <v>133</v>
      </c>
      <c r="F185" s="8" t="s">
        <v>207</v>
      </c>
      <c r="G185" s="8" t="s">
        <v>213</v>
      </c>
      <c r="I185" s="10">
        <v>1.5</v>
      </c>
      <c r="J185" s="10">
        <v>0</v>
      </c>
      <c r="L185" s="10">
        <v>1.5</v>
      </c>
      <c r="M185" s="13">
        <v>0</v>
      </c>
      <c r="N185" s="13"/>
      <c r="O185" s="10">
        <v>0</v>
      </c>
      <c r="P185" s="10">
        <v>0</v>
      </c>
      <c r="Q185" s="14">
        <v>0</v>
      </c>
      <c r="R185" s="14">
        <v>0</v>
      </c>
      <c r="S185" s="10">
        <v>1.5</v>
      </c>
      <c r="T185" s="10">
        <v>0</v>
      </c>
      <c r="U185" s="14">
        <v>0</v>
      </c>
      <c r="V185" s="10"/>
      <c r="W185" s="11">
        <v>0</v>
      </c>
      <c r="X185" s="11">
        <v>0</v>
      </c>
      <c r="Y185" s="11">
        <v>1</v>
      </c>
      <c r="Z185" s="11">
        <v>1</v>
      </c>
      <c r="AA185" s="11">
        <f>MasterTable[[#This Row],[Landings
Night]]+MasterTable[[#This Row],[Landings
Day]]</f>
        <v>1</v>
      </c>
      <c r="AB185" s="10">
        <v>0</v>
      </c>
      <c r="AC185" s="10">
        <v>0</v>
      </c>
      <c r="AD185" s="11">
        <v>0</v>
      </c>
      <c r="AE185" s="21">
        <f>SUM(MasterTable[[#This Row],[ILS]:[PAR]])</f>
        <v>0</v>
      </c>
      <c r="AL185" s="11"/>
      <c r="AR185" s="140" t="str">
        <f>_xlfn.XLOOKUP(MasterTable[[#This Row],[Aircraft ID]],Aircraft!A:A,Aircraft!H:H)</f>
        <v>Airplane Multi Engine Land</v>
      </c>
      <c r="AS185" s="8" t="b">
        <f>OR((SUM(MasterTable[[#This Row],[ILS]:[PAR]]) = MasterTable[[#This Row],[APPR]]))</f>
        <v>1</v>
      </c>
      <c r="AT185" s="8" t="b">
        <f>NOT(ISBLANK(MasterTable[[#This Row],[Total
Time]]))</f>
        <v>1</v>
      </c>
    </row>
    <row r="186" spans="4:46" ht="28.8" x14ac:dyDescent="0.3">
      <c r="D186" s="22">
        <v>45424</v>
      </c>
      <c r="E186" s="8" t="s">
        <v>174</v>
      </c>
      <c r="F186" s="8" t="s">
        <v>206</v>
      </c>
      <c r="G186" s="8" t="s">
        <v>206</v>
      </c>
      <c r="I186" s="10">
        <v>0.9</v>
      </c>
      <c r="J186" s="10">
        <v>0.9</v>
      </c>
      <c r="L186" s="10">
        <v>0</v>
      </c>
      <c r="M186" s="13">
        <v>0</v>
      </c>
      <c r="N186" s="13"/>
      <c r="O186" s="10">
        <v>0</v>
      </c>
      <c r="P186" s="10">
        <v>0</v>
      </c>
      <c r="Q186" s="14">
        <v>0</v>
      </c>
      <c r="R186" s="14">
        <v>0</v>
      </c>
      <c r="S186" s="10">
        <v>0</v>
      </c>
      <c r="T186" s="10">
        <v>0</v>
      </c>
      <c r="U186" s="14">
        <v>0</v>
      </c>
      <c r="V186" s="10"/>
      <c r="W186" s="11">
        <v>1</v>
      </c>
      <c r="X186" s="11">
        <v>1</v>
      </c>
      <c r="Y186" s="11">
        <v>0</v>
      </c>
      <c r="Z186" s="11">
        <v>0</v>
      </c>
      <c r="AA186" s="11">
        <f>MasterTable[[#This Row],[Landings
Night]]+MasterTable[[#This Row],[Landings
Day]]</f>
        <v>1</v>
      </c>
      <c r="AB186" s="10">
        <v>0</v>
      </c>
      <c r="AC186" s="10">
        <v>0</v>
      </c>
      <c r="AD186" s="11">
        <v>0</v>
      </c>
      <c r="AE186" s="21">
        <f>SUM(MasterTable[[#This Row],[ILS]:[PAR]])</f>
        <v>0</v>
      </c>
      <c r="AL186" s="11"/>
      <c r="AR186" s="140" t="str">
        <f>_xlfn.XLOOKUP(MasterTable[[#This Row],[Aircraft ID]],Aircraft!A:A,Aircraft!H:H)</f>
        <v>Airplane Single Engine Land</v>
      </c>
      <c r="AS186" s="8" t="b">
        <f>OR((SUM(MasterTable[[#This Row],[ILS]:[PAR]]) = MasterTable[[#This Row],[APPR]]))</f>
        <v>1</v>
      </c>
      <c r="AT186" s="8" t="b">
        <f>NOT(ISBLANK(MasterTable[[#This Row],[Total
Time]]))</f>
        <v>1</v>
      </c>
    </row>
    <row r="187" spans="4:46" ht="28.8" x14ac:dyDescent="0.3">
      <c r="D187" s="22">
        <v>45403</v>
      </c>
      <c r="E187" s="8" t="s">
        <v>174</v>
      </c>
      <c r="F187" s="8" t="s">
        <v>202</v>
      </c>
      <c r="G187" s="8" t="s">
        <v>206</v>
      </c>
      <c r="I187" s="10">
        <v>2.2000000000000002</v>
      </c>
      <c r="J187" s="10">
        <v>2.2000000000000002</v>
      </c>
      <c r="L187" s="10">
        <v>0</v>
      </c>
      <c r="M187" s="13">
        <v>0</v>
      </c>
      <c r="N187" s="13"/>
      <c r="O187" s="10">
        <v>0</v>
      </c>
      <c r="P187" s="10">
        <v>0</v>
      </c>
      <c r="Q187" s="14">
        <v>0</v>
      </c>
      <c r="R187" s="14">
        <v>0</v>
      </c>
      <c r="S187" s="10">
        <v>0</v>
      </c>
      <c r="T187" s="10">
        <v>2.2000000000000002</v>
      </c>
      <c r="U187" s="14">
        <v>0</v>
      </c>
      <c r="V187" s="10"/>
      <c r="W187" s="11">
        <v>1</v>
      </c>
      <c r="X187" s="11">
        <v>1</v>
      </c>
      <c r="Y187" s="11">
        <v>0</v>
      </c>
      <c r="Z187" s="11">
        <v>0</v>
      </c>
      <c r="AA187" s="11">
        <f>MasterTable[[#This Row],[Landings
Night]]+MasterTable[[#This Row],[Landings
Day]]</f>
        <v>1</v>
      </c>
      <c r="AB187" s="10">
        <v>0</v>
      </c>
      <c r="AC187" s="10">
        <v>0</v>
      </c>
      <c r="AD187" s="11">
        <v>0</v>
      </c>
      <c r="AE187" s="21">
        <f>SUM(MasterTable[[#This Row],[ILS]:[PAR]])</f>
        <v>0</v>
      </c>
      <c r="AL187" s="11"/>
      <c r="AR187" s="140" t="str">
        <f>_xlfn.XLOOKUP(MasterTable[[#This Row],[Aircraft ID]],Aircraft!A:A,Aircraft!H:H)</f>
        <v>Airplane Single Engine Land</v>
      </c>
      <c r="AS187" s="8" t="b">
        <f>OR((SUM(MasterTable[[#This Row],[ILS]:[PAR]]) = MasterTable[[#This Row],[APPR]]))</f>
        <v>1</v>
      </c>
      <c r="AT187" s="8" t="b">
        <f>NOT(ISBLANK(MasterTable[[#This Row],[Total
Time]]))</f>
        <v>1</v>
      </c>
    </row>
    <row r="188" spans="4:46" ht="28.8" x14ac:dyDescent="0.3">
      <c r="D188" s="22">
        <v>45400</v>
      </c>
      <c r="E188" s="8" t="s">
        <v>174</v>
      </c>
      <c r="F188" s="8" t="s">
        <v>207</v>
      </c>
      <c r="G188" s="8" t="s">
        <v>202</v>
      </c>
      <c r="I188" s="10">
        <v>2.4</v>
      </c>
      <c r="J188" s="10">
        <v>2.4</v>
      </c>
      <c r="L188" s="10">
        <v>0</v>
      </c>
      <c r="M188" s="13">
        <v>0</v>
      </c>
      <c r="N188" s="13"/>
      <c r="O188" s="10">
        <v>0</v>
      </c>
      <c r="P188" s="10">
        <v>0</v>
      </c>
      <c r="Q188" s="14">
        <v>0</v>
      </c>
      <c r="R188" s="14">
        <v>0</v>
      </c>
      <c r="S188" s="10">
        <v>0</v>
      </c>
      <c r="T188" s="10">
        <v>2.4</v>
      </c>
      <c r="U188" s="14">
        <v>0</v>
      </c>
      <c r="V188" s="10"/>
      <c r="W188" s="11">
        <v>1</v>
      </c>
      <c r="X188" s="11">
        <v>1</v>
      </c>
      <c r="Y188" s="11">
        <v>0</v>
      </c>
      <c r="Z188" s="11">
        <v>0</v>
      </c>
      <c r="AA188" s="11">
        <f>MasterTable[[#This Row],[Landings
Night]]+MasterTable[[#This Row],[Landings
Day]]</f>
        <v>1</v>
      </c>
      <c r="AB188" s="10">
        <v>0</v>
      </c>
      <c r="AC188" s="10">
        <v>0</v>
      </c>
      <c r="AD188" s="11">
        <v>0</v>
      </c>
      <c r="AE188" s="21">
        <f>SUM(MasterTable[[#This Row],[ILS]:[PAR]])</f>
        <v>0</v>
      </c>
      <c r="AL188" s="11"/>
      <c r="AR188" s="140" t="str">
        <f>_xlfn.XLOOKUP(MasterTable[[#This Row],[Aircraft ID]],Aircraft!A:A,Aircraft!H:H)</f>
        <v>Airplane Single Engine Land</v>
      </c>
      <c r="AS188" s="8" t="b">
        <f>OR((SUM(MasterTable[[#This Row],[ILS]:[PAR]]) = MasterTable[[#This Row],[APPR]]))</f>
        <v>1</v>
      </c>
      <c r="AT188" s="8" t="b">
        <f>NOT(ISBLANK(MasterTable[[#This Row],[Total
Time]]))</f>
        <v>1</v>
      </c>
    </row>
    <row r="189" spans="4:46" ht="28.8" x14ac:dyDescent="0.3">
      <c r="D189" s="22">
        <v>45400</v>
      </c>
      <c r="E189" s="8" t="s">
        <v>174</v>
      </c>
      <c r="F189" s="8" t="s">
        <v>206</v>
      </c>
      <c r="G189" s="8" t="s">
        <v>207</v>
      </c>
      <c r="I189" s="10">
        <v>0.4</v>
      </c>
      <c r="J189" s="10">
        <v>0.4</v>
      </c>
      <c r="L189" s="10">
        <v>0</v>
      </c>
      <c r="M189" s="13">
        <v>0</v>
      </c>
      <c r="N189" s="13"/>
      <c r="O189" s="10">
        <v>0</v>
      </c>
      <c r="P189" s="10">
        <v>0</v>
      </c>
      <c r="Q189" s="14">
        <v>0</v>
      </c>
      <c r="R189" s="14">
        <v>0</v>
      </c>
      <c r="S189" s="10">
        <v>0</v>
      </c>
      <c r="T189" s="10">
        <v>0</v>
      </c>
      <c r="U189" s="14">
        <v>0</v>
      </c>
      <c r="V189" s="10"/>
      <c r="W189" s="11">
        <v>1</v>
      </c>
      <c r="X189" s="11">
        <v>1</v>
      </c>
      <c r="Y189" s="11">
        <v>0</v>
      </c>
      <c r="Z189" s="11">
        <v>0</v>
      </c>
      <c r="AA189" s="11">
        <f>MasterTable[[#This Row],[Landings
Night]]+MasterTable[[#This Row],[Landings
Day]]</f>
        <v>1</v>
      </c>
      <c r="AB189" s="10">
        <v>0</v>
      </c>
      <c r="AC189" s="10">
        <v>0</v>
      </c>
      <c r="AD189" s="11">
        <v>0</v>
      </c>
      <c r="AE189" s="21">
        <f>SUM(MasterTable[[#This Row],[ILS]:[PAR]])</f>
        <v>0</v>
      </c>
      <c r="AL189" s="11"/>
      <c r="AR189" s="140" t="str">
        <f>_xlfn.XLOOKUP(MasterTable[[#This Row],[Aircraft ID]],Aircraft!A:A,Aircraft!H:H)</f>
        <v>Airplane Single Engine Land</v>
      </c>
      <c r="AS189" s="8" t="b">
        <f>OR((SUM(MasterTable[[#This Row],[ILS]:[PAR]]) = MasterTable[[#This Row],[APPR]]))</f>
        <v>1</v>
      </c>
      <c r="AT189" s="8" t="b">
        <f>NOT(ISBLANK(MasterTable[[#This Row],[Total
Time]]))</f>
        <v>1</v>
      </c>
    </row>
    <row r="190" spans="4:46" ht="28.8" x14ac:dyDescent="0.3">
      <c r="D190" s="22">
        <v>45393</v>
      </c>
      <c r="E190" s="8" t="s">
        <v>146</v>
      </c>
      <c r="F190" s="8" t="s">
        <v>207</v>
      </c>
      <c r="G190" s="8" t="s">
        <v>210</v>
      </c>
      <c r="I190" s="10">
        <v>1.1000000000000001</v>
      </c>
      <c r="J190" s="10">
        <v>0</v>
      </c>
      <c r="L190" s="10">
        <v>1.1000000000000001</v>
      </c>
      <c r="M190" s="13">
        <v>0</v>
      </c>
      <c r="N190" s="13"/>
      <c r="O190" s="10">
        <v>0</v>
      </c>
      <c r="P190" s="10">
        <v>0</v>
      </c>
      <c r="Q190" s="14">
        <v>0</v>
      </c>
      <c r="R190" s="14">
        <v>0</v>
      </c>
      <c r="S190" s="10">
        <v>0</v>
      </c>
      <c r="T190" s="10">
        <v>0</v>
      </c>
      <c r="U190" s="14">
        <v>0</v>
      </c>
      <c r="V190" s="10"/>
      <c r="W190" s="11">
        <v>2</v>
      </c>
      <c r="X190" s="11">
        <v>2</v>
      </c>
      <c r="Y190" s="11">
        <v>0</v>
      </c>
      <c r="Z190" s="11">
        <v>0</v>
      </c>
      <c r="AA190" s="11">
        <f>MasterTable[[#This Row],[Landings
Night]]+MasterTable[[#This Row],[Landings
Day]]</f>
        <v>2</v>
      </c>
      <c r="AB190" s="10">
        <v>0</v>
      </c>
      <c r="AC190" s="10">
        <v>0</v>
      </c>
      <c r="AD190" s="11">
        <v>0</v>
      </c>
      <c r="AE190" s="21">
        <f>SUM(MasterTable[[#This Row],[ILS]:[PAR]])</f>
        <v>0</v>
      </c>
      <c r="AL190" s="11"/>
      <c r="AR190" s="140" t="str">
        <f>_xlfn.XLOOKUP(MasterTable[[#This Row],[Aircraft ID]],Aircraft!A:A,Aircraft!H:H)</f>
        <v>Airplane Multi Engine Land</v>
      </c>
      <c r="AS190" s="8" t="b">
        <f>OR((SUM(MasterTable[[#This Row],[ILS]:[PAR]]) = MasterTable[[#This Row],[APPR]]))</f>
        <v>1</v>
      </c>
      <c r="AT190" s="8" t="b">
        <f>NOT(ISBLANK(MasterTable[[#This Row],[Total
Time]]))</f>
        <v>1</v>
      </c>
    </row>
    <row r="191" spans="4:46" ht="28.8" x14ac:dyDescent="0.3">
      <c r="D191" s="22">
        <v>45393</v>
      </c>
      <c r="E191" s="8" t="s">
        <v>174</v>
      </c>
      <c r="F191" s="8" t="s">
        <v>206</v>
      </c>
      <c r="G191" s="8" t="s">
        <v>207</v>
      </c>
      <c r="I191" s="10">
        <v>0.8</v>
      </c>
      <c r="J191" s="10">
        <v>0.8</v>
      </c>
      <c r="L191" s="10">
        <v>0</v>
      </c>
      <c r="M191" s="13">
        <v>0</v>
      </c>
      <c r="N191" s="13"/>
      <c r="O191" s="10">
        <v>0</v>
      </c>
      <c r="P191" s="10">
        <v>0</v>
      </c>
      <c r="Q191" s="14">
        <v>0</v>
      </c>
      <c r="R191" s="14">
        <v>0</v>
      </c>
      <c r="S191" s="10">
        <v>0</v>
      </c>
      <c r="T191" s="10">
        <v>0</v>
      </c>
      <c r="U191" s="14">
        <v>0</v>
      </c>
      <c r="V191" s="10"/>
      <c r="W191" s="11">
        <v>2</v>
      </c>
      <c r="X191" s="11">
        <v>2</v>
      </c>
      <c r="Y191" s="11">
        <v>0</v>
      </c>
      <c r="Z191" s="11">
        <v>0</v>
      </c>
      <c r="AA191" s="11">
        <f>MasterTable[[#This Row],[Landings
Night]]+MasterTable[[#This Row],[Landings
Day]]</f>
        <v>2</v>
      </c>
      <c r="AB191" s="10">
        <v>0</v>
      </c>
      <c r="AC191" s="10">
        <v>0</v>
      </c>
      <c r="AD191" s="11">
        <v>0</v>
      </c>
      <c r="AE191" s="21">
        <f>SUM(MasterTable[[#This Row],[ILS]:[PAR]])</f>
        <v>0</v>
      </c>
      <c r="AL191" s="11"/>
      <c r="AR191" s="140" t="str">
        <f>_xlfn.XLOOKUP(MasterTable[[#This Row],[Aircraft ID]],Aircraft!A:A,Aircraft!H:H)</f>
        <v>Airplane Single Engine Land</v>
      </c>
      <c r="AS191" s="8" t="b">
        <f>OR((SUM(MasterTable[[#This Row],[ILS]:[PAR]]) = MasterTable[[#This Row],[APPR]]))</f>
        <v>1</v>
      </c>
      <c r="AT191" s="8" t="b">
        <f>NOT(ISBLANK(MasterTable[[#This Row],[Total
Time]]))</f>
        <v>1</v>
      </c>
    </row>
    <row r="192" spans="4:46" ht="28.8" x14ac:dyDescent="0.3">
      <c r="D192" s="22">
        <v>45392</v>
      </c>
      <c r="E192" s="8" t="s">
        <v>174</v>
      </c>
      <c r="F192" s="8" t="s">
        <v>206</v>
      </c>
      <c r="G192" s="8" t="s">
        <v>207</v>
      </c>
      <c r="I192" s="10">
        <v>0.9</v>
      </c>
      <c r="J192" s="10">
        <v>0.9</v>
      </c>
      <c r="L192" s="10">
        <v>0</v>
      </c>
      <c r="M192" s="13">
        <v>0</v>
      </c>
      <c r="N192" s="13"/>
      <c r="O192" s="10">
        <v>0</v>
      </c>
      <c r="P192" s="10">
        <v>0</v>
      </c>
      <c r="Q192" s="14">
        <v>0</v>
      </c>
      <c r="R192" s="14">
        <v>0</v>
      </c>
      <c r="S192" s="10">
        <v>0</v>
      </c>
      <c r="T192" s="10">
        <v>0</v>
      </c>
      <c r="U192" s="14">
        <v>0</v>
      </c>
      <c r="V192" s="10">
        <v>0.6</v>
      </c>
      <c r="W192" s="11">
        <v>2</v>
      </c>
      <c r="X192" s="11">
        <v>2</v>
      </c>
      <c r="Y192" s="11">
        <v>0</v>
      </c>
      <c r="Z192" s="11">
        <v>0</v>
      </c>
      <c r="AA192" s="11">
        <f>MasterTable[[#This Row],[Landings
Night]]+MasterTable[[#This Row],[Landings
Day]]</f>
        <v>2</v>
      </c>
      <c r="AB192" s="10">
        <v>0</v>
      </c>
      <c r="AC192" s="10">
        <v>0</v>
      </c>
      <c r="AD192" s="11">
        <v>0</v>
      </c>
      <c r="AE192" s="21">
        <f>SUM(MasterTable[[#This Row],[ILS]:[PAR]])</f>
        <v>0</v>
      </c>
      <c r="AL192" s="11"/>
      <c r="AR192" s="140" t="str">
        <f>_xlfn.XLOOKUP(MasterTable[[#This Row],[Aircraft ID]],Aircraft!A:A,Aircraft!H:H)</f>
        <v>Airplane Single Engine Land</v>
      </c>
      <c r="AS192" s="8" t="b">
        <f>OR((SUM(MasterTable[[#This Row],[ILS]:[PAR]]) = MasterTable[[#This Row],[APPR]]))</f>
        <v>1</v>
      </c>
      <c r="AT192" s="8" t="b">
        <f>NOT(ISBLANK(MasterTable[[#This Row],[Total
Time]]))</f>
        <v>1</v>
      </c>
    </row>
    <row r="193" spans="4:46" ht="28.8" x14ac:dyDescent="0.3">
      <c r="D193" s="22">
        <v>45370</v>
      </c>
      <c r="E193" s="8" t="s">
        <v>133</v>
      </c>
      <c r="F193" s="8" t="s">
        <v>207</v>
      </c>
      <c r="G193" s="8" t="s">
        <v>207</v>
      </c>
      <c r="I193" s="10">
        <v>1.2</v>
      </c>
      <c r="L193" s="10">
        <v>1.2</v>
      </c>
      <c r="M193" s="13">
        <v>0</v>
      </c>
      <c r="N193" s="13"/>
      <c r="O193" s="10">
        <v>0</v>
      </c>
      <c r="P193" s="10">
        <v>0</v>
      </c>
      <c r="Q193" s="14">
        <v>0</v>
      </c>
      <c r="R193" s="14">
        <v>0</v>
      </c>
      <c r="S193" s="10">
        <v>0</v>
      </c>
      <c r="T193" s="10">
        <v>0</v>
      </c>
      <c r="U193" s="14">
        <v>0</v>
      </c>
      <c r="V193" s="10"/>
      <c r="W193" s="11">
        <v>3</v>
      </c>
      <c r="X193" s="11">
        <v>3</v>
      </c>
      <c r="Y193" s="11">
        <v>0</v>
      </c>
      <c r="Z193" s="11">
        <v>0</v>
      </c>
      <c r="AA193" s="11">
        <f>MasterTable[[#This Row],[Landings
Night]]+MasterTable[[#This Row],[Landings
Day]]</f>
        <v>3</v>
      </c>
      <c r="AB193" s="10">
        <v>0</v>
      </c>
      <c r="AC193" s="10">
        <v>0</v>
      </c>
      <c r="AD193" s="11">
        <v>0</v>
      </c>
      <c r="AE193" s="21">
        <f>SUM(MasterTable[[#This Row],[ILS]:[PAR]])</f>
        <v>0</v>
      </c>
      <c r="AL193" s="11"/>
      <c r="AR193" s="140" t="str">
        <f>_xlfn.XLOOKUP(MasterTable[[#This Row],[Aircraft ID]],Aircraft!A:A,Aircraft!H:H)</f>
        <v>Airplane Multi Engine Land</v>
      </c>
      <c r="AS193" s="8" t="b">
        <f>OR((SUM(MasterTable[[#This Row],[ILS]:[PAR]]) = MasterTable[[#This Row],[APPR]]))</f>
        <v>1</v>
      </c>
      <c r="AT193" s="8" t="b">
        <f>NOT(ISBLANK(MasterTable[[#This Row],[Total
Time]]))</f>
        <v>1</v>
      </c>
    </row>
    <row r="194" spans="4:46" ht="28.8" x14ac:dyDescent="0.3">
      <c r="D194" s="22">
        <v>45362</v>
      </c>
      <c r="E194" s="8" t="s">
        <v>174</v>
      </c>
      <c r="F194" s="8" t="s">
        <v>213</v>
      </c>
      <c r="G194" s="8" t="s">
        <v>206</v>
      </c>
      <c r="I194" s="10">
        <v>0.5</v>
      </c>
      <c r="J194" s="10">
        <v>0.5</v>
      </c>
      <c r="L194" s="10">
        <v>0</v>
      </c>
      <c r="M194" s="13">
        <v>0</v>
      </c>
      <c r="N194" s="13"/>
      <c r="O194" s="10">
        <v>0</v>
      </c>
      <c r="P194" s="10">
        <v>0</v>
      </c>
      <c r="Q194" s="14">
        <v>0</v>
      </c>
      <c r="R194" s="14">
        <v>0</v>
      </c>
      <c r="S194" s="10">
        <v>0</v>
      </c>
      <c r="T194" s="10">
        <v>0</v>
      </c>
      <c r="U194" s="14">
        <v>0</v>
      </c>
      <c r="V194" s="10">
        <v>0.4</v>
      </c>
      <c r="W194" s="11">
        <v>1</v>
      </c>
      <c r="X194" s="11">
        <v>1</v>
      </c>
      <c r="Y194" s="11">
        <v>0</v>
      </c>
      <c r="Z194" s="11">
        <v>0</v>
      </c>
      <c r="AA194" s="11">
        <f>MasterTable[[#This Row],[Landings
Night]]+MasterTable[[#This Row],[Landings
Day]]</f>
        <v>1</v>
      </c>
      <c r="AB194" s="10">
        <v>0</v>
      </c>
      <c r="AC194" s="10">
        <v>0</v>
      </c>
      <c r="AD194" s="11">
        <v>0</v>
      </c>
      <c r="AE194" s="21">
        <f>SUM(MasterTable[[#This Row],[ILS]:[PAR]])</f>
        <v>0</v>
      </c>
      <c r="AL194" s="11"/>
      <c r="AR194" s="140" t="str">
        <f>_xlfn.XLOOKUP(MasterTable[[#This Row],[Aircraft ID]],Aircraft!A:A,Aircraft!H:H)</f>
        <v>Airplane Single Engine Land</v>
      </c>
      <c r="AS194" s="8" t="b">
        <f>OR((SUM(MasterTable[[#This Row],[ILS]:[PAR]]) = MasterTable[[#This Row],[APPR]]))</f>
        <v>1</v>
      </c>
      <c r="AT194" s="8" t="b">
        <f>NOT(ISBLANK(MasterTable[[#This Row],[Total
Time]]))</f>
        <v>1</v>
      </c>
    </row>
    <row r="195" spans="4:46" ht="28.8" x14ac:dyDescent="0.3">
      <c r="D195" s="22">
        <v>45362</v>
      </c>
      <c r="E195" s="8" t="s">
        <v>174</v>
      </c>
      <c r="F195" s="8" t="s">
        <v>207</v>
      </c>
      <c r="G195" s="8" t="s">
        <v>213</v>
      </c>
      <c r="I195" s="10">
        <v>0.8</v>
      </c>
      <c r="J195" s="10">
        <v>0.8</v>
      </c>
      <c r="L195" s="10">
        <v>0</v>
      </c>
      <c r="M195" s="13">
        <v>0</v>
      </c>
      <c r="N195" s="13"/>
      <c r="O195" s="10">
        <v>0</v>
      </c>
      <c r="P195" s="10">
        <v>0</v>
      </c>
      <c r="Q195" s="14">
        <v>0</v>
      </c>
      <c r="R195" s="14">
        <v>0</v>
      </c>
      <c r="S195" s="10">
        <v>0</v>
      </c>
      <c r="T195" s="10">
        <v>0</v>
      </c>
      <c r="U195" s="14">
        <v>0</v>
      </c>
      <c r="V195" s="10"/>
      <c r="W195" s="11">
        <v>1</v>
      </c>
      <c r="X195" s="11">
        <v>1</v>
      </c>
      <c r="Y195" s="11">
        <v>0</v>
      </c>
      <c r="Z195" s="11">
        <v>0</v>
      </c>
      <c r="AA195" s="11">
        <f>MasterTable[[#This Row],[Landings
Night]]+MasterTable[[#This Row],[Landings
Day]]</f>
        <v>1</v>
      </c>
      <c r="AB195" s="10">
        <v>0</v>
      </c>
      <c r="AC195" s="10">
        <v>0</v>
      </c>
      <c r="AD195" s="11">
        <v>0</v>
      </c>
      <c r="AE195" s="21">
        <f>SUM(MasterTable[[#This Row],[ILS]:[PAR]])</f>
        <v>0</v>
      </c>
      <c r="AL195" s="11"/>
      <c r="AR195" s="140" t="str">
        <f>_xlfn.XLOOKUP(MasterTable[[#This Row],[Aircraft ID]],Aircraft!A:A,Aircraft!H:H)</f>
        <v>Airplane Single Engine Land</v>
      </c>
      <c r="AS195" s="8" t="b">
        <f>OR((SUM(MasterTable[[#This Row],[ILS]:[PAR]]) = MasterTable[[#This Row],[APPR]]))</f>
        <v>1</v>
      </c>
      <c r="AT195" s="8" t="b">
        <f>NOT(ISBLANK(MasterTable[[#This Row],[Total
Time]]))</f>
        <v>1</v>
      </c>
    </row>
    <row r="196" spans="4:46" ht="28.8" x14ac:dyDescent="0.3">
      <c r="D196" s="22">
        <v>45362</v>
      </c>
      <c r="E196" s="8" t="s">
        <v>174</v>
      </c>
      <c r="F196" s="8" t="s">
        <v>206</v>
      </c>
      <c r="G196" s="8" t="s">
        <v>207</v>
      </c>
      <c r="I196" s="10">
        <v>0.4</v>
      </c>
      <c r="J196" s="10">
        <v>0.4</v>
      </c>
      <c r="L196" s="10">
        <v>0</v>
      </c>
      <c r="M196" s="13">
        <v>0</v>
      </c>
      <c r="N196" s="13"/>
      <c r="O196" s="10">
        <v>0</v>
      </c>
      <c r="P196" s="10">
        <v>0</v>
      </c>
      <c r="Q196" s="14">
        <v>0</v>
      </c>
      <c r="R196" s="14">
        <v>0</v>
      </c>
      <c r="S196" s="10">
        <v>0</v>
      </c>
      <c r="T196" s="10">
        <v>0</v>
      </c>
      <c r="U196" s="14">
        <v>0</v>
      </c>
      <c r="V196" s="10"/>
      <c r="W196" s="11">
        <v>1</v>
      </c>
      <c r="X196" s="11">
        <v>1</v>
      </c>
      <c r="Y196" s="11">
        <v>0</v>
      </c>
      <c r="Z196" s="11">
        <v>0</v>
      </c>
      <c r="AA196" s="11">
        <f>MasterTable[[#This Row],[Landings
Night]]+MasterTable[[#This Row],[Landings
Day]]</f>
        <v>1</v>
      </c>
      <c r="AB196" s="10">
        <v>0</v>
      </c>
      <c r="AC196" s="10">
        <v>0</v>
      </c>
      <c r="AD196" s="11">
        <v>0</v>
      </c>
      <c r="AE196" s="21">
        <f>SUM(MasterTable[[#This Row],[ILS]:[PAR]])</f>
        <v>0</v>
      </c>
      <c r="AL196" s="11"/>
      <c r="AR196" s="140" t="str">
        <f>_xlfn.XLOOKUP(MasterTable[[#This Row],[Aircraft ID]],Aircraft!A:A,Aircraft!H:H)</f>
        <v>Airplane Single Engine Land</v>
      </c>
      <c r="AS196" s="8" t="b">
        <f>OR((SUM(MasterTable[[#This Row],[ILS]:[PAR]]) = MasterTable[[#This Row],[APPR]]))</f>
        <v>1</v>
      </c>
      <c r="AT196" s="8" t="b">
        <f>NOT(ISBLANK(MasterTable[[#This Row],[Total
Time]]))</f>
        <v>1</v>
      </c>
    </row>
    <row r="197" spans="4:46" ht="28.8" x14ac:dyDescent="0.3">
      <c r="D197" s="22">
        <v>45339</v>
      </c>
      <c r="E197" s="8" t="s">
        <v>174</v>
      </c>
      <c r="F197" s="8" t="s">
        <v>206</v>
      </c>
      <c r="G197" s="8" t="s">
        <v>206</v>
      </c>
      <c r="I197" s="10">
        <v>0.8</v>
      </c>
      <c r="J197" s="10">
        <v>0.8</v>
      </c>
      <c r="L197" s="10">
        <v>0</v>
      </c>
      <c r="M197" s="13">
        <v>0</v>
      </c>
      <c r="N197" s="13"/>
      <c r="O197" s="10">
        <v>0</v>
      </c>
      <c r="P197" s="10">
        <v>0</v>
      </c>
      <c r="Q197" s="14">
        <v>0</v>
      </c>
      <c r="R197" s="14">
        <v>0</v>
      </c>
      <c r="S197" s="10">
        <v>0</v>
      </c>
      <c r="T197" s="10">
        <v>0</v>
      </c>
      <c r="U197" s="14">
        <v>0</v>
      </c>
      <c r="V197" s="10"/>
      <c r="W197" s="11">
        <v>1</v>
      </c>
      <c r="X197" s="11">
        <v>1</v>
      </c>
      <c r="Y197" s="11">
        <v>0</v>
      </c>
      <c r="Z197" s="11">
        <v>0</v>
      </c>
      <c r="AA197" s="11">
        <f>MasterTable[[#This Row],[Landings
Night]]+MasterTable[[#This Row],[Landings
Day]]</f>
        <v>1</v>
      </c>
      <c r="AB197" s="10">
        <v>0</v>
      </c>
      <c r="AC197" s="10">
        <v>0</v>
      </c>
      <c r="AD197" s="11">
        <v>0</v>
      </c>
      <c r="AE197" s="21">
        <f>SUM(MasterTable[[#This Row],[ILS]:[PAR]])</f>
        <v>0</v>
      </c>
      <c r="AL197" s="11"/>
      <c r="AR197" s="140" t="str">
        <f>_xlfn.XLOOKUP(MasterTable[[#This Row],[Aircraft ID]],Aircraft!A:A,Aircraft!H:H)</f>
        <v>Airplane Single Engine Land</v>
      </c>
      <c r="AS197" s="8" t="b">
        <f>OR((SUM(MasterTable[[#This Row],[ILS]:[PAR]]) = MasterTable[[#This Row],[APPR]]))</f>
        <v>1</v>
      </c>
      <c r="AT197" s="8" t="b">
        <f>NOT(ISBLANK(MasterTable[[#This Row],[Total
Time]]))</f>
        <v>1</v>
      </c>
    </row>
    <row r="198" spans="4:46" ht="28.8" x14ac:dyDescent="0.3">
      <c r="D198" s="22">
        <v>45310</v>
      </c>
      <c r="E198" s="8" t="s">
        <v>125</v>
      </c>
      <c r="F198" s="8" t="s">
        <v>206</v>
      </c>
      <c r="G198" s="8" t="s">
        <v>206</v>
      </c>
      <c r="I198" s="10">
        <v>0.8</v>
      </c>
      <c r="J198" s="10">
        <v>0.8</v>
      </c>
      <c r="L198" s="10">
        <v>0</v>
      </c>
      <c r="M198" s="13">
        <v>0</v>
      </c>
      <c r="N198" s="13"/>
      <c r="O198" s="10">
        <v>0.8</v>
      </c>
      <c r="P198" s="10">
        <v>0</v>
      </c>
      <c r="Q198" s="14">
        <v>0</v>
      </c>
      <c r="R198" s="14">
        <v>0</v>
      </c>
      <c r="S198" s="10">
        <v>0</v>
      </c>
      <c r="T198" s="10">
        <v>0</v>
      </c>
      <c r="U198" s="14">
        <v>0</v>
      </c>
      <c r="V198" s="10"/>
      <c r="W198" s="11">
        <v>2</v>
      </c>
      <c r="X198" s="11">
        <v>2</v>
      </c>
      <c r="Y198" s="11">
        <v>0</v>
      </c>
      <c r="Z198" s="11">
        <v>0</v>
      </c>
      <c r="AA198" s="11">
        <f>MasterTable[[#This Row],[Landings
Night]]+MasterTable[[#This Row],[Landings
Day]]</f>
        <v>2</v>
      </c>
      <c r="AB198" s="10">
        <v>0</v>
      </c>
      <c r="AC198" s="10">
        <v>0</v>
      </c>
      <c r="AD198" s="11">
        <v>0</v>
      </c>
      <c r="AE198" s="21">
        <f>SUM(MasterTable[[#This Row],[ILS]:[PAR]])</f>
        <v>0</v>
      </c>
      <c r="AL198" s="11"/>
      <c r="AR198" s="140" t="str">
        <f>_xlfn.XLOOKUP(MasterTable[[#This Row],[Aircraft ID]],Aircraft!A:A,Aircraft!H:H)</f>
        <v>Airplane Single Engine Land</v>
      </c>
      <c r="AS198" s="8" t="b">
        <f>OR((SUM(MasterTable[[#This Row],[ILS]:[PAR]]) = MasterTable[[#This Row],[APPR]]))</f>
        <v>1</v>
      </c>
      <c r="AT198" s="8" t="b">
        <f>NOT(ISBLANK(MasterTable[[#This Row],[Total
Time]]))</f>
        <v>1</v>
      </c>
    </row>
    <row r="199" spans="4:46" ht="28.8" x14ac:dyDescent="0.3">
      <c r="D199" s="22">
        <v>45304</v>
      </c>
      <c r="E199" s="8" t="s">
        <v>129</v>
      </c>
      <c r="F199" s="8" t="s">
        <v>206</v>
      </c>
      <c r="G199" s="8" t="s">
        <v>206</v>
      </c>
      <c r="I199" s="10">
        <v>0.8</v>
      </c>
      <c r="J199" s="10">
        <v>0.8</v>
      </c>
      <c r="L199" s="10">
        <v>0</v>
      </c>
      <c r="M199" s="13">
        <v>0</v>
      </c>
      <c r="N199" s="13"/>
      <c r="O199" s="10">
        <v>0</v>
      </c>
      <c r="P199" s="10">
        <v>0.8</v>
      </c>
      <c r="Q199" s="14">
        <v>0</v>
      </c>
      <c r="R199" s="14">
        <v>0</v>
      </c>
      <c r="S199" s="10">
        <v>0</v>
      </c>
      <c r="T199" s="10">
        <v>0</v>
      </c>
      <c r="U199" s="14">
        <v>0</v>
      </c>
      <c r="V199" s="10"/>
      <c r="W199" s="11">
        <v>1</v>
      </c>
      <c r="X199" s="11">
        <v>1</v>
      </c>
      <c r="Y199" s="11">
        <v>0</v>
      </c>
      <c r="Z199" s="11">
        <v>0</v>
      </c>
      <c r="AA199" s="11">
        <f>MasterTable[[#This Row],[Landings
Night]]+MasterTable[[#This Row],[Landings
Day]]</f>
        <v>1</v>
      </c>
      <c r="AB199" s="10">
        <v>0</v>
      </c>
      <c r="AC199" s="10">
        <v>0</v>
      </c>
      <c r="AD199" s="11">
        <v>0</v>
      </c>
      <c r="AE199" s="21">
        <f>SUM(MasterTable[[#This Row],[ILS]:[PAR]])</f>
        <v>0</v>
      </c>
      <c r="AL199" s="11"/>
      <c r="AR199" s="140" t="str">
        <f>_xlfn.XLOOKUP(MasterTable[[#This Row],[Aircraft ID]],Aircraft!A:A,Aircraft!H:H)</f>
        <v>Airplane Single Engine Land</v>
      </c>
      <c r="AS199" s="8" t="b">
        <f>OR((SUM(MasterTable[[#This Row],[ILS]:[PAR]]) = MasterTable[[#This Row],[APPR]]))</f>
        <v>1</v>
      </c>
      <c r="AT199" s="8" t="b">
        <f>NOT(ISBLANK(MasterTable[[#This Row],[Total
Time]]))</f>
        <v>1</v>
      </c>
    </row>
    <row r="200" spans="4:46" ht="28.8" x14ac:dyDescent="0.3">
      <c r="D200" s="22">
        <v>45296</v>
      </c>
      <c r="E200" s="8" t="s">
        <v>174</v>
      </c>
      <c r="F200" s="8" t="s">
        <v>206</v>
      </c>
      <c r="G200" s="8" t="s">
        <v>206</v>
      </c>
      <c r="I200" s="10">
        <v>1.1000000000000001</v>
      </c>
      <c r="J200" s="10">
        <v>1.1000000000000001</v>
      </c>
      <c r="L200" s="10">
        <v>0</v>
      </c>
      <c r="M200" s="13">
        <v>0</v>
      </c>
      <c r="N200" s="13"/>
      <c r="O200" s="10">
        <v>0</v>
      </c>
      <c r="P200" s="10">
        <v>0</v>
      </c>
      <c r="Q200" s="14">
        <v>0</v>
      </c>
      <c r="R200" s="14">
        <v>0</v>
      </c>
      <c r="S200" s="10">
        <v>0</v>
      </c>
      <c r="T200" s="10">
        <v>0</v>
      </c>
      <c r="U200" s="14">
        <v>0</v>
      </c>
      <c r="V200" s="10">
        <v>1.1000000000000001</v>
      </c>
      <c r="W200" s="11">
        <v>1</v>
      </c>
      <c r="X200" s="11">
        <v>1</v>
      </c>
      <c r="Y200" s="11">
        <v>0</v>
      </c>
      <c r="Z200" s="11">
        <v>0</v>
      </c>
      <c r="AA200" s="11">
        <f>MasterTable[[#This Row],[Landings
Night]]+MasterTable[[#This Row],[Landings
Day]]</f>
        <v>1</v>
      </c>
      <c r="AB200" s="10">
        <v>0</v>
      </c>
      <c r="AC200" s="10">
        <v>0</v>
      </c>
      <c r="AD200" s="11">
        <v>0</v>
      </c>
      <c r="AE200" s="21">
        <f>SUM(MasterTable[[#This Row],[ILS]:[PAR]])</f>
        <v>0</v>
      </c>
      <c r="AL200" s="11"/>
      <c r="AR200" s="140" t="str">
        <f>_xlfn.XLOOKUP(MasterTable[[#This Row],[Aircraft ID]],Aircraft!A:A,Aircraft!H:H)</f>
        <v>Airplane Single Engine Land</v>
      </c>
      <c r="AS200" s="8" t="b">
        <f>OR((SUM(MasterTable[[#This Row],[ILS]:[PAR]]) = MasterTable[[#This Row],[APPR]]))</f>
        <v>1</v>
      </c>
      <c r="AT200" s="8" t="b">
        <f>NOT(ISBLANK(MasterTable[[#This Row],[Total
Time]]))</f>
        <v>1</v>
      </c>
    </row>
    <row r="201" spans="4:46" ht="28.8" x14ac:dyDescent="0.3">
      <c r="D201" s="22">
        <v>45276</v>
      </c>
      <c r="E201" s="8" t="s">
        <v>129</v>
      </c>
      <c r="F201" s="8" t="s">
        <v>206</v>
      </c>
      <c r="G201" s="8" t="s">
        <v>206</v>
      </c>
      <c r="I201" s="10">
        <v>1</v>
      </c>
      <c r="J201" s="10">
        <v>1</v>
      </c>
      <c r="M201" s="13">
        <v>0</v>
      </c>
      <c r="N201" s="13"/>
      <c r="P201" s="10">
        <v>1</v>
      </c>
      <c r="Q201" s="14">
        <v>0</v>
      </c>
      <c r="R201" s="14">
        <v>0</v>
      </c>
      <c r="U201" s="14">
        <v>0</v>
      </c>
      <c r="V201" s="10"/>
      <c r="W201" s="11">
        <v>1</v>
      </c>
      <c r="X201" s="11">
        <v>1</v>
      </c>
      <c r="AA201" s="11">
        <f>MasterTable[[#This Row],[Landings
Night]]+MasterTable[[#This Row],[Landings
Day]]</f>
        <v>1</v>
      </c>
      <c r="AE201" s="21">
        <f>SUM(MasterTable[[#This Row],[ILS]:[PAR]])</f>
        <v>0</v>
      </c>
      <c r="AL201" s="11"/>
      <c r="AR201" s="140" t="str">
        <f>_xlfn.XLOOKUP(MasterTable[[#This Row],[Aircraft ID]],Aircraft!A:A,Aircraft!H:H)</f>
        <v>Airplane Single Engine Land</v>
      </c>
      <c r="AS201" s="8" t="b">
        <f>OR((SUM(MasterTable[[#This Row],[ILS]:[PAR]]) = MasterTable[[#This Row],[APPR]]))</f>
        <v>1</v>
      </c>
      <c r="AT201" s="8" t="b">
        <f>NOT(ISBLANK(MasterTable[[#This Row],[Total
Time]]))</f>
        <v>1</v>
      </c>
    </row>
    <row r="202" spans="4:46" ht="28.8" x14ac:dyDescent="0.3">
      <c r="D202" s="22">
        <v>45275</v>
      </c>
      <c r="E202" s="8" t="s">
        <v>174</v>
      </c>
      <c r="F202" s="8" t="s">
        <v>204</v>
      </c>
      <c r="G202" s="8" t="s">
        <v>206</v>
      </c>
      <c r="I202" s="10">
        <v>1.5</v>
      </c>
      <c r="J202" s="10">
        <v>1.5</v>
      </c>
      <c r="M202" s="13">
        <v>0</v>
      </c>
      <c r="N202" s="13"/>
      <c r="Q202" s="14">
        <v>0</v>
      </c>
      <c r="R202" s="14">
        <v>0</v>
      </c>
      <c r="T202" s="10">
        <v>1.5</v>
      </c>
      <c r="U202" s="14">
        <v>0</v>
      </c>
      <c r="V202" s="10">
        <v>1.3</v>
      </c>
      <c r="W202" s="11">
        <v>1</v>
      </c>
      <c r="X202" s="11">
        <v>1</v>
      </c>
      <c r="AA202" s="11">
        <f>MasterTable[[#This Row],[Landings
Night]]+MasterTable[[#This Row],[Landings
Day]]</f>
        <v>1</v>
      </c>
      <c r="AE202" s="21">
        <f>SUM(MasterTable[[#This Row],[ILS]:[PAR]])</f>
        <v>0</v>
      </c>
      <c r="AL202" s="11"/>
      <c r="AR202" s="140" t="str">
        <f>_xlfn.XLOOKUP(MasterTable[[#This Row],[Aircraft ID]],Aircraft!A:A,Aircraft!H:H)</f>
        <v>Airplane Single Engine Land</v>
      </c>
      <c r="AS202" s="8" t="b">
        <f>OR((SUM(MasterTable[[#This Row],[ILS]:[PAR]]) = MasterTable[[#This Row],[APPR]]))</f>
        <v>1</v>
      </c>
      <c r="AT202" s="8" t="b">
        <f>NOT(ISBLANK(MasterTable[[#This Row],[Total
Time]]))</f>
        <v>1</v>
      </c>
    </row>
    <row r="203" spans="4:46" ht="28.8" x14ac:dyDescent="0.3">
      <c r="D203" s="22">
        <v>45275</v>
      </c>
      <c r="E203" s="8" t="s">
        <v>174</v>
      </c>
      <c r="F203" s="8" t="s">
        <v>206</v>
      </c>
      <c r="G203" s="8" t="s">
        <v>204</v>
      </c>
      <c r="I203" s="10">
        <v>1.1000000000000001</v>
      </c>
      <c r="J203" s="10">
        <v>1.1000000000000001</v>
      </c>
      <c r="M203" s="13">
        <v>0</v>
      </c>
      <c r="N203" s="13"/>
      <c r="Q203" s="14">
        <v>0</v>
      </c>
      <c r="R203" s="14">
        <v>0</v>
      </c>
      <c r="T203" s="10">
        <v>1.1000000000000001</v>
      </c>
      <c r="U203" s="14">
        <v>0</v>
      </c>
      <c r="V203" s="10">
        <v>0.9</v>
      </c>
      <c r="W203" s="11">
        <v>1</v>
      </c>
      <c r="X203" s="11">
        <v>1</v>
      </c>
      <c r="AA203" s="11">
        <f>MasterTable[[#This Row],[Landings
Night]]+MasterTable[[#This Row],[Landings
Day]]</f>
        <v>1</v>
      </c>
      <c r="AE203" s="21">
        <f>SUM(MasterTable[[#This Row],[ILS]:[PAR]])</f>
        <v>0</v>
      </c>
      <c r="AL203" s="11"/>
      <c r="AR203" s="140" t="str">
        <f>_xlfn.XLOOKUP(MasterTable[[#This Row],[Aircraft ID]],Aircraft!A:A,Aircraft!H:H)</f>
        <v>Airplane Single Engine Land</v>
      </c>
      <c r="AS203" s="8" t="b">
        <f>OR((SUM(MasterTable[[#This Row],[ILS]:[PAR]]) = MasterTable[[#This Row],[APPR]]))</f>
        <v>1</v>
      </c>
      <c r="AT203" s="8" t="b">
        <f>NOT(ISBLANK(MasterTable[[#This Row],[Total
Time]]))</f>
        <v>1</v>
      </c>
    </row>
    <row r="204" spans="4:46" ht="28.8" x14ac:dyDescent="0.3">
      <c r="D204" s="22">
        <v>45256</v>
      </c>
      <c r="E204" s="8" t="s">
        <v>174</v>
      </c>
      <c r="F204" s="8" t="s">
        <v>202</v>
      </c>
      <c r="G204" s="8" t="s">
        <v>206</v>
      </c>
      <c r="I204" s="10">
        <v>2.4</v>
      </c>
      <c r="J204" s="10">
        <v>2.4</v>
      </c>
      <c r="L204" s="10">
        <v>0</v>
      </c>
      <c r="M204" s="13">
        <v>0</v>
      </c>
      <c r="N204" s="13"/>
      <c r="O204" s="10">
        <v>0</v>
      </c>
      <c r="P204" s="10">
        <v>0</v>
      </c>
      <c r="Q204" s="14">
        <v>0</v>
      </c>
      <c r="R204" s="14">
        <v>0</v>
      </c>
      <c r="S204" s="10">
        <v>0</v>
      </c>
      <c r="T204" s="10">
        <v>2.4</v>
      </c>
      <c r="U204" s="14">
        <v>0</v>
      </c>
      <c r="V204" s="10"/>
      <c r="W204" s="11">
        <v>2</v>
      </c>
      <c r="X204" s="11">
        <v>2</v>
      </c>
      <c r="Y204" s="11">
        <v>0</v>
      </c>
      <c r="Z204" s="11">
        <v>0</v>
      </c>
      <c r="AA204" s="11">
        <f>MasterTable[[#This Row],[Landings
Night]]+MasterTable[[#This Row],[Landings
Day]]</f>
        <v>2</v>
      </c>
      <c r="AB204" s="10">
        <v>0</v>
      </c>
      <c r="AC204" s="10">
        <v>0</v>
      </c>
      <c r="AD204" s="11">
        <v>0</v>
      </c>
      <c r="AE204" s="21">
        <f>SUM(MasterTable[[#This Row],[ILS]:[PAR]])</f>
        <v>0</v>
      </c>
      <c r="AL204" s="11"/>
      <c r="AR204" s="140" t="str">
        <f>_xlfn.XLOOKUP(MasterTable[[#This Row],[Aircraft ID]],Aircraft!A:A,Aircraft!H:H)</f>
        <v>Airplane Single Engine Land</v>
      </c>
      <c r="AS204" s="8" t="b">
        <f>OR((SUM(MasterTable[[#This Row],[ILS]:[PAR]]) = MasterTable[[#This Row],[APPR]]))</f>
        <v>1</v>
      </c>
      <c r="AT204" s="8" t="b">
        <f>NOT(ISBLANK(MasterTable[[#This Row],[Total
Time]]))</f>
        <v>1</v>
      </c>
    </row>
    <row r="205" spans="4:46" ht="28.8" x14ac:dyDescent="0.3">
      <c r="D205" s="22">
        <v>45255</v>
      </c>
      <c r="E205" s="8" t="s">
        <v>174</v>
      </c>
      <c r="F205" s="8" t="s">
        <v>202</v>
      </c>
      <c r="G205" s="8" t="s">
        <v>202</v>
      </c>
      <c r="I205" s="10">
        <v>1.3</v>
      </c>
      <c r="J205" s="10">
        <v>1.3</v>
      </c>
      <c r="L205" s="10">
        <v>0</v>
      </c>
      <c r="M205" s="13">
        <v>0</v>
      </c>
      <c r="N205" s="13"/>
      <c r="O205" s="10">
        <v>0</v>
      </c>
      <c r="P205" s="10">
        <v>0</v>
      </c>
      <c r="Q205" s="14">
        <v>0</v>
      </c>
      <c r="R205" s="14">
        <v>0</v>
      </c>
      <c r="S205" s="10">
        <v>0</v>
      </c>
      <c r="T205" s="10">
        <v>0</v>
      </c>
      <c r="U205" s="14">
        <v>0</v>
      </c>
      <c r="V205" s="10"/>
      <c r="W205" s="11">
        <v>1</v>
      </c>
      <c r="X205" s="11">
        <v>1</v>
      </c>
      <c r="Y205" s="11">
        <v>0</v>
      </c>
      <c r="Z205" s="11">
        <v>0</v>
      </c>
      <c r="AA205" s="11">
        <f>MasterTable[[#This Row],[Landings
Night]]+MasterTable[[#This Row],[Landings
Day]]</f>
        <v>1</v>
      </c>
      <c r="AB205" s="10">
        <v>0</v>
      </c>
      <c r="AC205" s="10">
        <v>0</v>
      </c>
      <c r="AD205" s="11">
        <v>0</v>
      </c>
      <c r="AE205" s="21">
        <f>SUM(MasterTable[[#This Row],[ILS]:[PAR]])</f>
        <v>0</v>
      </c>
      <c r="AL205" s="11"/>
      <c r="AR205" s="140" t="str">
        <f>_xlfn.XLOOKUP(MasterTable[[#This Row],[Aircraft ID]],Aircraft!A:A,Aircraft!H:H)</f>
        <v>Airplane Single Engine Land</v>
      </c>
      <c r="AS205" s="8" t="b">
        <f>OR((SUM(MasterTable[[#This Row],[ILS]:[PAR]]) = MasterTable[[#This Row],[APPR]]))</f>
        <v>1</v>
      </c>
      <c r="AT205" s="8" t="b">
        <f>NOT(ISBLANK(MasterTable[[#This Row],[Total
Time]]))</f>
        <v>1</v>
      </c>
    </row>
    <row r="206" spans="4:46" ht="28.8" x14ac:dyDescent="0.3">
      <c r="D206" s="22">
        <v>45254</v>
      </c>
      <c r="E206" s="8" t="s">
        <v>174</v>
      </c>
      <c r="F206" s="8" t="s">
        <v>202</v>
      </c>
      <c r="G206" s="8" t="s">
        <v>202</v>
      </c>
      <c r="I206" s="10">
        <v>0.4</v>
      </c>
      <c r="J206" s="10">
        <v>0.4</v>
      </c>
      <c r="M206" s="13">
        <v>0</v>
      </c>
      <c r="N206" s="13"/>
      <c r="Q206" s="14">
        <v>0</v>
      </c>
      <c r="R206" s="14">
        <v>0</v>
      </c>
      <c r="U206" s="14">
        <v>0</v>
      </c>
      <c r="V206" s="10"/>
      <c r="W206" s="11">
        <v>1</v>
      </c>
      <c r="X206" s="11">
        <v>1</v>
      </c>
      <c r="AA206" s="11">
        <f>MasterTable[[#This Row],[Landings
Night]]+MasterTable[[#This Row],[Landings
Day]]</f>
        <v>1</v>
      </c>
      <c r="AE206" s="21">
        <f>SUM(MasterTable[[#This Row],[ILS]:[PAR]])</f>
        <v>0</v>
      </c>
      <c r="AL206" s="11"/>
      <c r="AR206" s="140" t="str">
        <f>_xlfn.XLOOKUP(MasterTable[[#This Row],[Aircraft ID]],Aircraft!A:A,Aircraft!H:H)</f>
        <v>Airplane Single Engine Land</v>
      </c>
      <c r="AS206" s="8" t="b">
        <f>OR((SUM(MasterTable[[#This Row],[ILS]:[PAR]]) = MasterTable[[#This Row],[APPR]]))</f>
        <v>1</v>
      </c>
      <c r="AT206" s="8" t="b">
        <f>NOT(ISBLANK(MasterTable[[#This Row],[Total
Time]]))</f>
        <v>1</v>
      </c>
    </row>
    <row r="207" spans="4:46" ht="28.8" x14ac:dyDescent="0.3">
      <c r="D207" s="22">
        <v>45254</v>
      </c>
      <c r="E207" s="8" t="s">
        <v>174</v>
      </c>
      <c r="F207" s="8" t="s">
        <v>202</v>
      </c>
      <c r="G207" s="8" t="s">
        <v>202</v>
      </c>
      <c r="I207" s="10">
        <v>0.6</v>
      </c>
      <c r="J207" s="10">
        <v>0.6</v>
      </c>
      <c r="M207" s="13">
        <v>0</v>
      </c>
      <c r="N207" s="13"/>
      <c r="O207" s="10">
        <v>0.6</v>
      </c>
      <c r="Q207" s="14">
        <v>0</v>
      </c>
      <c r="R207" s="14">
        <v>0</v>
      </c>
      <c r="U207" s="14">
        <v>0</v>
      </c>
      <c r="V207" s="10"/>
      <c r="W207" s="11">
        <v>1</v>
      </c>
      <c r="X207" s="11">
        <v>1</v>
      </c>
      <c r="AA207" s="11">
        <f>MasterTable[[#This Row],[Landings
Night]]+MasterTable[[#This Row],[Landings
Day]]</f>
        <v>1</v>
      </c>
      <c r="AE207" s="21">
        <f>SUM(MasterTable[[#This Row],[ILS]:[PAR]])</f>
        <v>0</v>
      </c>
      <c r="AL207" s="11"/>
      <c r="AR207" s="140" t="str">
        <f>_xlfn.XLOOKUP(MasterTable[[#This Row],[Aircraft ID]],Aircraft!A:A,Aircraft!H:H)</f>
        <v>Airplane Single Engine Land</v>
      </c>
      <c r="AS207" s="8" t="b">
        <f>OR((SUM(MasterTable[[#This Row],[ILS]:[PAR]]) = MasterTable[[#This Row],[APPR]]))</f>
        <v>1</v>
      </c>
      <c r="AT207" s="8" t="b">
        <f>NOT(ISBLANK(MasterTable[[#This Row],[Total
Time]]))</f>
        <v>1</v>
      </c>
    </row>
    <row r="208" spans="4:46" ht="28.8" x14ac:dyDescent="0.3">
      <c r="D208" s="22">
        <v>45253</v>
      </c>
      <c r="E208" s="8" t="s">
        <v>174</v>
      </c>
      <c r="F208" s="8" t="s">
        <v>206</v>
      </c>
      <c r="G208" s="8" t="s">
        <v>202</v>
      </c>
      <c r="I208" s="10">
        <v>2.4</v>
      </c>
      <c r="J208" s="10">
        <v>2.4</v>
      </c>
      <c r="L208" s="10">
        <v>0</v>
      </c>
      <c r="M208" s="13">
        <v>0</v>
      </c>
      <c r="N208" s="13"/>
      <c r="O208" s="10">
        <v>0</v>
      </c>
      <c r="P208" s="10">
        <v>0</v>
      </c>
      <c r="Q208" s="14">
        <v>0</v>
      </c>
      <c r="R208" s="14">
        <v>0</v>
      </c>
      <c r="S208" s="10">
        <v>0</v>
      </c>
      <c r="T208" s="10">
        <v>2.4</v>
      </c>
      <c r="U208" s="14">
        <v>0</v>
      </c>
      <c r="V208" s="10"/>
      <c r="W208" s="11">
        <v>1</v>
      </c>
      <c r="X208" s="11">
        <v>1</v>
      </c>
      <c r="Y208" s="11">
        <v>0</v>
      </c>
      <c r="Z208" s="11">
        <v>0</v>
      </c>
      <c r="AA208" s="11">
        <f>MasterTable[[#This Row],[Landings
Night]]+MasterTable[[#This Row],[Landings
Day]]</f>
        <v>1</v>
      </c>
      <c r="AB208" s="10">
        <v>0</v>
      </c>
      <c r="AC208" s="10">
        <v>0</v>
      </c>
      <c r="AD208" s="11">
        <v>0</v>
      </c>
      <c r="AE208" s="21">
        <f>SUM(MasterTable[[#This Row],[ILS]:[PAR]])</f>
        <v>0</v>
      </c>
      <c r="AL208" s="11"/>
      <c r="AR208" s="140" t="str">
        <f>_xlfn.XLOOKUP(MasterTable[[#This Row],[Aircraft ID]],Aircraft!A:A,Aircraft!H:H)</f>
        <v>Airplane Single Engine Land</v>
      </c>
      <c r="AS208" s="8" t="b">
        <f>OR((SUM(MasterTable[[#This Row],[ILS]:[PAR]]) = MasterTable[[#This Row],[APPR]]))</f>
        <v>1</v>
      </c>
      <c r="AT208" s="8" t="b">
        <f>NOT(ISBLANK(MasterTable[[#This Row],[Total
Time]]))</f>
        <v>1</v>
      </c>
    </row>
    <row r="209" spans="4:46" ht="28.8" x14ac:dyDescent="0.3">
      <c r="D209" s="22">
        <v>45252</v>
      </c>
      <c r="E209" s="8" t="s">
        <v>174</v>
      </c>
      <c r="F209" s="8" t="s">
        <v>206</v>
      </c>
      <c r="G209" s="8" t="s">
        <v>206</v>
      </c>
      <c r="I209" s="10">
        <v>0.3</v>
      </c>
      <c r="J209" s="10">
        <v>0.3</v>
      </c>
      <c r="L209" s="10">
        <v>0</v>
      </c>
      <c r="M209" s="13">
        <v>0</v>
      </c>
      <c r="N209" s="13"/>
      <c r="O209" s="10">
        <v>0</v>
      </c>
      <c r="P209" s="10">
        <v>0</v>
      </c>
      <c r="Q209" s="14">
        <v>0</v>
      </c>
      <c r="R209" s="14">
        <v>0</v>
      </c>
      <c r="S209" s="10">
        <v>0</v>
      </c>
      <c r="T209" s="10">
        <v>0</v>
      </c>
      <c r="U209" s="14">
        <v>0</v>
      </c>
      <c r="V209" s="10"/>
      <c r="W209" s="11">
        <v>1</v>
      </c>
      <c r="X209" s="11">
        <v>1</v>
      </c>
      <c r="Y209" s="11">
        <v>0</v>
      </c>
      <c r="Z209" s="11">
        <v>0</v>
      </c>
      <c r="AA209" s="11">
        <f>MasterTable[[#This Row],[Landings
Night]]+MasterTable[[#This Row],[Landings
Day]]</f>
        <v>1</v>
      </c>
      <c r="AB209" s="10">
        <v>0</v>
      </c>
      <c r="AC209" s="10">
        <v>0</v>
      </c>
      <c r="AD209" s="11">
        <v>0</v>
      </c>
      <c r="AE209" s="21">
        <f>SUM(MasterTable[[#This Row],[ILS]:[PAR]])</f>
        <v>0</v>
      </c>
      <c r="AL209" s="11"/>
      <c r="AR209" s="140" t="str">
        <f>_xlfn.XLOOKUP(MasterTable[[#This Row],[Aircraft ID]],Aircraft!A:A,Aircraft!H:H)</f>
        <v>Airplane Single Engine Land</v>
      </c>
      <c r="AS209" s="8" t="b">
        <f>OR((SUM(MasterTable[[#This Row],[ILS]:[PAR]]) = MasterTable[[#This Row],[APPR]]))</f>
        <v>1</v>
      </c>
      <c r="AT209" s="8" t="b">
        <f>NOT(ISBLANK(MasterTable[[#This Row],[Total
Time]]))</f>
        <v>1</v>
      </c>
    </row>
    <row r="210" spans="4:46" ht="28.8" x14ac:dyDescent="0.3">
      <c r="D210" s="22">
        <v>45235</v>
      </c>
      <c r="E210" s="8" t="s">
        <v>174</v>
      </c>
      <c r="F210" s="8" t="s">
        <v>206</v>
      </c>
      <c r="G210" s="8" t="s">
        <v>207</v>
      </c>
      <c r="I210" s="10">
        <v>1.5</v>
      </c>
      <c r="J210" s="10">
        <v>1.5</v>
      </c>
      <c r="L210" s="10">
        <v>0</v>
      </c>
      <c r="M210" s="13">
        <v>0</v>
      </c>
      <c r="N210" s="13"/>
      <c r="O210" s="10">
        <v>1.5</v>
      </c>
      <c r="P210" s="10">
        <v>0</v>
      </c>
      <c r="Q210" s="14">
        <v>0</v>
      </c>
      <c r="R210" s="14">
        <v>0</v>
      </c>
      <c r="S210" s="10">
        <v>0</v>
      </c>
      <c r="T210" s="10">
        <v>0</v>
      </c>
      <c r="U210" s="14">
        <v>0</v>
      </c>
      <c r="V210" s="10"/>
      <c r="W210" s="11">
        <v>2</v>
      </c>
      <c r="X210" s="11">
        <v>2</v>
      </c>
      <c r="Y210" s="11">
        <v>0</v>
      </c>
      <c r="Z210" s="11">
        <v>0</v>
      </c>
      <c r="AA210" s="11">
        <f>MasterTable[[#This Row],[Landings
Night]]+MasterTable[[#This Row],[Landings
Day]]</f>
        <v>2</v>
      </c>
      <c r="AB210" s="10">
        <v>0</v>
      </c>
      <c r="AC210" s="10">
        <v>0</v>
      </c>
      <c r="AD210" s="11">
        <v>0</v>
      </c>
      <c r="AE210" s="21">
        <f>SUM(MasterTable[[#This Row],[ILS]:[PAR]])</f>
        <v>0</v>
      </c>
      <c r="AL210" s="11"/>
      <c r="AR210" s="140" t="str">
        <f>_xlfn.XLOOKUP(MasterTable[[#This Row],[Aircraft ID]],Aircraft!A:A,Aircraft!H:H)</f>
        <v>Airplane Single Engine Land</v>
      </c>
      <c r="AS210" s="8" t="b">
        <f>OR((SUM(MasterTable[[#This Row],[ILS]:[PAR]]) = MasterTable[[#This Row],[APPR]]))</f>
        <v>1</v>
      </c>
      <c r="AT210" s="8" t="b">
        <f>NOT(ISBLANK(MasterTable[[#This Row],[Total
Time]]))</f>
        <v>1</v>
      </c>
    </row>
    <row r="211" spans="4:46" ht="28.8" x14ac:dyDescent="0.3">
      <c r="D211" s="22">
        <v>45232</v>
      </c>
      <c r="E211" s="8" t="s">
        <v>163</v>
      </c>
      <c r="F211" s="8" t="s">
        <v>206</v>
      </c>
      <c r="G211" s="8" t="s">
        <v>206</v>
      </c>
      <c r="H211" s="8" t="s">
        <v>215</v>
      </c>
      <c r="I211" s="10">
        <v>2.2999999999999998</v>
      </c>
      <c r="J211" s="10">
        <v>2.2999999999999998</v>
      </c>
      <c r="L211" s="10">
        <v>0</v>
      </c>
      <c r="M211" s="13">
        <v>0</v>
      </c>
      <c r="N211" s="13"/>
      <c r="O211" s="10">
        <v>0</v>
      </c>
      <c r="P211" s="10">
        <v>0</v>
      </c>
      <c r="Q211" s="14">
        <v>0</v>
      </c>
      <c r="R211" s="14">
        <v>0</v>
      </c>
      <c r="S211" s="10">
        <v>2.2999999999999998</v>
      </c>
      <c r="T211" s="10">
        <v>0</v>
      </c>
      <c r="U211" s="14">
        <v>0</v>
      </c>
      <c r="V211" s="10"/>
      <c r="W211" s="11">
        <v>0</v>
      </c>
      <c r="X211" s="11">
        <v>0</v>
      </c>
      <c r="Y211" s="11">
        <v>0</v>
      </c>
      <c r="Z211" s="11">
        <v>0</v>
      </c>
      <c r="AA211" s="11">
        <f>MasterTable[[#This Row],[Landings
Night]]+MasterTable[[#This Row],[Landings
Day]]</f>
        <v>0</v>
      </c>
      <c r="AB211" s="10">
        <v>0</v>
      </c>
      <c r="AC211" s="10">
        <v>0</v>
      </c>
      <c r="AD211" s="11">
        <v>0</v>
      </c>
      <c r="AE211" s="21">
        <f>SUM(MasterTable[[#This Row],[ILS]:[PAR]])</f>
        <v>0</v>
      </c>
      <c r="AL211" s="11"/>
      <c r="AR211" s="140" t="str">
        <f>_xlfn.XLOOKUP(MasterTable[[#This Row],[Aircraft ID]],Aircraft!A:A,Aircraft!H:H)</f>
        <v>Airplane Single Engine Land</v>
      </c>
      <c r="AS211" s="8" t="b">
        <f>OR((SUM(MasterTable[[#This Row],[ILS]:[PAR]]) = MasterTable[[#This Row],[APPR]]))</f>
        <v>1</v>
      </c>
      <c r="AT211" s="8" t="b">
        <f>NOT(ISBLANK(MasterTable[[#This Row],[Total
Time]]))</f>
        <v>1</v>
      </c>
    </row>
    <row r="212" spans="4:46" ht="28.8" x14ac:dyDescent="0.3">
      <c r="D212" s="22">
        <v>45227</v>
      </c>
      <c r="E212" s="8" t="s">
        <v>174</v>
      </c>
      <c r="F212" s="8" t="s">
        <v>204</v>
      </c>
      <c r="G212" s="8" t="s">
        <v>206</v>
      </c>
      <c r="I212" s="10">
        <v>1</v>
      </c>
      <c r="J212" s="10">
        <v>1</v>
      </c>
      <c r="L212" s="10">
        <v>0</v>
      </c>
      <c r="M212" s="13">
        <v>0</v>
      </c>
      <c r="N212" s="13"/>
      <c r="O212" s="10">
        <v>0</v>
      </c>
      <c r="P212" s="10">
        <v>0</v>
      </c>
      <c r="Q212" s="14">
        <v>0</v>
      </c>
      <c r="R212" s="14">
        <v>0</v>
      </c>
      <c r="S212" s="10">
        <v>0</v>
      </c>
      <c r="T212" s="10">
        <v>1</v>
      </c>
      <c r="U212" s="14">
        <v>0</v>
      </c>
      <c r="V212" s="10"/>
      <c r="W212" s="11">
        <v>1</v>
      </c>
      <c r="X212" s="11">
        <v>1</v>
      </c>
      <c r="Y212" s="11">
        <v>0</v>
      </c>
      <c r="Z212" s="11">
        <v>0</v>
      </c>
      <c r="AA212" s="11">
        <f>MasterTable[[#This Row],[Landings
Night]]+MasterTable[[#This Row],[Landings
Day]]</f>
        <v>1</v>
      </c>
      <c r="AB212" s="10">
        <v>0</v>
      </c>
      <c r="AC212" s="10">
        <v>0</v>
      </c>
      <c r="AD212" s="11">
        <v>0</v>
      </c>
      <c r="AE212" s="21">
        <f>SUM(MasterTable[[#This Row],[ILS]:[PAR]])</f>
        <v>0</v>
      </c>
      <c r="AL212" s="11"/>
      <c r="AR212" s="140" t="str">
        <f>_xlfn.XLOOKUP(MasterTable[[#This Row],[Aircraft ID]],Aircraft!A:A,Aircraft!H:H)</f>
        <v>Airplane Single Engine Land</v>
      </c>
      <c r="AS212" s="8" t="b">
        <f>OR((SUM(MasterTable[[#This Row],[ILS]:[PAR]]) = MasterTable[[#This Row],[APPR]]))</f>
        <v>1</v>
      </c>
      <c r="AT212" s="8" t="b">
        <f>NOT(ISBLANK(MasterTable[[#This Row],[Total
Time]]))</f>
        <v>1</v>
      </c>
    </row>
    <row r="213" spans="4:46" ht="28.8" x14ac:dyDescent="0.3">
      <c r="D213" s="22">
        <v>45227</v>
      </c>
      <c r="E213" s="8" t="s">
        <v>154</v>
      </c>
      <c r="F213" s="8" t="s">
        <v>204</v>
      </c>
      <c r="G213" s="8" t="s">
        <v>204</v>
      </c>
      <c r="I213" s="10">
        <v>0.5</v>
      </c>
      <c r="J213" s="10">
        <v>0.5</v>
      </c>
      <c r="L213" s="10">
        <v>0</v>
      </c>
      <c r="M213" s="13">
        <v>0</v>
      </c>
      <c r="N213" s="13"/>
      <c r="O213" s="10">
        <v>0</v>
      </c>
      <c r="P213" s="10">
        <v>0</v>
      </c>
      <c r="Q213" s="14">
        <v>0</v>
      </c>
      <c r="R213" s="14">
        <v>0</v>
      </c>
      <c r="S213" s="10">
        <v>0</v>
      </c>
      <c r="T213" s="10">
        <v>0</v>
      </c>
      <c r="U213" s="14">
        <v>0</v>
      </c>
      <c r="V213" s="10"/>
      <c r="W213" s="11">
        <v>0</v>
      </c>
      <c r="X213" s="11">
        <v>0</v>
      </c>
      <c r="Y213" s="11">
        <v>0</v>
      </c>
      <c r="Z213" s="11">
        <v>0</v>
      </c>
      <c r="AA213" s="11">
        <f>MasterTable[[#This Row],[Landings
Night]]+MasterTable[[#This Row],[Landings
Day]]</f>
        <v>0</v>
      </c>
      <c r="AB213" s="10">
        <v>0</v>
      </c>
      <c r="AC213" s="10">
        <v>0</v>
      </c>
      <c r="AD213" s="11">
        <v>0</v>
      </c>
      <c r="AE213" s="21">
        <f>SUM(MasterTable[[#This Row],[ILS]:[PAR]])</f>
        <v>0</v>
      </c>
      <c r="AL213" s="11"/>
      <c r="AR213" s="140" t="str">
        <f>_xlfn.XLOOKUP(MasterTable[[#This Row],[Aircraft ID]],Aircraft!A:A,Aircraft!H:H)</f>
        <v>Airplane Single Engine Land</v>
      </c>
      <c r="AS213" s="8" t="b">
        <f>OR((SUM(MasterTable[[#This Row],[ILS]:[PAR]]) = MasterTable[[#This Row],[APPR]]))</f>
        <v>1</v>
      </c>
      <c r="AT213" s="8" t="b">
        <f>NOT(ISBLANK(MasterTable[[#This Row],[Total
Time]]))</f>
        <v>1</v>
      </c>
    </row>
    <row r="214" spans="4:46" ht="28.8" x14ac:dyDescent="0.3">
      <c r="D214" s="22">
        <v>45227</v>
      </c>
      <c r="E214" s="8" t="s">
        <v>154</v>
      </c>
      <c r="F214" s="8" t="s">
        <v>204</v>
      </c>
      <c r="G214" s="8" t="s">
        <v>204</v>
      </c>
      <c r="I214" s="10">
        <v>0.6</v>
      </c>
      <c r="J214" s="10">
        <v>0.6</v>
      </c>
      <c r="L214" s="10">
        <v>0</v>
      </c>
      <c r="M214" s="13">
        <v>0</v>
      </c>
      <c r="N214" s="13"/>
      <c r="O214" s="10">
        <v>0</v>
      </c>
      <c r="P214" s="10">
        <v>0</v>
      </c>
      <c r="Q214" s="14">
        <v>0</v>
      </c>
      <c r="R214" s="14">
        <v>0</v>
      </c>
      <c r="S214" s="10">
        <v>0</v>
      </c>
      <c r="T214" s="10">
        <v>0</v>
      </c>
      <c r="U214" s="14">
        <v>0</v>
      </c>
      <c r="V214" s="10"/>
      <c r="W214" s="11">
        <v>0</v>
      </c>
      <c r="X214" s="11">
        <v>0</v>
      </c>
      <c r="Y214" s="11">
        <v>0</v>
      </c>
      <c r="Z214" s="11">
        <v>0</v>
      </c>
      <c r="AA214" s="11">
        <f>MasterTable[[#This Row],[Landings
Night]]+MasterTable[[#This Row],[Landings
Day]]</f>
        <v>0</v>
      </c>
      <c r="AB214" s="10">
        <v>0</v>
      </c>
      <c r="AC214" s="10">
        <v>0</v>
      </c>
      <c r="AD214" s="11">
        <v>0</v>
      </c>
      <c r="AE214" s="21">
        <f>SUM(MasterTable[[#This Row],[ILS]:[PAR]])</f>
        <v>0</v>
      </c>
      <c r="AL214" s="11"/>
      <c r="AR214" s="140" t="str">
        <f>_xlfn.XLOOKUP(MasterTable[[#This Row],[Aircraft ID]],Aircraft!A:A,Aircraft!H:H)</f>
        <v>Airplane Single Engine Land</v>
      </c>
      <c r="AS214" s="8" t="b">
        <f>OR((SUM(MasterTable[[#This Row],[ILS]:[PAR]]) = MasterTable[[#This Row],[APPR]]))</f>
        <v>1</v>
      </c>
      <c r="AT214" s="8" t="b">
        <f>NOT(ISBLANK(MasterTable[[#This Row],[Total
Time]]))</f>
        <v>1</v>
      </c>
    </row>
    <row r="215" spans="4:46" ht="28.8" x14ac:dyDescent="0.3">
      <c r="D215" s="22">
        <v>45227</v>
      </c>
      <c r="E215" s="8" t="s">
        <v>174</v>
      </c>
      <c r="F215" s="8" t="s">
        <v>206</v>
      </c>
      <c r="G215" s="8" t="s">
        <v>204</v>
      </c>
      <c r="I215" s="10">
        <v>1.6</v>
      </c>
      <c r="J215" s="10">
        <v>1.6</v>
      </c>
      <c r="L215" s="10">
        <v>0</v>
      </c>
      <c r="M215" s="13">
        <v>0</v>
      </c>
      <c r="N215" s="13"/>
      <c r="O215" s="10">
        <v>0</v>
      </c>
      <c r="P215" s="10">
        <v>0</v>
      </c>
      <c r="Q215" s="14">
        <v>0</v>
      </c>
      <c r="R215" s="14">
        <v>0</v>
      </c>
      <c r="S215" s="10">
        <v>0</v>
      </c>
      <c r="T215" s="10">
        <v>1.6</v>
      </c>
      <c r="U215" s="14">
        <v>0</v>
      </c>
      <c r="V215" s="10"/>
      <c r="W215" s="11">
        <v>1</v>
      </c>
      <c r="X215" s="11">
        <v>1</v>
      </c>
      <c r="Y215" s="11">
        <v>0</v>
      </c>
      <c r="Z215" s="11">
        <v>0</v>
      </c>
      <c r="AA215" s="11">
        <f>MasterTable[[#This Row],[Landings
Night]]+MasterTable[[#This Row],[Landings
Day]]</f>
        <v>1</v>
      </c>
      <c r="AB215" s="10">
        <v>0</v>
      </c>
      <c r="AC215" s="10">
        <v>0</v>
      </c>
      <c r="AD215" s="11">
        <v>0</v>
      </c>
      <c r="AE215" s="21">
        <f>SUM(MasterTable[[#This Row],[ILS]:[PAR]])</f>
        <v>0</v>
      </c>
      <c r="AL215" s="11"/>
      <c r="AR215" s="140" t="str">
        <f>_xlfn.XLOOKUP(MasterTable[[#This Row],[Aircraft ID]],Aircraft!A:A,Aircraft!H:H)</f>
        <v>Airplane Single Engine Land</v>
      </c>
      <c r="AS215" s="8" t="b">
        <f>OR((SUM(MasterTable[[#This Row],[ILS]:[PAR]]) = MasterTable[[#This Row],[APPR]]))</f>
        <v>1</v>
      </c>
      <c r="AT215" s="8" t="b">
        <f>NOT(ISBLANK(MasterTable[[#This Row],[Total
Time]]))</f>
        <v>1</v>
      </c>
    </row>
    <row r="216" spans="4:46" ht="28.8" x14ac:dyDescent="0.3">
      <c r="D216" s="22">
        <v>45221</v>
      </c>
      <c r="E216" s="8" t="s">
        <v>174</v>
      </c>
      <c r="F216" s="8" t="s">
        <v>206</v>
      </c>
      <c r="G216" s="8" t="s">
        <v>206</v>
      </c>
      <c r="I216" s="10">
        <v>1</v>
      </c>
      <c r="J216" s="10">
        <v>1</v>
      </c>
      <c r="L216" s="10">
        <v>0</v>
      </c>
      <c r="M216" s="13">
        <v>0</v>
      </c>
      <c r="N216" s="13"/>
      <c r="O216" s="10">
        <v>1</v>
      </c>
      <c r="P216" s="10">
        <v>0</v>
      </c>
      <c r="Q216" s="14">
        <v>0</v>
      </c>
      <c r="R216" s="14">
        <v>0</v>
      </c>
      <c r="S216" s="10">
        <v>0</v>
      </c>
      <c r="T216" s="10">
        <v>0</v>
      </c>
      <c r="U216" s="14">
        <v>0</v>
      </c>
      <c r="V216" s="10"/>
      <c r="W216" s="11">
        <v>1</v>
      </c>
      <c r="X216" s="11">
        <v>1</v>
      </c>
      <c r="Y216" s="11">
        <v>0</v>
      </c>
      <c r="Z216" s="11">
        <v>0</v>
      </c>
      <c r="AA216" s="11">
        <f>MasterTable[[#This Row],[Landings
Night]]+MasterTable[[#This Row],[Landings
Day]]</f>
        <v>1</v>
      </c>
      <c r="AB216" s="10">
        <v>0</v>
      </c>
      <c r="AC216" s="10">
        <v>0</v>
      </c>
      <c r="AD216" s="11">
        <v>0</v>
      </c>
      <c r="AE216" s="21">
        <f>SUM(MasterTable[[#This Row],[ILS]:[PAR]])</f>
        <v>0</v>
      </c>
      <c r="AL216" s="11"/>
      <c r="AR216" s="140" t="str">
        <f>_xlfn.XLOOKUP(MasterTable[[#This Row],[Aircraft ID]],Aircraft!A:A,Aircraft!H:H)</f>
        <v>Airplane Single Engine Land</v>
      </c>
      <c r="AS216" s="8" t="b">
        <f>OR((SUM(MasterTable[[#This Row],[ILS]:[PAR]]) = MasterTable[[#This Row],[APPR]]))</f>
        <v>1</v>
      </c>
      <c r="AT216" s="8" t="b">
        <f>NOT(ISBLANK(MasterTable[[#This Row],[Total
Time]]))</f>
        <v>1</v>
      </c>
    </row>
    <row r="217" spans="4:46" ht="28.8" x14ac:dyDescent="0.3">
      <c r="D217" s="22">
        <v>45214</v>
      </c>
      <c r="E217" s="8" t="s">
        <v>174</v>
      </c>
      <c r="F217" s="8" t="s">
        <v>216</v>
      </c>
      <c r="G217" s="8" t="s">
        <v>206</v>
      </c>
      <c r="I217" s="10">
        <v>1</v>
      </c>
      <c r="J217" s="10">
        <v>1</v>
      </c>
      <c r="M217" s="13">
        <v>0</v>
      </c>
      <c r="N217" s="13"/>
      <c r="Q217" s="14">
        <v>0</v>
      </c>
      <c r="R217" s="14">
        <v>0</v>
      </c>
      <c r="T217" s="10">
        <v>1</v>
      </c>
      <c r="U217" s="14">
        <v>0</v>
      </c>
      <c r="V217" s="10"/>
      <c r="W217" s="11">
        <v>1</v>
      </c>
      <c r="X217" s="11">
        <v>1</v>
      </c>
      <c r="AA217" s="11">
        <f>MasterTable[[#This Row],[Landings
Night]]+MasterTable[[#This Row],[Landings
Day]]</f>
        <v>1</v>
      </c>
      <c r="AE217" s="21">
        <f>SUM(MasterTable[[#This Row],[ILS]:[PAR]])</f>
        <v>0</v>
      </c>
      <c r="AL217" s="11"/>
      <c r="AR217" s="140" t="str">
        <f>_xlfn.XLOOKUP(MasterTable[[#This Row],[Aircraft ID]],Aircraft!A:A,Aircraft!H:H)</f>
        <v>Airplane Single Engine Land</v>
      </c>
      <c r="AS217" s="8" t="b">
        <f>OR((SUM(MasterTable[[#This Row],[ILS]:[PAR]]) = MasterTable[[#This Row],[APPR]]))</f>
        <v>1</v>
      </c>
      <c r="AT217" s="8" t="b">
        <f>NOT(ISBLANK(MasterTable[[#This Row],[Total
Time]]))</f>
        <v>1</v>
      </c>
    </row>
    <row r="218" spans="4:46" ht="28.8" x14ac:dyDescent="0.3">
      <c r="D218" s="22">
        <v>45213</v>
      </c>
      <c r="E218" s="8" t="s">
        <v>174</v>
      </c>
      <c r="F218" s="8" t="s">
        <v>216</v>
      </c>
      <c r="G218" s="8" t="s">
        <v>216</v>
      </c>
      <c r="H218" s="8" t="s">
        <v>217</v>
      </c>
      <c r="I218" s="10">
        <v>2.9</v>
      </c>
      <c r="J218" s="10">
        <v>2.9</v>
      </c>
      <c r="M218" s="13">
        <v>0</v>
      </c>
      <c r="N218" s="13"/>
      <c r="Q218" s="14">
        <v>0</v>
      </c>
      <c r="R218" s="14">
        <v>0</v>
      </c>
      <c r="U218" s="14">
        <v>0</v>
      </c>
      <c r="V218" s="10">
        <v>2</v>
      </c>
      <c r="W218" s="11">
        <v>12</v>
      </c>
      <c r="X218" s="11">
        <v>12</v>
      </c>
      <c r="AA218" s="11">
        <f>MasterTable[[#This Row],[Landings
Night]]+MasterTable[[#This Row],[Landings
Day]]</f>
        <v>12</v>
      </c>
      <c r="AE218" s="21">
        <f>SUM(MasterTable[[#This Row],[ILS]:[PAR]])</f>
        <v>0</v>
      </c>
      <c r="AL218" s="11"/>
      <c r="AR218" s="140" t="str">
        <f>_xlfn.XLOOKUP(MasterTable[[#This Row],[Aircraft ID]],Aircraft!A:A,Aircraft!H:H)</f>
        <v>Airplane Single Engine Land</v>
      </c>
      <c r="AS218" s="8" t="b">
        <f>OR((SUM(MasterTable[[#This Row],[ILS]:[PAR]]) = MasterTable[[#This Row],[APPR]]))</f>
        <v>1</v>
      </c>
      <c r="AT218" s="8" t="b">
        <f>NOT(ISBLANK(MasterTable[[#This Row],[Total
Time]]))</f>
        <v>1</v>
      </c>
    </row>
    <row r="219" spans="4:46" ht="28.8" x14ac:dyDescent="0.3">
      <c r="D219" s="22">
        <v>45212</v>
      </c>
      <c r="E219" s="8" t="s">
        <v>174</v>
      </c>
      <c r="F219" s="8" t="s">
        <v>207</v>
      </c>
      <c r="G219" s="8" t="s">
        <v>216</v>
      </c>
      <c r="I219" s="10">
        <v>0.9</v>
      </c>
      <c r="J219" s="10">
        <v>0.9</v>
      </c>
      <c r="M219" s="13">
        <v>0</v>
      </c>
      <c r="N219" s="13"/>
      <c r="Q219" s="14">
        <v>0</v>
      </c>
      <c r="R219" s="14">
        <v>0</v>
      </c>
      <c r="T219" s="10">
        <v>0.9</v>
      </c>
      <c r="U219" s="14">
        <v>0</v>
      </c>
      <c r="V219" s="10">
        <v>0.7</v>
      </c>
      <c r="W219" s="11">
        <v>1</v>
      </c>
      <c r="X219" s="11">
        <v>1</v>
      </c>
      <c r="AA219" s="11">
        <f>MasterTable[[#This Row],[Landings
Night]]+MasterTable[[#This Row],[Landings
Day]]</f>
        <v>1</v>
      </c>
      <c r="AE219" s="21">
        <f>SUM(MasterTable[[#This Row],[ILS]:[PAR]])</f>
        <v>0</v>
      </c>
      <c r="AL219" s="11"/>
      <c r="AR219" s="140" t="str">
        <f>_xlfn.XLOOKUP(MasterTable[[#This Row],[Aircraft ID]],Aircraft!A:A,Aircraft!H:H)</f>
        <v>Airplane Single Engine Land</v>
      </c>
      <c r="AS219" s="8" t="b">
        <f>OR((SUM(MasterTable[[#This Row],[ILS]:[PAR]]) = MasterTable[[#This Row],[APPR]]))</f>
        <v>1</v>
      </c>
      <c r="AT219" s="8" t="b">
        <f>NOT(ISBLANK(MasterTable[[#This Row],[Total
Time]]))</f>
        <v>1</v>
      </c>
    </row>
    <row r="220" spans="4:46" ht="28.8" x14ac:dyDescent="0.3">
      <c r="D220" s="22">
        <v>45212</v>
      </c>
      <c r="E220" s="8" t="s">
        <v>174</v>
      </c>
      <c r="F220" s="8" t="s">
        <v>218</v>
      </c>
      <c r="G220" s="8" t="s">
        <v>207</v>
      </c>
      <c r="I220" s="10">
        <v>0.4</v>
      </c>
      <c r="J220" s="10">
        <v>0.4</v>
      </c>
      <c r="M220" s="13">
        <v>0</v>
      </c>
      <c r="N220" s="13"/>
      <c r="Q220" s="14">
        <v>0</v>
      </c>
      <c r="R220" s="14">
        <v>0</v>
      </c>
      <c r="U220" s="14">
        <v>0</v>
      </c>
      <c r="V220" s="10"/>
      <c r="W220" s="11">
        <v>1</v>
      </c>
      <c r="X220" s="11">
        <v>1</v>
      </c>
      <c r="AA220" s="11">
        <f>MasterTable[[#This Row],[Landings
Night]]+MasterTable[[#This Row],[Landings
Day]]</f>
        <v>1</v>
      </c>
      <c r="AE220" s="21">
        <f>SUM(MasterTable[[#This Row],[ILS]:[PAR]])</f>
        <v>0</v>
      </c>
      <c r="AL220" s="11"/>
      <c r="AR220" s="140" t="str">
        <f>_xlfn.XLOOKUP(MasterTable[[#This Row],[Aircraft ID]],Aircraft!A:A,Aircraft!H:H)</f>
        <v>Airplane Single Engine Land</v>
      </c>
      <c r="AS220" s="8" t="b">
        <f>OR((SUM(MasterTable[[#This Row],[ILS]:[PAR]]) = MasterTable[[#This Row],[APPR]]))</f>
        <v>1</v>
      </c>
      <c r="AT220" s="8" t="b">
        <f>NOT(ISBLANK(MasterTable[[#This Row],[Total
Time]]))</f>
        <v>1</v>
      </c>
    </row>
    <row r="221" spans="4:46" ht="28.8" x14ac:dyDescent="0.3">
      <c r="D221" s="22">
        <v>45198</v>
      </c>
      <c r="E221" s="8" t="s">
        <v>174</v>
      </c>
      <c r="F221" s="8" t="s">
        <v>204</v>
      </c>
      <c r="G221" s="8" t="s">
        <v>206</v>
      </c>
      <c r="I221" s="10">
        <v>1</v>
      </c>
      <c r="J221" s="10">
        <v>1</v>
      </c>
      <c r="L221" s="10">
        <v>0</v>
      </c>
      <c r="M221" s="13">
        <v>0</v>
      </c>
      <c r="N221" s="13"/>
      <c r="O221" s="10">
        <v>0</v>
      </c>
      <c r="P221" s="10">
        <v>0</v>
      </c>
      <c r="Q221" s="14">
        <v>0</v>
      </c>
      <c r="R221" s="14">
        <v>0</v>
      </c>
      <c r="S221" s="10">
        <v>0</v>
      </c>
      <c r="T221" s="10">
        <v>1</v>
      </c>
      <c r="U221" s="14">
        <v>0</v>
      </c>
      <c r="V221" s="10"/>
      <c r="W221" s="11">
        <v>1</v>
      </c>
      <c r="X221" s="11">
        <v>1</v>
      </c>
      <c r="Y221" s="11">
        <v>0</v>
      </c>
      <c r="Z221" s="11">
        <v>0</v>
      </c>
      <c r="AA221" s="11">
        <f>MasterTable[[#This Row],[Landings
Night]]+MasterTable[[#This Row],[Landings
Day]]</f>
        <v>1</v>
      </c>
      <c r="AB221" s="10">
        <v>0</v>
      </c>
      <c r="AC221" s="10">
        <v>0</v>
      </c>
      <c r="AD221" s="11">
        <v>0</v>
      </c>
      <c r="AE221" s="21">
        <f>SUM(MasterTable[[#This Row],[ILS]:[PAR]])</f>
        <v>0</v>
      </c>
      <c r="AL221" s="11"/>
      <c r="AR221" s="140" t="str">
        <f>_xlfn.XLOOKUP(MasterTable[[#This Row],[Aircraft ID]],Aircraft!A:A,Aircraft!H:H)</f>
        <v>Airplane Single Engine Land</v>
      </c>
      <c r="AS221" s="8" t="b">
        <f>OR((SUM(MasterTable[[#This Row],[ILS]:[PAR]]) = MasterTable[[#This Row],[APPR]]))</f>
        <v>1</v>
      </c>
      <c r="AT221" s="8" t="b">
        <f>NOT(ISBLANK(MasterTable[[#This Row],[Total
Time]]))</f>
        <v>1</v>
      </c>
    </row>
    <row r="222" spans="4:46" ht="28.8" x14ac:dyDescent="0.3">
      <c r="D222" s="22">
        <v>45198</v>
      </c>
      <c r="E222" s="8" t="s">
        <v>174</v>
      </c>
      <c r="F222" s="8" t="s">
        <v>219</v>
      </c>
      <c r="G222" s="8" t="s">
        <v>204</v>
      </c>
      <c r="I222" s="10">
        <v>1.3</v>
      </c>
      <c r="J222" s="10">
        <v>1.3</v>
      </c>
      <c r="L222" s="10">
        <v>0</v>
      </c>
      <c r="M222" s="13">
        <v>0</v>
      </c>
      <c r="N222" s="13"/>
      <c r="O222" s="10">
        <v>0</v>
      </c>
      <c r="P222" s="10">
        <v>0</v>
      </c>
      <c r="Q222" s="14">
        <v>0</v>
      </c>
      <c r="R222" s="14">
        <v>0</v>
      </c>
      <c r="S222" s="10">
        <v>0</v>
      </c>
      <c r="T222" s="10">
        <v>1.3</v>
      </c>
      <c r="U222" s="14">
        <v>0</v>
      </c>
      <c r="V222" s="10"/>
      <c r="W222" s="11">
        <v>1</v>
      </c>
      <c r="X222" s="11">
        <v>1</v>
      </c>
      <c r="Y222" s="11">
        <v>0</v>
      </c>
      <c r="Z222" s="11">
        <v>0</v>
      </c>
      <c r="AA222" s="11">
        <f>MasterTable[[#This Row],[Landings
Night]]+MasterTable[[#This Row],[Landings
Day]]</f>
        <v>1</v>
      </c>
      <c r="AB222" s="10">
        <v>0</v>
      </c>
      <c r="AC222" s="10">
        <v>0</v>
      </c>
      <c r="AD222" s="11">
        <v>0</v>
      </c>
      <c r="AE222" s="21">
        <f>SUM(MasterTable[[#This Row],[ILS]:[PAR]])</f>
        <v>0</v>
      </c>
      <c r="AL222" s="11"/>
      <c r="AR222" s="140" t="str">
        <f>_xlfn.XLOOKUP(MasterTable[[#This Row],[Aircraft ID]],Aircraft!A:A,Aircraft!H:H)</f>
        <v>Airplane Single Engine Land</v>
      </c>
      <c r="AS222" s="8" t="b">
        <f>OR((SUM(MasterTable[[#This Row],[ILS]:[PAR]]) = MasterTable[[#This Row],[APPR]]))</f>
        <v>1</v>
      </c>
      <c r="AT222" s="8" t="b">
        <f>NOT(ISBLANK(MasterTable[[#This Row],[Total
Time]]))</f>
        <v>1</v>
      </c>
    </row>
    <row r="223" spans="4:46" ht="28.8" x14ac:dyDescent="0.3">
      <c r="D223" s="22">
        <v>45198</v>
      </c>
      <c r="E223" s="8" t="s">
        <v>174</v>
      </c>
      <c r="F223" s="8" t="s">
        <v>220</v>
      </c>
      <c r="G223" s="8" t="s">
        <v>219</v>
      </c>
      <c r="I223" s="10">
        <v>0.4</v>
      </c>
      <c r="J223" s="10">
        <v>0.4</v>
      </c>
      <c r="L223" s="10">
        <v>0</v>
      </c>
      <c r="M223" s="13">
        <v>0</v>
      </c>
      <c r="N223" s="13"/>
      <c r="O223" s="10">
        <v>0</v>
      </c>
      <c r="P223" s="10">
        <v>0</v>
      </c>
      <c r="Q223" s="14">
        <v>0</v>
      </c>
      <c r="R223" s="14">
        <v>0</v>
      </c>
      <c r="S223" s="10">
        <v>0</v>
      </c>
      <c r="T223" s="10">
        <v>0</v>
      </c>
      <c r="U223" s="14">
        <v>0</v>
      </c>
      <c r="V223" s="10"/>
      <c r="W223" s="11">
        <v>1</v>
      </c>
      <c r="X223" s="11">
        <v>1</v>
      </c>
      <c r="Y223" s="11">
        <v>0</v>
      </c>
      <c r="Z223" s="11">
        <v>0</v>
      </c>
      <c r="AA223" s="11">
        <f>MasterTable[[#This Row],[Landings
Night]]+MasterTable[[#This Row],[Landings
Day]]</f>
        <v>1</v>
      </c>
      <c r="AB223" s="10">
        <v>0</v>
      </c>
      <c r="AC223" s="10">
        <v>0</v>
      </c>
      <c r="AD223" s="11">
        <v>0</v>
      </c>
      <c r="AE223" s="21">
        <f>SUM(MasterTable[[#This Row],[ILS]:[PAR]])</f>
        <v>0</v>
      </c>
      <c r="AL223" s="11"/>
      <c r="AR223" s="140" t="str">
        <f>_xlfn.XLOOKUP(MasterTable[[#This Row],[Aircraft ID]],Aircraft!A:A,Aircraft!H:H)</f>
        <v>Airplane Single Engine Land</v>
      </c>
      <c r="AS223" s="8" t="b">
        <f>OR((SUM(MasterTable[[#This Row],[ILS]:[PAR]]) = MasterTable[[#This Row],[APPR]]))</f>
        <v>1</v>
      </c>
      <c r="AT223" s="8" t="b">
        <f>NOT(ISBLANK(MasterTable[[#This Row],[Total
Time]]))</f>
        <v>1</v>
      </c>
    </row>
    <row r="224" spans="4:46" ht="28.8" x14ac:dyDescent="0.3">
      <c r="D224" s="22">
        <v>45198</v>
      </c>
      <c r="E224" s="8" t="s">
        <v>174</v>
      </c>
      <c r="F224" s="8" t="s">
        <v>206</v>
      </c>
      <c r="G224" s="8" t="s">
        <v>220</v>
      </c>
      <c r="I224" s="10">
        <v>2.5</v>
      </c>
      <c r="J224" s="10">
        <v>2.5</v>
      </c>
      <c r="L224" s="10">
        <v>0</v>
      </c>
      <c r="M224" s="13">
        <v>0</v>
      </c>
      <c r="N224" s="13"/>
      <c r="P224" s="10">
        <v>0</v>
      </c>
      <c r="Q224" s="14">
        <v>0</v>
      </c>
      <c r="R224" s="14">
        <v>0</v>
      </c>
      <c r="S224" s="10">
        <v>0</v>
      </c>
      <c r="T224" s="10">
        <v>2.5</v>
      </c>
      <c r="U224" s="14">
        <v>0</v>
      </c>
      <c r="V224" s="10"/>
      <c r="W224" s="11">
        <v>1</v>
      </c>
      <c r="X224" s="11">
        <v>1</v>
      </c>
      <c r="Y224" s="11">
        <v>0</v>
      </c>
      <c r="Z224" s="11">
        <v>0</v>
      </c>
      <c r="AA224" s="11">
        <f>MasterTable[[#This Row],[Landings
Night]]+MasterTable[[#This Row],[Landings
Day]]</f>
        <v>1</v>
      </c>
      <c r="AB224" s="10">
        <v>0</v>
      </c>
      <c r="AC224" s="10">
        <v>0</v>
      </c>
      <c r="AD224" s="11">
        <v>0</v>
      </c>
      <c r="AE224" s="21">
        <f>SUM(MasterTable[[#This Row],[ILS]:[PAR]])</f>
        <v>0</v>
      </c>
      <c r="AL224" s="11"/>
      <c r="AR224" s="140" t="str">
        <f>_xlfn.XLOOKUP(MasterTable[[#This Row],[Aircraft ID]],Aircraft!A:A,Aircraft!H:H)</f>
        <v>Airplane Single Engine Land</v>
      </c>
      <c r="AS224" s="8" t="b">
        <f>OR((SUM(MasterTable[[#This Row],[ILS]:[PAR]]) = MasterTable[[#This Row],[APPR]]))</f>
        <v>1</v>
      </c>
      <c r="AT224" s="8" t="b">
        <f>NOT(ISBLANK(MasterTable[[#This Row],[Total
Time]]))</f>
        <v>1</v>
      </c>
    </row>
    <row r="225" spans="4:46" ht="28.8" x14ac:dyDescent="0.3">
      <c r="D225" s="22">
        <v>45185</v>
      </c>
      <c r="E225" s="8" t="s">
        <v>139</v>
      </c>
      <c r="F225" s="8" t="s">
        <v>221</v>
      </c>
      <c r="G225" s="8" t="s">
        <v>221</v>
      </c>
      <c r="I225" s="10">
        <v>0.3</v>
      </c>
      <c r="J225" s="10">
        <v>0.3</v>
      </c>
      <c r="L225" s="10">
        <v>0</v>
      </c>
      <c r="M225" s="13">
        <v>0</v>
      </c>
      <c r="N225" s="13"/>
      <c r="O225" s="10">
        <v>0</v>
      </c>
      <c r="P225" s="10">
        <v>0</v>
      </c>
      <c r="Q225" s="14">
        <v>0</v>
      </c>
      <c r="R225" s="14">
        <v>0</v>
      </c>
      <c r="S225" s="10">
        <v>0</v>
      </c>
      <c r="T225" s="10">
        <v>0</v>
      </c>
      <c r="U225" s="14">
        <v>0</v>
      </c>
      <c r="V225" s="10">
        <v>0.3</v>
      </c>
      <c r="W225" s="11">
        <v>1</v>
      </c>
      <c r="X225" s="11">
        <v>1</v>
      </c>
      <c r="Y225" s="11">
        <v>0</v>
      </c>
      <c r="Z225" s="11">
        <v>0</v>
      </c>
      <c r="AA225" s="11">
        <f>MasterTable[[#This Row],[Landings
Night]]+MasterTable[[#This Row],[Landings
Day]]</f>
        <v>1</v>
      </c>
      <c r="AB225" s="10">
        <v>0</v>
      </c>
      <c r="AC225" s="10">
        <v>0</v>
      </c>
      <c r="AD225" s="11">
        <v>0</v>
      </c>
      <c r="AE225" s="21">
        <f>SUM(MasterTable[[#This Row],[ILS]:[PAR]])</f>
        <v>0</v>
      </c>
      <c r="AL225" s="11"/>
      <c r="AR225" s="140" t="str">
        <f>_xlfn.XLOOKUP(MasterTable[[#This Row],[Aircraft ID]],Aircraft!A:A,Aircraft!H:H)</f>
        <v>Airplane Single Engine Land</v>
      </c>
      <c r="AS225" s="8" t="b">
        <f>OR((SUM(MasterTable[[#This Row],[ILS]:[PAR]]) = MasterTable[[#This Row],[APPR]]))</f>
        <v>1</v>
      </c>
      <c r="AT225" s="8" t="b">
        <f>NOT(ISBLANK(MasterTable[[#This Row],[Total
Time]]))</f>
        <v>1</v>
      </c>
    </row>
    <row r="226" spans="4:46" ht="28.8" x14ac:dyDescent="0.3">
      <c r="D226" s="22">
        <v>45184</v>
      </c>
      <c r="E226" s="8" t="s">
        <v>139</v>
      </c>
      <c r="F226" s="8" t="s">
        <v>221</v>
      </c>
      <c r="G226" s="8" t="s">
        <v>221</v>
      </c>
      <c r="I226" s="10">
        <v>0.3</v>
      </c>
      <c r="J226" s="10">
        <v>0.3</v>
      </c>
      <c r="L226" s="10">
        <v>0</v>
      </c>
      <c r="M226" s="13">
        <v>0</v>
      </c>
      <c r="N226" s="13"/>
      <c r="O226" s="10">
        <v>0</v>
      </c>
      <c r="P226" s="10">
        <v>0</v>
      </c>
      <c r="Q226" s="14">
        <v>0</v>
      </c>
      <c r="R226" s="14">
        <v>0</v>
      </c>
      <c r="S226" s="10">
        <v>0</v>
      </c>
      <c r="T226" s="10">
        <v>0</v>
      </c>
      <c r="U226" s="14">
        <v>0</v>
      </c>
      <c r="V226" s="10">
        <v>0.3</v>
      </c>
      <c r="W226" s="11">
        <v>1</v>
      </c>
      <c r="X226" s="11">
        <v>1</v>
      </c>
      <c r="Y226" s="11">
        <v>0</v>
      </c>
      <c r="Z226" s="11">
        <v>0</v>
      </c>
      <c r="AA226" s="11">
        <f>MasterTable[[#This Row],[Landings
Night]]+MasterTable[[#This Row],[Landings
Day]]</f>
        <v>1</v>
      </c>
      <c r="AB226" s="10">
        <v>0</v>
      </c>
      <c r="AC226" s="10">
        <v>0</v>
      </c>
      <c r="AD226" s="11">
        <v>0</v>
      </c>
      <c r="AE226" s="21">
        <f>SUM(MasterTable[[#This Row],[ILS]:[PAR]])</f>
        <v>0</v>
      </c>
      <c r="AL226" s="11"/>
      <c r="AR226" s="140" t="str">
        <f>_xlfn.XLOOKUP(MasterTable[[#This Row],[Aircraft ID]],Aircraft!A:A,Aircraft!H:H)</f>
        <v>Airplane Single Engine Land</v>
      </c>
      <c r="AS226" s="8" t="b">
        <f>OR((SUM(MasterTable[[#This Row],[ILS]:[PAR]]) = MasterTable[[#This Row],[APPR]]))</f>
        <v>1</v>
      </c>
      <c r="AT226" s="8" t="b">
        <f>NOT(ISBLANK(MasterTable[[#This Row],[Total
Time]]))</f>
        <v>1</v>
      </c>
    </row>
    <row r="227" spans="4:46" ht="28.8" x14ac:dyDescent="0.3">
      <c r="D227" s="22">
        <v>45183</v>
      </c>
      <c r="E227" s="8" t="s">
        <v>139</v>
      </c>
      <c r="F227" s="8" t="s">
        <v>221</v>
      </c>
      <c r="G227" s="8" t="s">
        <v>221</v>
      </c>
      <c r="I227" s="10">
        <v>0.3</v>
      </c>
      <c r="J227" s="10">
        <v>0.3</v>
      </c>
      <c r="L227" s="10">
        <v>0</v>
      </c>
      <c r="M227" s="13">
        <v>0</v>
      </c>
      <c r="N227" s="13"/>
      <c r="O227" s="10">
        <v>0</v>
      </c>
      <c r="P227" s="10">
        <v>0</v>
      </c>
      <c r="Q227" s="14">
        <v>0</v>
      </c>
      <c r="R227" s="14">
        <v>0</v>
      </c>
      <c r="S227" s="10">
        <v>0</v>
      </c>
      <c r="T227" s="10">
        <v>0</v>
      </c>
      <c r="U227" s="14">
        <v>0</v>
      </c>
      <c r="V227" s="10">
        <v>0.3</v>
      </c>
      <c r="W227" s="11">
        <v>1</v>
      </c>
      <c r="X227" s="11">
        <v>1</v>
      </c>
      <c r="Y227" s="11">
        <v>0</v>
      </c>
      <c r="Z227" s="11">
        <v>0</v>
      </c>
      <c r="AA227" s="11">
        <f>MasterTable[[#This Row],[Landings
Night]]+MasterTable[[#This Row],[Landings
Day]]</f>
        <v>1</v>
      </c>
      <c r="AB227" s="10">
        <v>0</v>
      </c>
      <c r="AC227" s="10">
        <v>0</v>
      </c>
      <c r="AD227" s="11">
        <v>0</v>
      </c>
      <c r="AE227" s="21">
        <f>SUM(MasterTable[[#This Row],[ILS]:[PAR]])</f>
        <v>0</v>
      </c>
      <c r="AL227" s="11"/>
      <c r="AR227" s="140" t="str">
        <f>_xlfn.XLOOKUP(MasterTable[[#This Row],[Aircraft ID]],Aircraft!A:A,Aircraft!H:H)</f>
        <v>Airplane Single Engine Land</v>
      </c>
      <c r="AS227" s="8" t="b">
        <f>OR((SUM(MasterTable[[#This Row],[ILS]:[PAR]]) = MasterTable[[#This Row],[APPR]]))</f>
        <v>1</v>
      </c>
      <c r="AT227" s="8" t="b">
        <f>NOT(ISBLANK(MasterTable[[#This Row],[Total
Time]]))</f>
        <v>1</v>
      </c>
    </row>
    <row r="228" spans="4:46" ht="28.8" x14ac:dyDescent="0.3">
      <c r="D228" s="22">
        <v>45182</v>
      </c>
      <c r="E228" s="8" t="s">
        <v>139</v>
      </c>
      <c r="F228" s="8" t="s">
        <v>221</v>
      </c>
      <c r="G228" s="8" t="s">
        <v>221</v>
      </c>
      <c r="I228" s="10">
        <v>0.3</v>
      </c>
      <c r="J228" s="10">
        <v>0.3</v>
      </c>
      <c r="L228" s="10">
        <v>0</v>
      </c>
      <c r="M228" s="13">
        <v>0</v>
      </c>
      <c r="N228" s="13"/>
      <c r="O228" s="10">
        <v>0</v>
      </c>
      <c r="P228" s="10">
        <v>0</v>
      </c>
      <c r="Q228" s="14">
        <v>0</v>
      </c>
      <c r="R228" s="14">
        <v>0</v>
      </c>
      <c r="S228" s="10">
        <v>0</v>
      </c>
      <c r="T228" s="10">
        <v>0</v>
      </c>
      <c r="U228" s="14">
        <v>0</v>
      </c>
      <c r="V228" s="10">
        <v>0.3</v>
      </c>
      <c r="W228" s="11">
        <v>1</v>
      </c>
      <c r="X228" s="11">
        <v>1</v>
      </c>
      <c r="Y228" s="11">
        <v>0</v>
      </c>
      <c r="Z228" s="11">
        <v>0</v>
      </c>
      <c r="AA228" s="11">
        <f>MasterTable[[#This Row],[Landings
Night]]+MasterTable[[#This Row],[Landings
Day]]</f>
        <v>1</v>
      </c>
      <c r="AB228" s="10">
        <v>0</v>
      </c>
      <c r="AC228" s="10">
        <v>0</v>
      </c>
      <c r="AD228" s="11">
        <v>0</v>
      </c>
      <c r="AE228" s="21">
        <f>SUM(MasterTable[[#This Row],[ILS]:[PAR]])</f>
        <v>0</v>
      </c>
      <c r="AL228" s="11"/>
      <c r="AR228" s="140" t="str">
        <f>_xlfn.XLOOKUP(MasterTable[[#This Row],[Aircraft ID]],Aircraft!A:A,Aircraft!H:H)</f>
        <v>Airplane Single Engine Land</v>
      </c>
      <c r="AS228" s="8" t="b">
        <f>OR((SUM(MasterTable[[#This Row],[ILS]:[PAR]]) = MasterTable[[#This Row],[APPR]]))</f>
        <v>1</v>
      </c>
      <c r="AT228" s="8" t="b">
        <f>NOT(ISBLANK(MasterTable[[#This Row],[Total
Time]]))</f>
        <v>1</v>
      </c>
    </row>
    <row r="229" spans="4:46" ht="28.8" x14ac:dyDescent="0.3">
      <c r="D229" s="22">
        <v>45181</v>
      </c>
      <c r="E229" s="8" t="s">
        <v>139</v>
      </c>
      <c r="F229" s="8" t="s">
        <v>221</v>
      </c>
      <c r="G229" s="8" t="s">
        <v>221</v>
      </c>
      <c r="I229" s="10">
        <v>0.3</v>
      </c>
      <c r="J229" s="10">
        <v>0.3</v>
      </c>
      <c r="L229" s="10">
        <v>0</v>
      </c>
      <c r="M229" s="13">
        <v>0</v>
      </c>
      <c r="N229" s="13"/>
      <c r="O229" s="10">
        <v>0</v>
      </c>
      <c r="P229" s="10">
        <v>0</v>
      </c>
      <c r="Q229" s="14">
        <v>0</v>
      </c>
      <c r="R229" s="14">
        <v>0</v>
      </c>
      <c r="S229" s="10">
        <v>0</v>
      </c>
      <c r="T229" s="10">
        <v>0</v>
      </c>
      <c r="U229" s="14">
        <v>0</v>
      </c>
      <c r="V229" s="10"/>
      <c r="W229" s="11">
        <v>1</v>
      </c>
      <c r="X229" s="11">
        <v>1</v>
      </c>
      <c r="Y229" s="11">
        <v>0</v>
      </c>
      <c r="Z229" s="11">
        <v>0</v>
      </c>
      <c r="AA229" s="11">
        <f>MasterTable[[#This Row],[Landings
Night]]+MasterTable[[#This Row],[Landings
Day]]</f>
        <v>1</v>
      </c>
      <c r="AB229" s="10">
        <v>0</v>
      </c>
      <c r="AC229" s="10">
        <v>0</v>
      </c>
      <c r="AD229" s="11">
        <v>0</v>
      </c>
      <c r="AE229" s="21">
        <f>SUM(MasterTable[[#This Row],[ILS]:[PAR]])</f>
        <v>0</v>
      </c>
      <c r="AL229" s="11"/>
      <c r="AR229" s="140" t="str">
        <f>_xlfn.XLOOKUP(MasterTable[[#This Row],[Aircraft ID]],Aircraft!A:A,Aircraft!H:H)</f>
        <v>Airplane Single Engine Land</v>
      </c>
      <c r="AS229" s="8" t="b">
        <f>OR((SUM(MasterTable[[#This Row],[ILS]:[PAR]]) = MasterTable[[#This Row],[APPR]]))</f>
        <v>1</v>
      </c>
      <c r="AT229" s="8" t="b">
        <f>NOT(ISBLANK(MasterTable[[#This Row],[Total
Time]]))</f>
        <v>1</v>
      </c>
    </row>
    <row r="230" spans="4:46" ht="28.8" x14ac:dyDescent="0.3">
      <c r="D230" s="22">
        <v>45180</v>
      </c>
      <c r="E230" s="8" t="s">
        <v>139</v>
      </c>
      <c r="F230" s="8" t="s">
        <v>221</v>
      </c>
      <c r="G230" s="8" t="s">
        <v>221</v>
      </c>
      <c r="I230" s="10">
        <v>0.3</v>
      </c>
      <c r="J230" s="10">
        <v>0.3</v>
      </c>
      <c r="L230" s="10">
        <v>0</v>
      </c>
      <c r="M230" s="13">
        <v>0</v>
      </c>
      <c r="N230" s="13"/>
      <c r="O230" s="10">
        <v>0</v>
      </c>
      <c r="P230" s="10">
        <v>0</v>
      </c>
      <c r="Q230" s="14">
        <v>0</v>
      </c>
      <c r="R230" s="14">
        <v>0</v>
      </c>
      <c r="S230" s="10">
        <v>0</v>
      </c>
      <c r="T230" s="10">
        <v>0</v>
      </c>
      <c r="U230" s="14">
        <v>0</v>
      </c>
      <c r="V230" s="10"/>
      <c r="W230" s="11">
        <v>1</v>
      </c>
      <c r="X230" s="11">
        <v>1</v>
      </c>
      <c r="Y230" s="11">
        <v>0</v>
      </c>
      <c r="Z230" s="11">
        <v>0</v>
      </c>
      <c r="AA230" s="11">
        <f>MasterTable[[#This Row],[Landings
Night]]+MasterTable[[#This Row],[Landings
Day]]</f>
        <v>1</v>
      </c>
      <c r="AB230" s="10">
        <v>0</v>
      </c>
      <c r="AC230" s="10">
        <v>0</v>
      </c>
      <c r="AD230" s="11">
        <v>0</v>
      </c>
      <c r="AE230" s="21">
        <f>SUM(MasterTable[[#This Row],[ILS]:[PAR]])</f>
        <v>0</v>
      </c>
      <c r="AL230" s="11"/>
      <c r="AR230" s="140" t="str">
        <f>_xlfn.XLOOKUP(MasterTable[[#This Row],[Aircraft ID]],Aircraft!A:A,Aircraft!H:H)</f>
        <v>Airplane Single Engine Land</v>
      </c>
      <c r="AS230" s="8" t="b">
        <f>OR((SUM(MasterTable[[#This Row],[ILS]:[PAR]]) = MasterTable[[#This Row],[APPR]]))</f>
        <v>1</v>
      </c>
      <c r="AT230" s="8" t="b">
        <f>NOT(ISBLANK(MasterTable[[#This Row],[Total
Time]]))</f>
        <v>1</v>
      </c>
    </row>
    <row r="231" spans="4:46" ht="28.8" x14ac:dyDescent="0.3">
      <c r="D231" s="22">
        <v>45179</v>
      </c>
      <c r="E231" s="8" t="s">
        <v>139</v>
      </c>
      <c r="F231" s="8" t="s">
        <v>221</v>
      </c>
      <c r="G231" s="8" t="s">
        <v>221</v>
      </c>
      <c r="I231" s="10">
        <v>0.5</v>
      </c>
      <c r="J231" s="10">
        <v>0.5</v>
      </c>
      <c r="L231" s="10">
        <v>0</v>
      </c>
      <c r="M231" s="13">
        <v>0</v>
      </c>
      <c r="N231" s="13"/>
      <c r="O231" s="10">
        <v>0</v>
      </c>
      <c r="P231" s="10">
        <v>0</v>
      </c>
      <c r="Q231" s="14">
        <v>0</v>
      </c>
      <c r="R231" s="14">
        <v>0</v>
      </c>
      <c r="S231" s="10">
        <v>0</v>
      </c>
      <c r="T231" s="10">
        <v>0</v>
      </c>
      <c r="U231" s="14">
        <v>0</v>
      </c>
      <c r="V231" s="10"/>
      <c r="W231" s="11">
        <v>1</v>
      </c>
      <c r="X231" s="11">
        <v>1</v>
      </c>
      <c r="Y231" s="11">
        <v>0</v>
      </c>
      <c r="Z231" s="11">
        <v>0</v>
      </c>
      <c r="AA231" s="11">
        <f>MasterTable[[#This Row],[Landings
Night]]+MasterTable[[#This Row],[Landings
Day]]</f>
        <v>1</v>
      </c>
      <c r="AB231" s="10">
        <v>0</v>
      </c>
      <c r="AC231" s="10">
        <v>0</v>
      </c>
      <c r="AD231" s="11">
        <v>0</v>
      </c>
      <c r="AE231" s="21">
        <f>SUM(MasterTable[[#This Row],[ILS]:[PAR]])</f>
        <v>0</v>
      </c>
      <c r="AL231" s="11"/>
      <c r="AR231" s="140" t="str">
        <f>_xlfn.XLOOKUP(MasterTable[[#This Row],[Aircraft ID]],Aircraft!A:A,Aircraft!H:H)</f>
        <v>Airplane Single Engine Land</v>
      </c>
      <c r="AS231" s="8" t="b">
        <f>OR((SUM(MasterTable[[#This Row],[ILS]:[PAR]]) = MasterTable[[#This Row],[APPR]]))</f>
        <v>1</v>
      </c>
      <c r="AT231" s="8" t="b">
        <f>NOT(ISBLANK(MasterTable[[#This Row],[Total
Time]]))</f>
        <v>1</v>
      </c>
    </row>
    <row r="232" spans="4:46" ht="28.8" x14ac:dyDescent="0.3">
      <c r="D232" s="22">
        <v>45175</v>
      </c>
      <c r="E232" s="8" t="s">
        <v>139</v>
      </c>
      <c r="F232" s="8" t="s">
        <v>207</v>
      </c>
      <c r="G232" s="8" t="s">
        <v>207</v>
      </c>
      <c r="I232" s="10">
        <v>0.4</v>
      </c>
      <c r="J232" s="10">
        <v>0.4</v>
      </c>
      <c r="L232" s="10">
        <v>0</v>
      </c>
      <c r="M232" s="13">
        <v>0</v>
      </c>
      <c r="N232" s="13"/>
      <c r="O232" s="10">
        <v>0</v>
      </c>
      <c r="P232" s="10">
        <v>0</v>
      </c>
      <c r="Q232" s="14">
        <v>0</v>
      </c>
      <c r="R232" s="14">
        <v>0</v>
      </c>
      <c r="S232" s="10">
        <v>0</v>
      </c>
      <c r="T232" s="10">
        <v>0</v>
      </c>
      <c r="U232" s="14">
        <v>0</v>
      </c>
      <c r="V232" s="10"/>
      <c r="W232" s="11">
        <v>1</v>
      </c>
      <c r="X232" s="11">
        <v>1</v>
      </c>
      <c r="Y232" s="11">
        <v>0</v>
      </c>
      <c r="Z232" s="11">
        <v>0</v>
      </c>
      <c r="AA232" s="11">
        <f>MasterTable[[#This Row],[Landings
Night]]+MasterTable[[#This Row],[Landings
Day]]</f>
        <v>1</v>
      </c>
      <c r="AB232" s="10">
        <v>0</v>
      </c>
      <c r="AC232" s="10">
        <v>0</v>
      </c>
      <c r="AD232" s="11">
        <v>0</v>
      </c>
      <c r="AE232" s="21">
        <f>SUM(MasterTable[[#This Row],[ILS]:[PAR]])</f>
        <v>0</v>
      </c>
      <c r="AL232" s="11"/>
      <c r="AR232" s="140" t="str">
        <f>_xlfn.XLOOKUP(MasterTable[[#This Row],[Aircraft ID]],Aircraft!A:A,Aircraft!H:H)</f>
        <v>Airplane Single Engine Land</v>
      </c>
      <c r="AS232" s="8" t="b">
        <f>OR((SUM(MasterTable[[#This Row],[ILS]:[PAR]]) = MasterTable[[#This Row],[APPR]]))</f>
        <v>1</v>
      </c>
      <c r="AT232" s="8" t="b">
        <f>NOT(ISBLANK(MasterTable[[#This Row],[Total
Time]]))</f>
        <v>1</v>
      </c>
    </row>
    <row r="233" spans="4:46" ht="28.8" x14ac:dyDescent="0.3">
      <c r="D233" s="22">
        <v>45173</v>
      </c>
      <c r="E233" s="8" t="s">
        <v>139</v>
      </c>
      <c r="F233" s="8" t="s">
        <v>207</v>
      </c>
      <c r="G233" s="8" t="s">
        <v>207</v>
      </c>
      <c r="I233" s="10">
        <v>0.4</v>
      </c>
      <c r="J233" s="10">
        <v>0.4</v>
      </c>
      <c r="L233" s="10">
        <v>0</v>
      </c>
      <c r="M233" s="13">
        <v>0</v>
      </c>
      <c r="N233" s="13"/>
      <c r="O233" s="10">
        <v>0</v>
      </c>
      <c r="P233" s="10">
        <v>0</v>
      </c>
      <c r="Q233" s="14">
        <v>0</v>
      </c>
      <c r="R233" s="14">
        <v>0</v>
      </c>
      <c r="S233" s="10">
        <v>0</v>
      </c>
      <c r="T233" s="10">
        <v>0</v>
      </c>
      <c r="U233" s="14">
        <v>0</v>
      </c>
      <c r="V233" s="10"/>
      <c r="W233" s="11">
        <v>1</v>
      </c>
      <c r="X233" s="11">
        <v>1</v>
      </c>
      <c r="Y233" s="11">
        <v>0</v>
      </c>
      <c r="Z233" s="11">
        <v>0</v>
      </c>
      <c r="AA233" s="11">
        <f>MasterTable[[#This Row],[Landings
Night]]+MasterTable[[#This Row],[Landings
Day]]</f>
        <v>1</v>
      </c>
      <c r="AB233" s="10">
        <v>0</v>
      </c>
      <c r="AC233" s="10">
        <v>0</v>
      </c>
      <c r="AD233" s="11">
        <v>0</v>
      </c>
      <c r="AE233" s="21">
        <f>SUM(MasterTable[[#This Row],[ILS]:[PAR]])</f>
        <v>0</v>
      </c>
      <c r="AL233" s="11"/>
      <c r="AR233" s="140" t="str">
        <f>_xlfn.XLOOKUP(MasterTable[[#This Row],[Aircraft ID]],Aircraft!A:A,Aircraft!H:H)</f>
        <v>Airplane Single Engine Land</v>
      </c>
      <c r="AS233" s="8" t="b">
        <f>OR((SUM(MasterTable[[#This Row],[ILS]:[PAR]]) = MasterTable[[#This Row],[APPR]]))</f>
        <v>1</v>
      </c>
      <c r="AT233" s="8" t="b">
        <f>NOT(ISBLANK(MasterTable[[#This Row],[Total
Time]]))</f>
        <v>1</v>
      </c>
    </row>
    <row r="234" spans="4:46" ht="28.8" x14ac:dyDescent="0.3">
      <c r="D234" s="22">
        <v>45173</v>
      </c>
      <c r="E234" s="8" t="s">
        <v>139</v>
      </c>
      <c r="F234" s="8" t="s">
        <v>207</v>
      </c>
      <c r="G234" s="8" t="s">
        <v>207</v>
      </c>
      <c r="I234" s="10">
        <v>0.8</v>
      </c>
      <c r="J234" s="10">
        <v>0.8</v>
      </c>
      <c r="L234" s="10">
        <v>0</v>
      </c>
      <c r="M234" s="13">
        <v>0</v>
      </c>
      <c r="N234" s="13"/>
      <c r="O234" s="10">
        <v>0</v>
      </c>
      <c r="P234" s="10">
        <v>0</v>
      </c>
      <c r="Q234" s="14">
        <v>0</v>
      </c>
      <c r="R234" s="14">
        <v>0</v>
      </c>
      <c r="S234" s="10">
        <v>0</v>
      </c>
      <c r="T234" s="10">
        <v>0</v>
      </c>
      <c r="U234" s="14">
        <v>0</v>
      </c>
      <c r="V234" s="10"/>
      <c r="W234" s="11">
        <v>1</v>
      </c>
      <c r="X234" s="11">
        <v>1</v>
      </c>
      <c r="Y234" s="11">
        <v>0</v>
      </c>
      <c r="Z234" s="11">
        <v>0</v>
      </c>
      <c r="AA234" s="11">
        <f>MasterTable[[#This Row],[Landings
Night]]+MasterTable[[#This Row],[Landings
Day]]</f>
        <v>1</v>
      </c>
      <c r="AB234" s="10">
        <v>0</v>
      </c>
      <c r="AC234" s="10">
        <v>0</v>
      </c>
      <c r="AD234" s="11">
        <v>0</v>
      </c>
      <c r="AE234" s="21">
        <f>SUM(MasterTable[[#This Row],[ILS]:[PAR]])</f>
        <v>0</v>
      </c>
      <c r="AL234" s="11"/>
      <c r="AR234" s="140" t="str">
        <f>_xlfn.XLOOKUP(MasterTable[[#This Row],[Aircraft ID]],Aircraft!A:A,Aircraft!H:H)</f>
        <v>Airplane Single Engine Land</v>
      </c>
      <c r="AS234" s="8" t="b">
        <f>OR((SUM(MasterTable[[#This Row],[ILS]:[PAR]]) = MasterTable[[#This Row],[APPR]]))</f>
        <v>1</v>
      </c>
      <c r="AT234" s="8" t="b">
        <f>NOT(ISBLANK(MasterTable[[#This Row],[Total
Time]]))</f>
        <v>1</v>
      </c>
    </row>
    <row r="235" spans="4:46" ht="28.8" x14ac:dyDescent="0.3">
      <c r="D235" s="22">
        <v>45169</v>
      </c>
      <c r="E235" s="8" t="s">
        <v>139</v>
      </c>
      <c r="F235" s="8" t="s">
        <v>207</v>
      </c>
      <c r="G235" s="8" t="s">
        <v>207</v>
      </c>
      <c r="I235" s="10">
        <v>0.7</v>
      </c>
      <c r="J235" s="10">
        <v>0.7</v>
      </c>
      <c r="L235" s="10">
        <v>0</v>
      </c>
      <c r="M235" s="13">
        <v>0</v>
      </c>
      <c r="N235" s="13"/>
      <c r="O235" s="10">
        <v>0</v>
      </c>
      <c r="P235" s="10">
        <v>0</v>
      </c>
      <c r="Q235" s="14">
        <v>0</v>
      </c>
      <c r="R235" s="14">
        <v>0</v>
      </c>
      <c r="S235" s="10">
        <v>0</v>
      </c>
      <c r="T235" s="10">
        <v>0</v>
      </c>
      <c r="U235" s="14">
        <v>0</v>
      </c>
      <c r="V235" s="10"/>
      <c r="W235" s="11">
        <v>1</v>
      </c>
      <c r="X235" s="11">
        <v>1</v>
      </c>
      <c r="Y235" s="11">
        <v>0</v>
      </c>
      <c r="Z235" s="11">
        <v>0</v>
      </c>
      <c r="AA235" s="11">
        <f>MasterTable[[#This Row],[Landings
Night]]+MasterTable[[#This Row],[Landings
Day]]</f>
        <v>1</v>
      </c>
      <c r="AB235" s="10">
        <v>0</v>
      </c>
      <c r="AC235" s="10">
        <v>0</v>
      </c>
      <c r="AD235" s="11">
        <v>0</v>
      </c>
      <c r="AE235" s="21">
        <f>SUM(MasterTable[[#This Row],[ILS]:[PAR]])</f>
        <v>0</v>
      </c>
      <c r="AL235" s="11"/>
      <c r="AR235" s="140" t="str">
        <f>_xlfn.XLOOKUP(MasterTable[[#This Row],[Aircraft ID]],Aircraft!A:A,Aircraft!H:H)</f>
        <v>Airplane Single Engine Land</v>
      </c>
      <c r="AS235" s="8" t="b">
        <f>OR((SUM(MasterTable[[#This Row],[ILS]:[PAR]]) = MasterTable[[#This Row],[APPR]]))</f>
        <v>1</v>
      </c>
      <c r="AT235" s="8" t="b">
        <f>NOT(ISBLANK(MasterTable[[#This Row],[Total
Time]]))</f>
        <v>1</v>
      </c>
    </row>
    <row r="236" spans="4:46" ht="28.8" x14ac:dyDescent="0.3">
      <c r="D236" s="22">
        <v>45168</v>
      </c>
      <c r="E236" s="8" t="s">
        <v>139</v>
      </c>
      <c r="F236" s="8" t="s">
        <v>207</v>
      </c>
      <c r="G236" s="8" t="s">
        <v>207</v>
      </c>
      <c r="I236" s="10">
        <v>0.5</v>
      </c>
      <c r="J236" s="10">
        <v>0.5</v>
      </c>
      <c r="L236" s="10">
        <v>0</v>
      </c>
      <c r="M236" s="13">
        <v>0</v>
      </c>
      <c r="N236" s="13"/>
      <c r="O236" s="10">
        <v>0</v>
      </c>
      <c r="P236" s="10">
        <v>0</v>
      </c>
      <c r="Q236" s="14">
        <v>0</v>
      </c>
      <c r="R236" s="14">
        <v>0</v>
      </c>
      <c r="S236" s="10">
        <v>0</v>
      </c>
      <c r="T236" s="10">
        <v>0</v>
      </c>
      <c r="U236" s="14">
        <v>0</v>
      </c>
      <c r="V236" s="10"/>
      <c r="W236" s="11">
        <v>1</v>
      </c>
      <c r="X236" s="11">
        <v>1</v>
      </c>
      <c r="Y236" s="11">
        <v>0</v>
      </c>
      <c r="Z236" s="11">
        <v>0</v>
      </c>
      <c r="AA236" s="11">
        <f>MasterTable[[#This Row],[Landings
Night]]+MasterTable[[#This Row],[Landings
Day]]</f>
        <v>1</v>
      </c>
      <c r="AB236" s="10">
        <v>0</v>
      </c>
      <c r="AC236" s="10">
        <v>0</v>
      </c>
      <c r="AD236" s="11">
        <v>0</v>
      </c>
      <c r="AE236" s="21">
        <f>SUM(MasterTable[[#This Row],[ILS]:[PAR]])</f>
        <v>0</v>
      </c>
      <c r="AL236" s="11"/>
      <c r="AR236" s="140" t="str">
        <f>_xlfn.XLOOKUP(MasterTable[[#This Row],[Aircraft ID]],Aircraft!A:A,Aircraft!H:H)</f>
        <v>Airplane Single Engine Land</v>
      </c>
      <c r="AS236" s="8" t="b">
        <f>OR((SUM(MasterTable[[#This Row],[ILS]:[PAR]]) = MasterTable[[#This Row],[APPR]]))</f>
        <v>1</v>
      </c>
      <c r="AT236" s="8" t="b">
        <f>NOT(ISBLANK(MasterTable[[#This Row],[Total
Time]]))</f>
        <v>1</v>
      </c>
    </row>
    <row r="237" spans="4:46" ht="28.8" x14ac:dyDescent="0.3">
      <c r="D237" s="22">
        <v>45133</v>
      </c>
      <c r="E237" s="8" t="s">
        <v>139</v>
      </c>
      <c r="F237" s="8" t="s">
        <v>207</v>
      </c>
      <c r="G237" s="8" t="s">
        <v>207</v>
      </c>
      <c r="I237" s="10">
        <v>0.7</v>
      </c>
      <c r="J237" s="10">
        <v>0.7</v>
      </c>
      <c r="L237" s="10">
        <v>0</v>
      </c>
      <c r="M237" s="13">
        <v>0</v>
      </c>
      <c r="N237" s="13"/>
      <c r="O237" s="10">
        <v>0</v>
      </c>
      <c r="P237" s="10">
        <v>0</v>
      </c>
      <c r="Q237" s="14">
        <v>0</v>
      </c>
      <c r="R237" s="14">
        <v>0</v>
      </c>
      <c r="S237" s="10">
        <v>0</v>
      </c>
      <c r="T237" s="10">
        <v>0</v>
      </c>
      <c r="U237" s="14">
        <v>0</v>
      </c>
      <c r="V237" s="10"/>
      <c r="W237" s="11">
        <v>1</v>
      </c>
      <c r="X237" s="11">
        <v>1</v>
      </c>
      <c r="Y237" s="11">
        <v>0</v>
      </c>
      <c r="Z237" s="11">
        <v>0</v>
      </c>
      <c r="AA237" s="11">
        <f>MasterTable[[#This Row],[Landings
Night]]+MasterTable[[#This Row],[Landings
Day]]</f>
        <v>1</v>
      </c>
      <c r="AB237" s="10">
        <v>0</v>
      </c>
      <c r="AC237" s="10">
        <v>0</v>
      </c>
      <c r="AD237" s="11">
        <v>0</v>
      </c>
      <c r="AE237" s="21">
        <f>SUM(MasterTable[[#This Row],[ILS]:[PAR]])</f>
        <v>0</v>
      </c>
      <c r="AL237" s="11"/>
      <c r="AR237" s="140" t="str">
        <f>_xlfn.XLOOKUP(MasterTable[[#This Row],[Aircraft ID]],Aircraft!A:A,Aircraft!H:H)</f>
        <v>Airplane Single Engine Land</v>
      </c>
      <c r="AS237" s="8" t="b">
        <f>OR((SUM(MasterTable[[#This Row],[ILS]:[PAR]]) = MasterTable[[#This Row],[APPR]]))</f>
        <v>1</v>
      </c>
      <c r="AT237" s="8" t="b">
        <f>NOT(ISBLANK(MasterTable[[#This Row],[Total
Time]]))</f>
        <v>1</v>
      </c>
    </row>
    <row r="238" spans="4:46" ht="28.8" x14ac:dyDescent="0.3">
      <c r="D238" s="22">
        <v>45133</v>
      </c>
      <c r="E238" s="8" t="s">
        <v>139</v>
      </c>
      <c r="F238" s="8" t="s">
        <v>207</v>
      </c>
      <c r="G238" s="8" t="s">
        <v>207</v>
      </c>
      <c r="I238" s="10">
        <v>1.1000000000000001</v>
      </c>
      <c r="J238" s="10">
        <v>1.1000000000000001</v>
      </c>
      <c r="L238" s="10">
        <v>0</v>
      </c>
      <c r="M238" s="13">
        <v>0</v>
      </c>
      <c r="N238" s="13"/>
      <c r="O238" s="10">
        <v>0</v>
      </c>
      <c r="P238" s="10">
        <v>0</v>
      </c>
      <c r="Q238" s="14">
        <v>0</v>
      </c>
      <c r="R238" s="14">
        <v>0</v>
      </c>
      <c r="S238" s="10">
        <v>0</v>
      </c>
      <c r="T238" s="10">
        <v>0</v>
      </c>
      <c r="U238" s="14">
        <v>0</v>
      </c>
      <c r="V238" s="10"/>
      <c r="W238" s="11">
        <v>1</v>
      </c>
      <c r="X238" s="11">
        <v>1</v>
      </c>
      <c r="Y238" s="11">
        <v>0</v>
      </c>
      <c r="Z238" s="11">
        <v>0</v>
      </c>
      <c r="AA238" s="11">
        <f>MasterTable[[#This Row],[Landings
Night]]+MasterTable[[#This Row],[Landings
Day]]</f>
        <v>1</v>
      </c>
      <c r="AB238" s="10">
        <v>0</v>
      </c>
      <c r="AC238" s="10">
        <v>0</v>
      </c>
      <c r="AD238" s="11">
        <v>0</v>
      </c>
      <c r="AE238" s="21">
        <f>SUM(MasterTable[[#This Row],[ILS]:[PAR]])</f>
        <v>0</v>
      </c>
      <c r="AL238" s="11"/>
      <c r="AR238" s="140" t="str">
        <f>_xlfn.XLOOKUP(MasterTable[[#This Row],[Aircraft ID]],Aircraft!A:A,Aircraft!H:H)</f>
        <v>Airplane Single Engine Land</v>
      </c>
      <c r="AS238" s="8" t="b">
        <f>OR((SUM(MasterTable[[#This Row],[ILS]:[PAR]]) = MasterTable[[#This Row],[APPR]]))</f>
        <v>1</v>
      </c>
      <c r="AT238" s="8" t="b">
        <f>NOT(ISBLANK(MasterTable[[#This Row],[Total
Time]]))</f>
        <v>1</v>
      </c>
    </row>
    <row r="239" spans="4:46" ht="28.8" x14ac:dyDescent="0.3">
      <c r="D239" s="22">
        <v>45132</v>
      </c>
      <c r="E239" s="8" t="s">
        <v>139</v>
      </c>
      <c r="F239" s="8" t="s">
        <v>207</v>
      </c>
      <c r="G239" s="8" t="s">
        <v>207</v>
      </c>
      <c r="I239" s="10">
        <v>0.8</v>
      </c>
      <c r="J239" s="10">
        <v>0.8</v>
      </c>
      <c r="L239" s="10">
        <v>0</v>
      </c>
      <c r="M239" s="13">
        <v>0</v>
      </c>
      <c r="N239" s="13"/>
      <c r="O239" s="10">
        <v>0</v>
      </c>
      <c r="P239" s="10">
        <v>0</v>
      </c>
      <c r="Q239" s="14">
        <v>0</v>
      </c>
      <c r="R239" s="14">
        <v>0</v>
      </c>
      <c r="S239" s="10">
        <v>0</v>
      </c>
      <c r="T239" s="10">
        <v>0</v>
      </c>
      <c r="U239" s="14">
        <v>0</v>
      </c>
      <c r="V239" s="10"/>
      <c r="W239" s="11">
        <v>1</v>
      </c>
      <c r="X239" s="11">
        <v>1</v>
      </c>
      <c r="Y239" s="11">
        <v>0</v>
      </c>
      <c r="Z239" s="11">
        <v>0</v>
      </c>
      <c r="AA239" s="11">
        <f>MasterTable[[#This Row],[Landings
Night]]+MasterTable[[#This Row],[Landings
Day]]</f>
        <v>1</v>
      </c>
      <c r="AB239" s="10">
        <v>0</v>
      </c>
      <c r="AC239" s="10">
        <v>0</v>
      </c>
      <c r="AD239" s="11">
        <v>0</v>
      </c>
      <c r="AE239" s="21">
        <f>SUM(MasterTable[[#This Row],[ILS]:[PAR]])</f>
        <v>0</v>
      </c>
      <c r="AL239" s="11"/>
      <c r="AR239" s="140" t="str">
        <f>_xlfn.XLOOKUP(MasterTable[[#This Row],[Aircraft ID]],Aircraft!A:A,Aircraft!H:H)</f>
        <v>Airplane Single Engine Land</v>
      </c>
      <c r="AS239" s="8" t="b">
        <f>OR((SUM(MasterTable[[#This Row],[ILS]:[PAR]]) = MasterTable[[#This Row],[APPR]]))</f>
        <v>1</v>
      </c>
      <c r="AT239" s="8" t="b">
        <f>NOT(ISBLANK(MasterTable[[#This Row],[Total
Time]]))</f>
        <v>1</v>
      </c>
    </row>
    <row r="240" spans="4:46" ht="28.8" x14ac:dyDescent="0.3">
      <c r="D240" s="22">
        <v>45132</v>
      </c>
      <c r="E240" s="8" t="s">
        <v>139</v>
      </c>
      <c r="F240" s="8" t="s">
        <v>207</v>
      </c>
      <c r="G240" s="8" t="s">
        <v>207</v>
      </c>
      <c r="I240" s="10">
        <v>1</v>
      </c>
      <c r="J240" s="10">
        <v>1</v>
      </c>
      <c r="L240" s="10">
        <v>0</v>
      </c>
      <c r="M240" s="13">
        <v>0</v>
      </c>
      <c r="N240" s="13"/>
      <c r="O240" s="10">
        <v>0</v>
      </c>
      <c r="P240" s="10">
        <v>0</v>
      </c>
      <c r="Q240" s="14">
        <v>0</v>
      </c>
      <c r="R240" s="14">
        <v>0</v>
      </c>
      <c r="S240" s="10">
        <v>0</v>
      </c>
      <c r="T240" s="10">
        <v>0</v>
      </c>
      <c r="U240" s="14">
        <v>0</v>
      </c>
      <c r="V240" s="10"/>
      <c r="W240" s="11">
        <v>1</v>
      </c>
      <c r="X240" s="11">
        <v>1</v>
      </c>
      <c r="Y240" s="11">
        <v>0</v>
      </c>
      <c r="Z240" s="11">
        <v>0</v>
      </c>
      <c r="AA240" s="11">
        <f>MasterTable[[#This Row],[Landings
Night]]+MasterTable[[#This Row],[Landings
Day]]</f>
        <v>1</v>
      </c>
      <c r="AB240" s="10">
        <v>0</v>
      </c>
      <c r="AC240" s="10">
        <v>0</v>
      </c>
      <c r="AD240" s="11">
        <v>0</v>
      </c>
      <c r="AE240" s="21">
        <f>SUM(MasterTable[[#This Row],[ILS]:[PAR]])</f>
        <v>0</v>
      </c>
      <c r="AL240" s="11"/>
      <c r="AR240" s="140" t="str">
        <f>_xlfn.XLOOKUP(MasterTable[[#This Row],[Aircraft ID]],Aircraft!A:A,Aircraft!H:H)</f>
        <v>Airplane Single Engine Land</v>
      </c>
      <c r="AS240" s="8" t="b">
        <f>OR((SUM(MasterTable[[#This Row],[ILS]:[PAR]]) = MasterTable[[#This Row],[APPR]]))</f>
        <v>1</v>
      </c>
      <c r="AT240" s="8" t="b">
        <f>NOT(ISBLANK(MasterTable[[#This Row],[Total
Time]]))</f>
        <v>1</v>
      </c>
    </row>
    <row r="241" spans="4:46" ht="28.8" x14ac:dyDescent="0.3">
      <c r="D241" s="22">
        <v>45130</v>
      </c>
      <c r="E241" s="8" t="s">
        <v>139</v>
      </c>
      <c r="F241" s="8" t="s">
        <v>207</v>
      </c>
      <c r="G241" s="8" t="s">
        <v>207</v>
      </c>
      <c r="I241" s="10">
        <v>0.8</v>
      </c>
      <c r="J241" s="10">
        <v>0.8</v>
      </c>
      <c r="L241" s="10">
        <v>0</v>
      </c>
      <c r="M241" s="13">
        <v>0</v>
      </c>
      <c r="N241" s="13"/>
      <c r="O241" s="10">
        <v>0</v>
      </c>
      <c r="P241" s="10">
        <v>0</v>
      </c>
      <c r="Q241" s="14">
        <v>0</v>
      </c>
      <c r="R241" s="14">
        <v>0</v>
      </c>
      <c r="S241" s="10">
        <v>0</v>
      </c>
      <c r="T241" s="10">
        <v>0</v>
      </c>
      <c r="U241" s="14">
        <v>0</v>
      </c>
      <c r="V241" s="10"/>
      <c r="W241" s="11">
        <v>1</v>
      </c>
      <c r="X241" s="11">
        <v>1</v>
      </c>
      <c r="Y241" s="11">
        <v>0</v>
      </c>
      <c r="Z241" s="11">
        <v>0</v>
      </c>
      <c r="AA241" s="11">
        <f>MasterTable[[#This Row],[Landings
Night]]+MasterTable[[#This Row],[Landings
Day]]</f>
        <v>1</v>
      </c>
      <c r="AB241" s="10">
        <v>0</v>
      </c>
      <c r="AC241" s="10">
        <v>0</v>
      </c>
      <c r="AD241" s="11">
        <v>0</v>
      </c>
      <c r="AE241" s="21">
        <f>SUM(MasterTable[[#This Row],[ILS]:[PAR]])</f>
        <v>0</v>
      </c>
      <c r="AL241" s="11"/>
      <c r="AR241" s="140" t="str">
        <f>_xlfn.XLOOKUP(MasterTable[[#This Row],[Aircraft ID]],Aircraft!A:A,Aircraft!H:H)</f>
        <v>Airplane Single Engine Land</v>
      </c>
      <c r="AS241" s="8" t="b">
        <f>OR((SUM(MasterTable[[#This Row],[ILS]:[PAR]]) = MasterTable[[#This Row],[APPR]]))</f>
        <v>1</v>
      </c>
      <c r="AT241" s="8" t="b">
        <f>NOT(ISBLANK(MasterTable[[#This Row],[Total
Time]]))</f>
        <v>1</v>
      </c>
    </row>
    <row r="242" spans="4:46" ht="28.8" x14ac:dyDescent="0.3">
      <c r="D242" s="22">
        <v>45130</v>
      </c>
      <c r="E242" s="8" t="s">
        <v>139</v>
      </c>
      <c r="F242" s="8" t="s">
        <v>207</v>
      </c>
      <c r="G242" s="8" t="s">
        <v>207</v>
      </c>
      <c r="I242" s="10">
        <v>1.2</v>
      </c>
      <c r="J242" s="10">
        <v>1.2</v>
      </c>
      <c r="L242" s="10">
        <v>0</v>
      </c>
      <c r="M242" s="13">
        <v>0</v>
      </c>
      <c r="N242" s="13"/>
      <c r="O242" s="10">
        <v>0</v>
      </c>
      <c r="P242" s="10">
        <v>0</v>
      </c>
      <c r="Q242" s="14">
        <v>0</v>
      </c>
      <c r="R242" s="14">
        <v>0</v>
      </c>
      <c r="S242" s="10">
        <v>0</v>
      </c>
      <c r="T242" s="10">
        <v>0</v>
      </c>
      <c r="U242" s="14">
        <v>0</v>
      </c>
      <c r="V242" s="10"/>
      <c r="W242" s="11">
        <v>1</v>
      </c>
      <c r="X242" s="11">
        <v>1</v>
      </c>
      <c r="Y242" s="11">
        <v>0</v>
      </c>
      <c r="Z242" s="11">
        <v>0</v>
      </c>
      <c r="AA242" s="11">
        <f>MasterTable[[#This Row],[Landings
Night]]+MasterTable[[#This Row],[Landings
Day]]</f>
        <v>1</v>
      </c>
      <c r="AB242" s="10">
        <v>0</v>
      </c>
      <c r="AC242" s="10">
        <v>0</v>
      </c>
      <c r="AD242" s="11">
        <v>0</v>
      </c>
      <c r="AE242" s="21">
        <f>SUM(MasterTable[[#This Row],[ILS]:[PAR]])</f>
        <v>0</v>
      </c>
      <c r="AL242" s="11"/>
      <c r="AR242" s="140" t="str">
        <f>_xlfn.XLOOKUP(MasterTable[[#This Row],[Aircraft ID]],Aircraft!A:A,Aircraft!H:H)</f>
        <v>Airplane Single Engine Land</v>
      </c>
      <c r="AS242" s="8" t="b">
        <f>OR((SUM(MasterTable[[#This Row],[ILS]:[PAR]]) = MasterTable[[#This Row],[APPR]]))</f>
        <v>1</v>
      </c>
      <c r="AT242" s="8" t="b">
        <f>NOT(ISBLANK(MasterTable[[#This Row],[Total
Time]]))</f>
        <v>1</v>
      </c>
    </row>
    <row r="243" spans="4:46" ht="28.8" x14ac:dyDescent="0.3">
      <c r="D243" s="22">
        <v>45129</v>
      </c>
      <c r="E243" s="8" t="s">
        <v>139</v>
      </c>
      <c r="F243" s="8" t="s">
        <v>207</v>
      </c>
      <c r="G243" s="8" t="s">
        <v>207</v>
      </c>
      <c r="I243" s="10">
        <v>1.1000000000000001</v>
      </c>
      <c r="J243" s="10">
        <v>1.1000000000000001</v>
      </c>
      <c r="L243" s="10">
        <v>0</v>
      </c>
      <c r="M243" s="13">
        <v>0</v>
      </c>
      <c r="N243" s="13"/>
      <c r="O243" s="10">
        <v>0</v>
      </c>
      <c r="P243" s="10">
        <v>0</v>
      </c>
      <c r="Q243" s="14">
        <v>0</v>
      </c>
      <c r="R243" s="14">
        <v>0</v>
      </c>
      <c r="S243" s="10">
        <v>0</v>
      </c>
      <c r="T243" s="10">
        <v>0</v>
      </c>
      <c r="U243" s="14">
        <v>0</v>
      </c>
      <c r="V243" s="10"/>
      <c r="W243" s="11">
        <v>1</v>
      </c>
      <c r="X243" s="11">
        <v>1</v>
      </c>
      <c r="Y243" s="11">
        <v>0</v>
      </c>
      <c r="Z243" s="11">
        <v>0</v>
      </c>
      <c r="AA243" s="11">
        <f>MasterTable[[#This Row],[Landings
Night]]+MasterTable[[#This Row],[Landings
Day]]</f>
        <v>1</v>
      </c>
      <c r="AB243" s="10">
        <v>0</v>
      </c>
      <c r="AC243" s="10">
        <v>0</v>
      </c>
      <c r="AD243" s="11">
        <v>0</v>
      </c>
      <c r="AE243" s="21">
        <f>SUM(MasterTable[[#This Row],[ILS]:[PAR]])</f>
        <v>0</v>
      </c>
      <c r="AL243" s="11"/>
      <c r="AR243" s="140" t="str">
        <f>_xlfn.XLOOKUP(MasterTable[[#This Row],[Aircraft ID]],Aircraft!A:A,Aircraft!H:H)</f>
        <v>Airplane Single Engine Land</v>
      </c>
      <c r="AS243" s="8" t="b">
        <f>OR((SUM(MasterTable[[#This Row],[ILS]:[PAR]]) = MasterTable[[#This Row],[APPR]]))</f>
        <v>1</v>
      </c>
      <c r="AT243" s="8" t="b">
        <f>NOT(ISBLANK(MasterTable[[#This Row],[Total
Time]]))</f>
        <v>1</v>
      </c>
    </row>
    <row r="244" spans="4:46" ht="28.8" x14ac:dyDescent="0.3">
      <c r="D244" s="22">
        <v>45129</v>
      </c>
      <c r="E244" s="8" t="s">
        <v>139</v>
      </c>
      <c r="F244" s="8" t="s">
        <v>207</v>
      </c>
      <c r="G244" s="8" t="s">
        <v>207</v>
      </c>
      <c r="I244" s="10">
        <v>0.7</v>
      </c>
      <c r="J244" s="10">
        <v>0.7</v>
      </c>
      <c r="L244" s="10">
        <v>0</v>
      </c>
      <c r="M244" s="13">
        <v>0</v>
      </c>
      <c r="N244" s="13"/>
      <c r="O244" s="10">
        <v>0</v>
      </c>
      <c r="P244" s="10">
        <v>0</v>
      </c>
      <c r="Q244" s="14">
        <v>0</v>
      </c>
      <c r="R244" s="14">
        <v>0</v>
      </c>
      <c r="S244" s="10">
        <v>0</v>
      </c>
      <c r="T244" s="10">
        <v>0</v>
      </c>
      <c r="U244" s="14">
        <v>0</v>
      </c>
      <c r="V244" s="10"/>
      <c r="W244" s="11">
        <v>1</v>
      </c>
      <c r="X244" s="11">
        <v>1</v>
      </c>
      <c r="Y244" s="11">
        <v>0</v>
      </c>
      <c r="Z244" s="11">
        <v>0</v>
      </c>
      <c r="AA244" s="11">
        <f>MasterTable[[#This Row],[Landings
Night]]+MasterTable[[#This Row],[Landings
Day]]</f>
        <v>1</v>
      </c>
      <c r="AB244" s="10">
        <v>0</v>
      </c>
      <c r="AC244" s="10">
        <v>0</v>
      </c>
      <c r="AD244" s="11">
        <v>0</v>
      </c>
      <c r="AE244" s="21">
        <f>SUM(MasterTable[[#This Row],[ILS]:[PAR]])</f>
        <v>0</v>
      </c>
      <c r="AL244" s="11"/>
      <c r="AR244" s="140" t="str">
        <f>_xlfn.XLOOKUP(MasterTable[[#This Row],[Aircraft ID]],Aircraft!A:A,Aircraft!H:H)</f>
        <v>Airplane Single Engine Land</v>
      </c>
      <c r="AS244" s="8" t="b">
        <f>OR((SUM(MasterTable[[#This Row],[ILS]:[PAR]]) = MasterTable[[#This Row],[APPR]]))</f>
        <v>1</v>
      </c>
      <c r="AT244" s="8" t="b">
        <f>NOT(ISBLANK(MasterTable[[#This Row],[Total
Time]]))</f>
        <v>1</v>
      </c>
    </row>
    <row r="245" spans="4:46" ht="28.8" x14ac:dyDescent="0.3">
      <c r="D245" s="22">
        <v>45128</v>
      </c>
      <c r="E245" s="8" t="s">
        <v>139</v>
      </c>
      <c r="F245" s="8" t="s">
        <v>207</v>
      </c>
      <c r="G245" s="8" t="s">
        <v>207</v>
      </c>
      <c r="I245" s="10">
        <v>0.8</v>
      </c>
      <c r="J245" s="10">
        <v>0.8</v>
      </c>
      <c r="L245" s="10">
        <v>0</v>
      </c>
      <c r="M245" s="13">
        <v>0</v>
      </c>
      <c r="N245" s="13"/>
      <c r="O245" s="10">
        <v>0</v>
      </c>
      <c r="P245" s="10">
        <v>0</v>
      </c>
      <c r="Q245" s="14">
        <v>0</v>
      </c>
      <c r="R245" s="14">
        <v>0</v>
      </c>
      <c r="S245" s="10">
        <v>0</v>
      </c>
      <c r="T245" s="10">
        <v>0</v>
      </c>
      <c r="U245" s="14">
        <v>0</v>
      </c>
      <c r="V245" s="10"/>
      <c r="W245" s="11">
        <v>1</v>
      </c>
      <c r="X245" s="11">
        <v>1</v>
      </c>
      <c r="Y245" s="11">
        <v>0</v>
      </c>
      <c r="Z245" s="11">
        <v>0</v>
      </c>
      <c r="AA245" s="11">
        <f>MasterTable[[#This Row],[Landings
Night]]+MasterTable[[#This Row],[Landings
Day]]</f>
        <v>1</v>
      </c>
      <c r="AB245" s="10">
        <v>0</v>
      </c>
      <c r="AC245" s="10">
        <v>0</v>
      </c>
      <c r="AD245" s="11">
        <v>0</v>
      </c>
      <c r="AE245" s="21">
        <f>SUM(MasterTable[[#This Row],[ILS]:[PAR]])</f>
        <v>0</v>
      </c>
      <c r="AL245" s="11"/>
      <c r="AR245" s="140" t="str">
        <f>_xlfn.XLOOKUP(MasterTable[[#This Row],[Aircraft ID]],Aircraft!A:A,Aircraft!H:H)</f>
        <v>Airplane Single Engine Land</v>
      </c>
      <c r="AS245" s="8" t="b">
        <f>OR((SUM(MasterTable[[#This Row],[ILS]:[PAR]]) = MasterTable[[#This Row],[APPR]]))</f>
        <v>1</v>
      </c>
      <c r="AT245" s="8" t="b">
        <f>NOT(ISBLANK(MasterTable[[#This Row],[Total
Time]]))</f>
        <v>1</v>
      </c>
    </row>
    <row r="246" spans="4:46" ht="28.8" x14ac:dyDescent="0.3">
      <c r="D246" s="22">
        <v>45128</v>
      </c>
      <c r="E246" s="8" t="s">
        <v>139</v>
      </c>
      <c r="F246" s="8" t="s">
        <v>207</v>
      </c>
      <c r="G246" s="8" t="s">
        <v>207</v>
      </c>
      <c r="I246" s="10">
        <v>1.1000000000000001</v>
      </c>
      <c r="J246" s="10">
        <v>1.1000000000000001</v>
      </c>
      <c r="L246" s="10">
        <v>0</v>
      </c>
      <c r="M246" s="13">
        <v>0</v>
      </c>
      <c r="N246" s="13"/>
      <c r="O246" s="10">
        <v>0</v>
      </c>
      <c r="P246" s="10">
        <v>0</v>
      </c>
      <c r="Q246" s="14">
        <v>0</v>
      </c>
      <c r="R246" s="14">
        <v>0</v>
      </c>
      <c r="S246" s="10">
        <v>0</v>
      </c>
      <c r="T246" s="10">
        <v>0</v>
      </c>
      <c r="U246" s="14">
        <v>0</v>
      </c>
      <c r="V246" s="10"/>
      <c r="W246" s="11">
        <v>1</v>
      </c>
      <c r="X246" s="11">
        <v>1</v>
      </c>
      <c r="Y246" s="11">
        <v>0</v>
      </c>
      <c r="Z246" s="11">
        <v>0</v>
      </c>
      <c r="AA246" s="11">
        <f>MasterTable[[#This Row],[Landings
Night]]+MasterTable[[#This Row],[Landings
Day]]</f>
        <v>1</v>
      </c>
      <c r="AB246" s="10">
        <v>0</v>
      </c>
      <c r="AC246" s="10">
        <v>0</v>
      </c>
      <c r="AD246" s="11">
        <v>0</v>
      </c>
      <c r="AE246" s="21">
        <f>SUM(MasterTable[[#This Row],[ILS]:[PAR]])</f>
        <v>0</v>
      </c>
      <c r="AL246" s="11"/>
      <c r="AR246" s="140" t="str">
        <f>_xlfn.XLOOKUP(MasterTable[[#This Row],[Aircraft ID]],Aircraft!A:A,Aircraft!H:H)</f>
        <v>Airplane Single Engine Land</v>
      </c>
      <c r="AS246" s="8" t="b">
        <f>OR((SUM(MasterTable[[#This Row],[ILS]:[PAR]]) = MasterTable[[#This Row],[APPR]]))</f>
        <v>1</v>
      </c>
      <c r="AT246" s="8" t="b">
        <f>NOT(ISBLANK(MasterTable[[#This Row],[Total
Time]]))</f>
        <v>1</v>
      </c>
    </row>
    <row r="247" spans="4:46" ht="28.8" x14ac:dyDescent="0.3">
      <c r="D247" s="22">
        <v>45123</v>
      </c>
      <c r="E247" s="8" t="s">
        <v>139</v>
      </c>
      <c r="F247" s="8" t="s">
        <v>207</v>
      </c>
      <c r="G247" s="8" t="s">
        <v>207</v>
      </c>
      <c r="I247" s="10">
        <v>0.7</v>
      </c>
      <c r="J247" s="10">
        <v>0.7</v>
      </c>
      <c r="L247" s="10">
        <v>0</v>
      </c>
      <c r="M247" s="13">
        <v>0</v>
      </c>
      <c r="N247" s="13"/>
      <c r="O247" s="10">
        <v>0</v>
      </c>
      <c r="P247" s="10">
        <v>0</v>
      </c>
      <c r="Q247" s="14">
        <v>0</v>
      </c>
      <c r="R247" s="14">
        <v>0</v>
      </c>
      <c r="S247" s="10">
        <v>0</v>
      </c>
      <c r="T247" s="10">
        <v>0</v>
      </c>
      <c r="U247" s="14">
        <v>0</v>
      </c>
      <c r="V247" s="10">
        <v>0.7</v>
      </c>
      <c r="W247" s="11">
        <v>1</v>
      </c>
      <c r="X247" s="11">
        <v>1</v>
      </c>
      <c r="Y247" s="11">
        <v>0</v>
      </c>
      <c r="Z247" s="11">
        <v>0</v>
      </c>
      <c r="AA247" s="11">
        <f>MasterTable[[#This Row],[Landings
Night]]+MasterTable[[#This Row],[Landings
Day]]</f>
        <v>1</v>
      </c>
      <c r="AB247" s="10">
        <v>0</v>
      </c>
      <c r="AC247" s="10">
        <v>0</v>
      </c>
      <c r="AD247" s="11">
        <v>0</v>
      </c>
      <c r="AE247" s="21">
        <f>SUM(MasterTable[[#This Row],[ILS]:[PAR]])</f>
        <v>0</v>
      </c>
      <c r="AL247" s="11"/>
      <c r="AM247" s="8" t="s">
        <v>534</v>
      </c>
      <c r="AR247" s="140" t="str">
        <f>_xlfn.XLOOKUP(MasterTable[[#This Row],[Aircraft ID]],Aircraft!A:A,Aircraft!H:H)</f>
        <v>Airplane Single Engine Land</v>
      </c>
      <c r="AS247" s="8" t="b">
        <f>OR((SUM(MasterTable[[#This Row],[ILS]:[PAR]]) = MasterTable[[#This Row],[APPR]]))</f>
        <v>1</v>
      </c>
      <c r="AT247" s="8" t="b">
        <f>NOT(ISBLANK(MasterTable[[#This Row],[Total
Time]]))</f>
        <v>1</v>
      </c>
    </row>
    <row r="248" spans="4:46" ht="28.8" x14ac:dyDescent="0.3">
      <c r="D248" s="22">
        <v>45113</v>
      </c>
      <c r="E248" s="8" t="s">
        <v>174</v>
      </c>
      <c r="F248" s="8" t="s">
        <v>207</v>
      </c>
      <c r="G248" s="8" t="s">
        <v>206</v>
      </c>
      <c r="I248" s="10">
        <v>0.4</v>
      </c>
      <c r="J248" s="10">
        <v>0.4</v>
      </c>
      <c r="L248" s="10">
        <v>0</v>
      </c>
      <c r="M248" s="13">
        <v>0</v>
      </c>
      <c r="N248" s="13"/>
      <c r="O248" s="10">
        <v>0</v>
      </c>
      <c r="P248" s="10">
        <v>0</v>
      </c>
      <c r="Q248" s="14">
        <v>0</v>
      </c>
      <c r="R248" s="14">
        <v>0</v>
      </c>
      <c r="S248" s="10">
        <v>0</v>
      </c>
      <c r="T248" s="10">
        <v>0</v>
      </c>
      <c r="U248" s="14">
        <v>0</v>
      </c>
      <c r="V248" s="10"/>
      <c r="W248" s="11">
        <v>1</v>
      </c>
      <c r="X248" s="11">
        <v>1</v>
      </c>
      <c r="Y248" s="11">
        <v>0</v>
      </c>
      <c r="Z248" s="11">
        <v>0</v>
      </c>
      <c r="AA248" s="11">
        <f>MasterTable[[#This Row],[Landings
Night]]+MasterTable[[#This Row],[Landings
Day]]</f>
        <v>1</v>
      </c>
      <c r="AB248" s="10">
        <v>0</v>
      </c>
      <c r="AC248" s="10">
        <v>0</v>
      </c>
      <c r="AD248" s="11">
        <v>0</v>
      </c>
      <c r="AE248" s="21">
        <f>SUM(MasterTable[[#This Row],[ILS]:[PAR]])</f>
        <v>0</v>
      </c>
      <c r="AL248" s="11"/>
      <c r="AR248" s="140" t="str">
        <f>_xlfn.XLOOKUP(MasterTable[[#This Row],[Aircraft ID]],Aircraft!A:A,Aircraft!H:H)</f>
        <v>Airplane Single Engine Land</v>
      </c>
      <c r="AS248" s="8" t="b">
        <f>OR((SUM(MasterTable[[#This Row],[ILS]:[PAR]]) = MasterTable[[#This Row],[APPR]]))</f>
        <v>1</v>
      </c>
      <c r="AT248" s="8" t="b">
        <f>NOT(ISBLANK(MasterTable[[#This Row],[Total
Time]]))</f>
        <v>1</v>
      </c>
    </row>
    <row r="249" spans="4:46" ht="28.8" x14ac:dyDescent="0.3">
      <c r="D249" s="22">
        <v>45113</v>
      </c>
      <c r="E249" s="8" t="s">
        <v>174</v>
      </c>
      <c r="F249" s="8" t="s">
        <v>202</v>
      </c>
      <c r="G249" s="8" t="s">
        <v>207</v>
      </c>
      <c r="I249" s="10">
        <v>2.2000000000000002</v>
      </c>
      <c r="J249" s="10">
        <v>2.2000000000000002</v>
      </c>
      <c r="L249" s="10">
        <v>0</v>
      </c>
      <c r="M249" s="13">
        <v>0</v>
      </c>
      <c r="N249" s="13"/>
      <c r="O249" s="10">
        <v>0</v>
      </c>
      <c r="P249" s="10">
        <v>0</v>
      </c>
      <c r="Q249" s="14">
        <v>0</v>
      </c>
      <c r="R249" s="14">
        <v>0</v>
      </c>
      <c r="S249" s="10">
        <v>0</v>
      </c>
      <c r="T249" s="10">
        <v>2.2000000000000002</v>
      </c>
      <c r="U249" s="14">
        <v>0</v>
      </c>
      <c r="V249" s="10"/>
      <c r="W249" s="11">
        <v>1</v>
      </c>
      <c r="X249" s="11">
        <v>1</v>
      </c>
      <c r="Y249" s="11">
        <v>0</v>
      </c>
      <c r="Z249" s="11">
        <v>0</v>
      </c>
      <c r="AA249" s="11">
        <f>MasterTable[[#This Row],[Landings
Night]]+MasterTable[[#This Row],[Landings
Day]]</f>
        <v>1</v>
      </c>
      <c r="AB249" s="10">
        <v>0</v>
      </c>
      <c r="AC249" s="10">
        <v>0</v>
      </c>
      <c r="AD249" s="11">
        <v>0</v>
      </c>
      <c r="AE249" s="21">
        <f>SUM(MasterTable[[#This Row],[ILS]:[PAR]])</f>
        <v>0</v>
      </c>
      <c r="AL249" s="11"/>
      <c r="AR249" s="140" t="str">
        <f>_xlfn.XLOOKUP(MasterTable[[#This Row],[Aircraft ID]],Aircraft!A:A,Aircraft!H:H)</f>
        <v>Airplane Single Engine Land</v>
      </c>
      <c r="AS249" s="8" t="b">
        <f>OR((SUM(MasterTable[[#This Row],[ILS]:[PAR]]) = MasterTable[[#This Row],[APPR]]))</f>
        <v>1</v>
      </c>
      <c r="AT249" s="8" t="b">
        <f>NOT(ISBLANK(MasterTable[[#This Row],[Total
Time]]))</f>
        <v>1</v>
      </c>
    </row>
    <row r="250" spans="4:46" ht="28.8" x14ac:dyDescent="0.3">
      <c r="D250" s="22">
        <v>45112</v>
      </c>
      <c r="E250" s="8" t="s">
        <v>174</v>
      </c>
      <c r="F250" s="8" t="s">
        <v>220</v>
      </c>
      <c r="G250" s="8" t="s">
        <v>202</v>
      </c>
      <c r="I250" s="10">
        <v>0.5</v>
      </c>
      <c r="J250" s="10">
        <v>0.5</v>
      </c>
      <c r="L250" s="10">
        <v>0</v>
      </c>
      <c r="M250" s="13">
        <v>0</v>
      </c>
      <c r="N250" s="13"/>
      <c r="O250" s="10">
        <v>0</v>
      </c>
      <c r="P250" s="10">
        <v>0</v>
      </c>
      <c r="Q250" s="14">
        <v>0</v>
      </c>
      <c r="R250" s="14">
        <v>0</v>
      </c>
      <c r="S250" s="10">
        <v>0</v>
      </c>
      <c r="T250" s="10">
        <v>0</v>
      </c>
      <c r="U250" s="14">
        <v>0</v>
      </c>
      <c r="V250" s="10"/>
      <c r="W250" s="11">
        <v>1</v>
      </c>
      <c r="X250" s="11">
        <v>1</v>
      </c>
      <c r="Y250" s="11">
        <v>0</v>
      </c>
      <c r="Z250" s="11">
        <v>0</v>
      </c>
      <c r="AA250" s="11">
        <f>MasterTable[[#This Row],[Landings
Night]]+MasterTable[[#This Row],[Landings
Day]]</f>
        <v>1</v>
      </c>
      <c r="AB250" s="10">
        <v>0</v>
      </c>
      <c r="AC250" s="10">
        <v>0</v>
      </c>
      <c r="AD250" s="11">
        <v>0</v>
      </c>
      <c r="AE250" s="21">
        <f>SUM(MasterTable[[#This Row],[ILS]:[PAR]])</f>
        <v>0</v>
      </c>
      <c r="AL250" s="11"/>
      <c r="AR250" s="140" t="str">
        <f>_xlfn.XLOOKUP(MasterTable[[#This Row],[Aircraft ID]],Aircraft!A:A,Aircraft!H:H)</f>
        <v>Airplane Single Engine Land</v>
      </c>
      <c r="AS250" s="8" t="b">
        <f>OR((SUM(MasterTable[[#This Row],[ILS]:[PAR]]) = MasterTable[[#This Row],[APPR]]))</f>
        <v>1</v>
      </c>
      <c r="AT250" s="8" t="b">
        <f>NOT(ISBLANK(MasterTable[[#This Row],[Total
Time]]))</f>
        <v>1</v>
      </c>
    </row>
    <row r="251" spans="4:46" ht="28.8" x14ac:dyDescent="0.3">
      <c r="D251" s="22">
        <v>45112</v>
      </c>
      <c r="E251" s="8" t="s">
        <v>174</v>
      </c>
      <c r="F251" s="8" t="s">
        <v>206</v>
      </c>
      <c r="G251" s="8" t="s">
        <v>220</v>
      </c>
      <c r="I251" s="10">
        <v>2.2000000000000002</v>
      </c>
      <c r="J251" s="10">
        <v>2.2000000000000002</v>
      </c>
      <c r="L251" s="10">
        <v>0</v>
      </c>
      <c r="M251" s="13">
        <v>0</v>
      </c>
      <c r="N251" s="13"/>
      <c r="O251" s="10">
        <v>0</v>
      </c>
      <c r="P251" s="10">
        <v>0</v>
      </c>
      <c r="Q251" s="14">
        <v>0</v>
      </c>
      <c r="R251" s="14">
        <v>0</v>
      </c>
      <c r="S251" s="10">
        <v>0</v>
      </c>
      <c r="T251" s="10">
        <v>2.2000000000000002</v>
      </c>
      <c r="U251" s="14">
        <v>0</v>
      </c>
      <c r="V251" s="10"/>
      <c r="W251" s="11">
        <v>1</v>
      </c>
      <c r="X251" s="11">
        <v>1</v>
      </c>
      <c r="Y251" s="11">
        <v>0</v>
      </c>
      <c r="Z251" s="11">
        <v>0</v>
      </c>
      <c r="AA251" s="11">
        <f>MasterTable[[#This Row],[Landings
Night]]+MasterTable[[#This Row],[Landings
Day]]</f>
        <v>1</v>
      </c>
      <c r="AB251" s="10">
        <v>0</v>
      </c>
      <c r="AC251" s="10">
        <v>0</v>
      </c>
      <c r="AD251" s="11">
        <v>0</v>
      </c>
      <c r="AE251" s="21">
        <f>SUM(MasterTable[[#This Row],[ILS]:[PAR]])</f>
        <v>0</v>
      </c>
      <c r="AL251" s="11"/>
      <c r="AR251" s="140" t="str">
        <f>_xlfn.XLOOKUP(MasterTable[[#This Row],[Aircraft ID]],Aircraft!A:A,Aircraft!H:H)</f>
        <v>Airplane Single Engine Land</v>
      </c>
      <c r="AS251" s="8" t="b">
        <f>OR((SUM(MasterTable[[#This Row],[ILS]:[PAR]]) = MasterTable[[#This Row],[APPR]]))</f>
        <v>1</v>
      </c>
      <c r="AT251" s="8" t="b">
        <f>NOT(ISBLANK(MasterTable[[#This Row],[Total
Time]]))</f>
        <v>1</v>
      </c>
    </row>
    <row r="252" spans="4:46" ht="28.8" x14ac:dyDescent="0.3">
      <c r="D252" s="22">
        <v>45074</v>
      </c>
      <c r="E252" s="8" t="s">
        <v>114</v>
      </c>
      <c r="F252" s="8" t="s">
        <v>204</v>
      </c>
      <c r="G252" s="8" t="s">
        <v>204</v>
      </c>
      <c r="I252" s="10">
        <v>1.4</v>
      </c>
      <c r="J252" s="10">
        <v>1.4</v>
      </c>
      <c r="L252" s="10">
        <v>0</v>
      </c>
      <c r="M252" s="13">
        <v>0</v>
      </c>
      <c r="N252" s="13"/>
      <c r="O252" s="10">
        <v>0</v>
      </c>
      <c r="P252" s="10">
        <v>0</v>
      </c>
      <c r="Q252" s="14">
        <v>0</v>
      </c>
      <c r="R252" s="14">
        <v>0</v>
      </c>
      <c r="S252" s="10">
        <v>0</v>
      </c>
      <c r="T252" s="10">
        <v>0</v>
      </c>
      <c r="U252" s="14">
        <v>0</v>
      </c>
      <c r="V252" s="10"/>
      <c r="W252" s="11">
        <v>0</v>
      </c>
      <c r="X252" s="11">
        <v>0</v>
      </c>
      <c r="Y252" s="11">
        <v>0</v>
      </c>
      <c r="Z252" s="11">
        <v>0</v>
      </c>
      <c r="AA252" s="11">
        <f>MasterTable[[#This Row],[Landings
Night]]+MasterTable[[#This Row],[Landings
Day]]</f>
        <v>0</v>
      </c>
      <c r="AB252" s="10">
        <v>0</v>
      </c>
      <c r="AC252" s="10">
        <v>0</v>
      </c>
      <c r="AD252" s="11">
        <v>0</v>
      </c>
      <c r="AE252" s="21">
        <f>SUM(MasterTable[[#This Row],[ILS]:[PAR]])</f>
        <v>0</v>
      </c>
      <c r="AL252" s="11"/>
      <c r="AR252" s="140" t="str">
        <f>_xlfn.XLOOKUP(MasterTable[[#This Row],[Aircraft ID]],Aircraft!A:A,Aircraft!H:H)</f>
        <v>Airplane Single Engine Land</v>
      </c>
      <c r="AS252" s="8" t="b">
        <f>OR((SUM(MasterTable[[#This Row],[ILS]:[PAR]]) = MasterTable[[#This Row],[APPR]]))</f>
        <v>1</v>
      </c>
      <c r="AT252" s="8" t="b">
        <f>NOT(ISBLANK(MasterTable[[#This Row],[Total
Time]]))</f>
        <v>1</v>
      </c>
    </row>
    <row r="253" spans="4:46" ht="28.8" x14ac:dyDescent="0.3">
      <c r="D253" s="22">
        <v>45071</v>
      </c>
      <c r="E253" s="8" t="s">
        <v>114</v>
      </c>
      <c r="F253" s="8" t="s">
        <v>204</v>
      </c>
      <c r="G253" s="8" t="s">
        <v>207</v>
      </c>
      <c r="I253" s="10">
        <v>0.9</v>
      </c>
      <c r="J253" s="10">
        <v>0.9</v>
      </c>
      <c r="L253" s="10">
        <v>0</v>
      </c>
      <c r="M253" s="13">
        <v>0</v>
      </c>
      <c r="N253" s="13"/>
      <c r="O253" s="10">
        <v>0</v>
      </c>
      <c r="P253" s="10">
        <v>0</v>
      </c>
      <c r="Q253" s="14">
        <v>0</v>
      </c>
      <c r="R253" s="14">
        <v>0</v>
      </c>
      <c r="S253" s="10">
        <v>0</v>
      </c>
      <c r="T253" s="10">
        <v>0.9</v>
      </c>
      <c r="U253" s="14">
        <v>0</v>
      </c>
      <c r="V253" s="10"/>
      <c r="W253" s="11">
        <v>1</v>
      </c>
      <c r="X253" s="11">
        <v>1</v>
      </c>
      <c r="Y253" s="11">
        <v>0</v>
      </c>
      <c r="Z253" s="11">
        <v>0</v>
      </c>
      <c r="AA253" s="11">
        <f>MasterTable[[#This Row],[Landings
Night]]+MasterTable[[#This Row],[Landings
Day]]</f>
        <v>1</v>
      </c>
      <c r="AB253" s="10">
        <v>0</v>
      </c>
      <c r="AC253" s="10">
        <v>0</v>
      </c>
      <c r="AD253" s="11">
        <v>0</v>
      </c>
      <c r="AE253" s="21">
        <f>SUM(MasterTable[[#This Row],[ILS]:[PAR]])</f>
        <v>0</v>
      </c>
      <c r="AL253" s="11"/>
      <c r="AR253" s="140" t="str">
        <f>_xlfn.XLOOKUP(MasterTable[[#This Row],[Aircraft ID]],Aircraft!A:A,Aircraft!H:H)</f>
        <v>Airplane Single Engine Land</v>
      </c>
      <c r="AS253" s="8" t="b">
        <f>OR((SUM(MasterTable[[#This Row],[ILS]:[PAR]]) = MasterTable[[#This Row],[APPR]]))</f>
        <v>1</v>
      </c>
      <c r="AT253" s="8" t="b">
        <f>NOT(ISBLANK(MasterTable[[#This Row],[Total
Time]]))</f>
        <v>1</v>
      </c>
    </row>
    <row r="254" spans="4:46" ht="28.8" x14ac:dyDescent="0.3">
      <c r="D254" s="22">
        <v>45065</v>
      </c>
      <c r="E254" s="8" t="s">
        <v>154</v>
      </c>
      <c r="F254" s="8" t="s">
        <v>204</v>
      </c>
      <c r="G254" s="8" t="s">
        <v>204</v>
      </c>
      <c r="I254" s="10">
        <v>0.3</v>
      </c>
      <c r="J254" s="10">
        <v>0.3</v>
      </c>
      <c r="L254" s="10">
        <v>0</v>
      </c>
      <c r="M254" s="13">
        <v>0</v>
      </c>
      <c r="N254" s="13"/>
      <c r="O254" s="10">
        <v>0</v>
      </c>
      <c r="P254" s="10">
        <v>0</v>
      </c>
      <c r="Q254" s="14">
        <v>0</v>
      </c>
      <c r="R254" s="14">
        <v>0</v>
      </c>
      <c r="S254" s="10">
        <v>0</v>
      </c>
      <c r="T254" s="10">
        <v>0</v>
      </c>
      <c r="U254" s="14">
        <v>0</v>
      </c>
      <c r="V254" s="10"/>
      <c r="W254" s="11">
        <v>0</v>
      </c>
      <c r="X254" s="11">
        <v>0</v>
      </c>
      <c r="Y254" s="11">
        <v>0</v>
      </c>
      <c r="Z254" s="11">
        <v>0</v>
      </c>
      <c r="AA254" s="11">
        <f>MasterTable[[#This Row],[Landings
Night]]+MasterTable[[#This Row],[Landings
Day]]</f>
        <v>0</v>
      </c>
      <c r="AB254" s="10">
        <v>0</v>
      </c>
      <c r="AC254" s="10">
        <v>0</v>
      </c>
      <c r="AD254" s="11">
        <v>0</v>
      </c>
      <c r="AE254" s="21">
        <f>SUM(MasterTable[[#This Row],[ILS]:[PAR]])</f>
        <v>0</v>
      </c>
      <c r="AL254" s="11"/>
      <c r="AR254" s="140" t="str">
        <f>_xlfn.XLOOKUP(MasterTable[[#This Row],[Aircraft ID]],Aircraft!A:A,Aircraft!H:H)</f>
        <v>Airplane Single Engine Land</v>
      </c>
      <c r="AS254" s="8" t="b">
        <f>OR((SUM(MasterTable[[#This Row],[ILS]:[PAR]]) = MasterTable[[#This Row],[APPR]]))</f>
        <v>1</v>
      </c>
      <c r="AT254" s="8" t="b">
        <f>NOT(ISBLANK(MasterTable[[#This Row],[Total
Time]]))</f>
        <v>1</v>
      </c>
    </row>
    <row r="255" spans="4:46" ht="28.8" x14ac:dyDescent="0.3">
      <c r="D255" s="22">
        <v>45064</v>
      </c>
      <c r="E255" s="8" t="s">
        <v>174</v>
      </c>
      <c r="F255" s="8" t="s">
        <v>207</v>
      </c>
      <c r="G255" s="8" t="s">
        <v>206</v>
      </c>
      <c r="I255" s="10">
        <v>0.6</v>
      </c>
      <c r="J255" s="10">
        <v>0.6</v>
      </c>
      <c r="L255" s="10">
        <v>0</v>
      </c>
      <c r="M255" s="13">
        <v>0</v>
      </c>
      <c r="N255" s="13"/>
      <c r="O255" s="10">
        <v>0</v>
      </c>
      <c r="P255" s="10">
        <v>0</v>
      </c>
      <c r="Q255" s="14">
        <v>0</v>
      </c>
      <c r="R255" s="14">
        <v>0</v>
      </c>
      <c r="S255" s="10">
        <v>0</v>
      </c>
      <c r="T255" s="10">
        <v>0</v>
      </c>
      <c r="U255" s="14">
        <v>0</v>
      </c>
      <c r="V255" s="10"/>
      <c r="W255" s="11">
        <v>1</v>
      </c>
      <c r="X255" s="11">
        <v>1</v>
      </c>
      <c r="Y255" s="11">
        <v>0</v>
      </c>
      <c r="Z255" s="11">
        <v>0</v>
      </c>
      <c r="AA255" s="11">
        <f>MasterTable[[#This Row],[Landings
Night]]+MasterTable[[#This Row],[Landings
Day]]</f>
        <v>1</v>
      </c>
      <c r="AB255" s="10">
        <v>0</v>
      </c>
      <c r="AC255" s="10">
        <v>0</v>
      </c>
      <c r="AD255" s="11">
        <v>0</v>
      </c>
      <c r="AE255" s="21">
        <f>SUM(MasterTable[[#This Row],[ILS]:[PAR]])</f>
        <v>0</v>
      </c>
      <c r="AL255" s="11"/>
      <c r="AR255" s="140" t="str">
        <f>_xlfn.XLOOKUP(MasterTable[[#This Row],[Aircraft ID]],Aircraft!A:A,Aircraft!H:H)</f>
        <v>Airplane Single Engine Land</v>
      </c>
      <c r="AS255" s="8" t="b">
        <f>OR((SUM(MasterTable[[#This Row],[ILS]:[PAR]]) = MasterTable[[#This Row],[APPR]]))</f>
        <v>1</v>
      </c>
      <c r="AT255" s="8" t="b">
        <f>NOT(ISBLANK(MasterTable[[#This Row],[Total
Time]]))</f>
        <v>1</v>
      </c>
    </row>
    <row r="256" spans="4:46" ht="28.8" x14ac:dyDescent="0.3">
      <c r="D256" s="22">
        <v>45064</v>
      </c>
      <c r="E256" s="8" t="s">
        <v>174</v>
      </c>
      <c r="F256" s="8" t="s">
        <v>207</v>
      </c>
      <c r="G256" s="8" t="s">
        <v>207</v>
      </c>
      <c r="I256" s="10">
        <v>0.2</v>
      </c>
      <c r="J256" s="10">
        <v>0.2</v>
      </c>
      <c r="L256" s="10">
        <v>0</v>
      </c>
      <c r="M256" s="13">
        <v>0</v>
      </c>
      <c r="N256" s="13"/>
      <c r="O256" s="10">
        <v>0</v>
      </c>
      <c r="P256" s="10">
        <v>0</v>
      </c>
      <c r="Q256" s="14">
        <v>0</v>
      </c>
      <c r="R256" s="14">
        <v>0</v>
      </c>
      <c r="S256" s="10">
        <v>0</v>
      </c>
      <c r="T256" s="10">
        <v>0</v>
      </c>
      <c r="U256" s="14">
        <v>0</v>
      </c>
      <c r="V256" s="10">
        <v>0.2</v>
      </c>
      <c r="W256" s="11">
        <v>2</v>
      </c>
      <c r="X256" s="11">
        <v>2</v>
      </c>
      <c r="Y256" s="11">
        <v>0</v>
      </c>
      <c r="Z256" s="11">
        <v>0</v>
      </c>
      <c r="AA256" s="11">
        <f>MasterTable[[#This Row],[Landings
Night]]+MasterTable[[#This Row],[Landings
Day]]</f>
        <v>2</v>
      </c>
      <c r="AB256" s="10">
        <v>0</v>
      </c>
      <c r="AC256" s="10">
        <v>0</v>
      </c>
      <c r="AD256" s="11">
        <v>0</v>
      </c>
      <c r="AE256" s="21">
        <f>SUM(MasterTable[[#This Row],[ILS]:[PAR]])</f>
        <v>0</v>
      </c>
      <c r="AL256" s="11"/>
      <c r="AR256" s="140" t="str">
        <f>_xlfn.XLOOKUP(MasterTable[[#This Row],[Aircraft ID]],Aircraft!A:A,Aircraft!H:H)</f>
        <v>Airplane Single Engine Land</v>
      </c>
      <c r="AS256" s="8" t="b">
        <f>OR((SUM(MasterTable[[#This Row],[ILS]:[PAR]]) = MasterTable[[#This Row],[APPR]]))</f>
        <v>1</v>
      </c>
      <c r="AT256" s="8" t="b">
        <f>NOT(ISBLANK(MasterTable[[#This Row],[Total
Time]]))</f>
        <v>1</v>
      </c>
    </row>
    <row r="257" spans="4:46" ht="28.8" x14ac:dyDescent="0.3">
      <c r="D257" s="22">
        <v>45064</v>
      </c>
      <c r="E257" s="8" t="s">
        <v>174</v>
      </c>
      <c r="F257" s="8" t="s">
        <v>206</v>
      </c>
      <c r="G257" s="8" t="s">
        <v>207</v>
      </c>
      <c r="I257" s="10">
        <v>0.5</v>
      </c>
      <c r="J257" s="10">
        <v>0.5</v>
      </c>
      <c r="L257" s="10">
        <v>0</v>
      </c>
      <c r="M257" s="13">
        <v>0</v>
      </c>
      <c r="N257" s="13"/>
      <c r="O257" s="10">
        <v>0</v>
      </c>
      <c r="P257" s="10">
        <v>0</v>
      </c>
      <c r="Q257" s="14">
        <v>0</v>
      </c>
      <c r="R257" s="14">
        <v>0</v>
      </c>
      <c r="S257" s="10">
        <v>0</v>
      </c>
      <c r="T257" s="10">
        <v>0</v>
      </c>
      <c r="U257" s="14">
        <v>0</v>
      </c>
      <c r="V257" s="10">
        <v>0.5</v>
      </c>
      <c r="W257" s="11">
        <v>1</v>
      </c>
      <c r="X257" s="11">
        <v>1</v>
      </c>
      <c r="Y257" s="11">
        <v>0</v>
      </c>
      <c r="Z257" s="11">
        <v>0</v>
      </c>
      <c r="AA257" s="11">
        <f>MasterTable[[#This Row],[Landings
Night]]+MasterTable[[#This Row],[Landings
Day]]</f>
        <v>1</v>
      </c>
      <c r="AB257" s="10">
        <v>0</v>
      </c>
      <c r="AC257" s="10">
        <v>0</v>
      </c>
      <c r="AD257" s="11">
        <v>0</v>
      </c>
      <c r="AE257" s="21">
        <f>SUM(MasterTable[[#This Row],[ILS]:[PAR]])</f>
        <v>0</v>
      </c>
      <c r="AL257" s="11"/>
      <c r="AR257" s="140" t="str">
        <f>_xlfn.XLOOKUP(MasterTable[[#This Row],[Aircraft ID]],Aircraft!A:A,Aircraft!H:H)</f>
        <v>Airplane Single Engine Land</v>
      </c>
      <c r="AS257" s="8" t="b">
        <f>OR((SUM(MasterTable[[#This Row],[ILS]:[PAR]]) = MasterTable[[#This Row],[APPR]]))</f>
        <v>1</v>
      </c>
      <c r="AT257" s="8" t="b">
        <f>NOT(ISBLANK(MasterTable[[#This Row],[Total
Time]]))</f>
        <v>1</v>
      </c>
    </row>
    <row r="258" spans="4:46" ht="28.8" x14ac:dyDescent="0.3">
      <c r="D258" s="22">
        <v>45061</v>
      </c>
      <c r="E258" s="8" t="s">
        <v>174</v>
      </c>
      <c r="F258" s="8" t="s">
        <v>204</v>
      </c>
      <c r="G258" s="8" t="s">
        <v>206</v>
      </c>
      <c r="I258" s="10">
        <v>1.1000000000000001</v>
      </c>
      <c r="J258" s="10">
        <v>1.1000000000000001</v>
      </c>
      <c r="L258" s="10">
        <v>0</v>
      </c>
      <c r="M258" s="13">
        <v>0</v>
      </c>
      <c r="N258" s="13"/>
      <c r="O258" s="10">
        <v>0</v>
      </c>
      <c r="P258" s="10">
        <v>0</v>
      </c>
      <c r="Q258" s="14">
        <v>0</v>
      </c>
      <c r="R258" s="14">
        <v>0</v>
      </c>
      <c r="S258" s="10">
        <v>0</v>
      </c>
      <c r="T258" s="10">
        <v>1.1000000000000001</v>
      </c>
      <c r="U258" s="14">
        <v>0</v>
      </c>
      <c r="V258" s="10"/>
      <c r="W258" s="11">
        <v>1</v>
      </c>
      <c r="X258" s="11">
        <v>1</v>
      </c>
      <c r="Y258" s="11">
        <v>0</v>
      </c>
      <c r="Z258" s="11">
        <v>0</v>
      </c>
      <c r="AA258" s="11">
        <f>MasterTable[[#This Row],[Landings
Night]]+MasterTable[[#This Row],[Landings
Day]]</f>
        <v>1</v>
      </c>
      <c r="AB258" s="10">
        <v>0</v>
      </c>
      <c r="AC258" s="10">
        <v>0</v>
      </c>
      <c r="AD258" s="11">
        <v>0</v>
      </c>
      <c r="AE258" s="21">
        <f>SUM(MasterTable[[#This Row],[ILS]:[PAR]])</f>
        <v>0</v>
      </c>
      <c r="AL258" s="11"/>
      <c r="AR258" s="140" t="str">
        <f>_xlfn.XLOOKUP(MasterTable[[#This Row],[Aircraft ID]],Aircraft!A:A,Aircraft!H:H)</f>
        <v>Airplane Single Engine Land</v>
      </c>
      <c r="AS258" s="8" t="b">
        <f>OR((SUM(MasterTable[[#This Row],[ILS]:[PAR]]) = MasterTable[[#This Row],[APPR]]))</f>
        <v>1</v>
      </c>
      <c r="AT258" s="8" t="b">
        <f>NOT(ISBLANK(MasterTable[[#This Row],[Total
Time]]))</f>
        <v>1</v>
      </c>
    </row>
    <row r="259" spans="4:46" ht="28.8" x14ac:dyDescent="0.3">
      <c r="D259" s="22">
        <v>45061</v>
      </c>
      <c r="E259" s="8" t="s">
        <v>174</v>
      </c>
      <c r="F259" s="8" t="s">
        <v>214</v>
      </c>
      <c r="G259" s="8" t="s">
        <v>204</v>
      </c>
      <c r="I259" s="10">
        <v>1</v>
      </c>
      <c r="J259" s="10">
        <v>1</v>
      </c>
      <c r="L259" s="10">
        <v>0</v>
      </c>
      <c r="M259" s="13">
        <v>0</v>
      </c>
      <c r="N259" s="13"/>
      <c r="O259" s="10">
        <v>0</v>
      </c>
      <c r="P259" s="10">
        <v>0</v>
      </c>
      <c r="Q259" s="14">
        <v>0</v>
      </c>
      <c r="R259" s="14">
        <v>0</v>
      </c>
      <c r="S259" s="10">
        <v>0</v>
      </c>
      <c r="T259" s="10">
        <v>0</v>
      </c>
      <c r="U259" s="14">
        <v>0</v>
      </c>
      <c r="V259" s="10"/>
      <c r="W259" s="11">
        <v>1</v>
      </c>
      <c r="X259" s="11">
        <v>1</v>
      </c>
      <c r="Y259" s="11">
        <v>0</v>
      </c>
      <c r="Z259" s="11">
        <v>0</v>
      </c>
      <c r="AA259" s="11">
        <f>MasterTable[[#This Row],[Landings
Night]]+MasterTable[[#This Row],[Landings
Day]]</f>
        <v>1</v>
      </c>
      <c r="AB259" s="10">
        <v>0</v>
      </c>
      <c r="AC259" s="10">
        <v>0</v>
      </c>
      <c r="AD259" s="11">
        <v>0</v>
      </c>
      <c r="AE259" s="21">
        <f>SUM(MasterTable[[#This Row],[ILS]:[PAR]])</f>
        <v>0</v>
      </c>
      <c r="AL259" s="11"/>
      <c r="AR259" s="140" t="str">
        <f>_xlfn.XLOOKUP(MasterTable[[#This Row],[Aircraft ID]],Aircraft!A:A,Aircraft!H:H)</f>
        <v>Airplane Single Engine Land</v>
      </c>
      <c r="AS259" s="8" t="b">
        <f>OR((SUM(MasterTable[[#This Row],[ILS]:[PAR]]) = MasterTable[[#This Row],[APPR]]))</f>
        <v>1</v>
      </c>
      <c r="AT259" s="8" t="b">
        <f>NOT(ISBLANK(MasterTable[[#This Row],[Total
Time]]))</f>
        <v>1</v>
      </c>
    </row>
    <row r="260" spans="4:46" ht="28.8" x14ac:dyDescent="0.3">
      <c r="D260" s="22">
        <v>45061</v>
      </c>
      <c r="E260" s="8" t="s">
        <v>174</v>
      </c>
      <c r="F260" s="8" t="s">
        <v>206</v>
      </c>
      <c r="G260" s="8" t="s">
        <v>214</v>
      </c>
      <c r="I260" s="10">
        <v>0.9</v>
      </c>
      <c r="J260" s="10">
        <v>0.9</v>
      </c>
      <c r="L260" s="10">
        <v>0</v>
      </c>
      <c r="M260" s="13">
        <v>0</v>
      </c>
      <c r="N260" s="13"/>
      <c r="O260" s="10">
        <v>0</v>
      </c>
      <c r="P260" s="10">
        <v>0</v>
      </c>
      <c r="Q260" s="14">
        <v>0</v>
      </c>
      <c r="R260" s="14">
        <v>0</v>
      </c>
      <c r="S260" s="10">
        <v>0</v>
      </c>
      <c r="T260" s="10">
        <v>0.9</v>
      </c>
      <c r="U260" s="14">
        <v>0</v>
      </c>
      <c r="V260" s="10"/>
      <c r="W260" s="11">
        <v>1</v>
      </c>
      <c r="X260" s="11">
        <v>1</v>
      </c>
      <c r="Y260" s="11">
        <v>0</v>
      </c>
      <c r="Z260" s="11">
        <v>0</v>
      </c>
      <c r="AA260" s="11">
        <f>MasterTable[[#This Row],[Landings
Night]]+MasterTable[[#This Row],[Landings
Day]]</f>
        <v>1</v>
      </c>
      <c r="AB260" s="10">
        <v>0</v>
      </c>
      <c r="AC260" s="10">
        <v>0</v>
      </c>
      <c r="AD260" s="11">
        <v>0</v>
      </c>
      <c r="AE260" s="21">
        <f>SUM(MasterTable[[#This Row],[ILS]:[PAR]])</f>
        <v>0</v>
      </c>
      <c r="AL260" s="11"/>
      <c r="AR260" s="140" t="str">
        <f>_xlfn.XLOOKUP(MasterTable[[#This Row],[Aircraft ID]],Aircraft!A:A,Aircraft!H:H)</f>
        <v>Airplane Single Engine Land</v>
      </c>
      <c r="AS260" s="8" t="b">
        <f>OR((SUM(MasterTable[[#This Row],[ILS]:[PAR]]) = MasterTable[[#This Row],[APPR]]))</f>
        <v>1</v>
      </c>
      <c r="AT260" s="8" t="b">
        <f>NOT(ISBLANK(MasterTable[[#This Row],[Total
Time]]))</f>
        <v>1</v>
      </c>
    </row>
    <row r="261" spans="4:46" ht="28.8" x14ac:dyDescent="0.3">
      <c r="D261" s="22">
        <v>45057</v>
      </c>
      <c r="E261" s="8" t="s">
        <v>174</v>
      </c>
      <c r="F261" s="8" t="s">
        <v>222</v>
      </c>
      <c r="G261" s="8" t="s">
        <v>206</v>
      </c>
      <c r="I261" s="10">
        <v>0.6</v>
      </c>
      <c r="J261" s="10">
        <v>0.6</v>
      </c>
      <c r="L261" s="10">
        <v>0</v>
      </c>
      <c r="M261" s="13">
        <v>0</v>
      </c>
      <c r="N261" s="13"/>
      <c r="O261" s="10">
        <v>0</v>
      </c>
      <c r="P261" s="10">
        <v>0</v>
      </c>
      <c r="Q261" s="14">
        <v>0</v>
      </c>
      <c r="R261" s="14">
        <v>0</v>
      </c>
      <c r="S261" s="10">
        <v>0</v>
      </c>
      <c r="T261" s="10">
        <v>0</v>
      </c>
      <c r="U261" s="14">
        <v>0</v>
      </c>
      <c r="V261" s="10"/>
      <c r="W261" s="11">
        <v>1</v>
      </c>
      <c r="X261" s="11">
        <v>1</v>
      </c>
      <c r="Y261" s="11">
        <v>0</v>
      </c>
      <c r="Z261" s="11">
        <v>0</v>
      </c>
      <c r="AA261" s="11">
        <f>MasterTable[[#This Row],[Landings
Night]]+MasterTable[[#This Row],[Landings
Day]]</f>
        <v>1</v>
      </c>
      <c r="AB261" s="10">
        <v>0</v>
      </c>
      <c r="AC261" s="10">
        <v>0</v>
      </c>
      <c r="AD261" s="11">
        <v>0</v>
      </c>
      <c r="AE261" s="21">
        <f>SUM(MasterTable[[#This Row],[ILS]:[PAR]])</f>
        <v>0</v>
      </c>
      <c r="AL261" s="11"/>
      <c r="AR261" s="140" t="str">
        <f>_xlfn.XLOOKUP(MasterTable[[#This Row],[Aircraft ID]],Aircraft!A:A,Aircraft!H:H)</f>
        <v>Airplane Single Engine Land</v>
      </c>
      <c r="AS261" s="8" t="b">
        <f>OR((SUM(MasterTable[[#This Row],[ILS]:[PAR]]) = MasterTable[[#This Row],[APPR]]))</f>
        <v>1</v>
      </c>
      <c r="AT261" s="8" t="b">
        <f>NOT(ISBLANK(MasterTable[[#This Row],[Total
Time]]))</f>
        <v>1</v>
      </c>
    </row>
    <row r="262" spans="4:46" ht="28.8" x14ac:dyDescent="0.3">
      <c r="D262" s="22">
        <v>45046</v>
      </c>
      <c r="E262" s="8" t="s">
        <v>139</v>
      </c>
      <c r="F262" s="8" t="s">
        <v>204</v>
      </c>
      <c r="G262" s="8" t="s">
        <v>223</v>
      </c>
      <c r="I262" s="10">
        <v>0.6</v>
      </c>
      <c r="J262" s="10">
        <v>0.6</v>
      </c>
      <c r="L262" s="10">
        <v>0</v>
      </c>
      <c r="M262" s="13">
        <v>0</v>
      </c>
      <c r="N262" s="13"/>
      <c r="O262" s="10">
        <v>0</v>
      </c>
      <c r="P262" s="10">
        <v>0</v>
      </c>
      <c r="Q262" s="14">
        <v>0</v>
      </c>
      <c r="R262" s="14">
        <v>0</v>
      </c>
      <c r="S262" s="10">
        <v>0</v>
      </c>
      <c r="T262" s="10">
        <v>0</v>
      </c>
      <c r="U262" s="14">
        <v>0</v>
      </c>
      <c r="V262" s="10"/>
      <c r="W262" s="11">
        <v>1</v>
      </c>
      <c r="X262" s="11">
        <v>1</v>
      </c>
      <c r="Y262" s="11">
        <v>0</v>
      </c>
      <c r="Z262" s="11">
        <v>0</v>
      </c>
      <c r="AA262" s="11">
        <f>MasterTable[[#This Row],[Landings
Night]]+MasterTable[[#This Row],[Landings
Day]]</f>
        <v>1</v>
      </c>
      <c r="AB262" s="10">
        <v>0</v>
      </c>
      <c r="AC262" s="10">
        <v>0</v>
      </c>
      <c r="AD262" s="11">
        <v>0</v>
      </c>
      <c r="AE262" s="21">
        <f>SUM(MasterTable[[#This Row],[ILS]:[PAR]])</f>
        <v>0</v>
      </c>
      <c r="AL262" s="11"/>
      <c r="AM262" s="8" t="s">
        <v>533</v>
      </c>
      <c r="AR262" s="140" t="str">
        <f>_xlfn.XLOOKUP(MasterTable[[#This Row],[Aircraft ID]],Aircraft!A:A,Aircraft!H:H)</f>
        <v>Airplane Single Engine Land</v>
      </c>
      <c r="AS262" s="8" t="b">
        <f>OR((SUM(MasterTable[[#This Row],[ILS]:[PAR]]) = MasterTable[[#This Row],[APPR]]))</f>
        <v>1</v>
      </c>
      <c r="AT262" s="8" t="b">
        <f>NOT(ISBLANK(MasterTable[[#This Row],[Total
Time]]))</f>
        <v>1</v>
      </c>
    </row>
    <row r="263" spans="4:46" ht="28.8" x14ac:dyDescent="0.3">
      <c r="D263" s="22">
        <v>45046</v>
      </c>
      <c r="E263" s="8" t="s">
        <v>139</v>
      </c>
      <c r="F263" s="8" t="s">
        <v>214</v>
      </c>
      <c r="G263" s="8" t="s">
        <v>204</v>
      </c>
      <c r="I263" s="10">
        <v>0.3</v>
      </c>
      <c r="J263" s="10">
        <v>0.3</v>
      </c>
      <c r="L263" s="10">
        <v>0</v>
      </c>
      <c r="M263" s="13">
        <v>0</v>
      </c>
      <c r="N263" s="13"/>
      <c r="O263" s="10">
        <v>0</v>
      </c>
      <c r="P263" s="10">
        <v>0</v>
      </c>
      <c r="Q263" s="14">
        <v>0</v>
      </c>
      <c r="R263" s="14">
        <v>0</v>
      </c>
      <c r="S263" s="10">
        <v>0</v>
      </c>
      <c r="T263" s="10">
        <v>0</v>
      </c>
      <c r="U263" s="14">
        <v>0</v>
      </c>
      <c r="V263" s="10"/>
      <c r="W263" s="11">
        <v>1</v>
      </c>
      <c r="X263" s="11">
        <v>1</v>
      </c>
      <c r="Y263" s="11">
        <v>0</v>
      </c>
      <c r="Z263" s="11">
        <v>0</v>
      </c>
      <c r="AA263" s="11">
        <f>MasterTable[[#This Row],[Landings
Night]]+MasterTable[[#This Row],[Landings
Day]]</f>
        <v>1</v>
      </c>
      <c r="AB263" s="10">
        <v>0</v>
      </c>
      <c r="AC263" s="10">
        <v>0</v>
      </c>
      <c r="AD263" s="11">
        <v>0</v>
      </c>
      <c r="AE263" s="21">
        <f>SUM(MasterTable[[#This Row],[ILS]:[PAR]])</f>
        <v>0</v>
      </c>
      <c r="AL263" s="11"/>
      <c r="AR263" s="140" t="str">
        <f>_xlfn.XLOOKUP(MasterTable[[#This Row],[Aircraft ID]],Aircraft!A:A,Aircraft!H:H)</f>
        <v>Airplane Single Engine Land</v>
      </c>
      <c r="AS263" s="8" t="b">
        <f>OR((SUM(MasterTable[[#This Row],[ILS]:[PAR]]) = MasterTable[[#This Row],[APPR]]))</f>
        <v>1</v>
      </c>
      <c r="AT263" s="8" t="b">
        <f>NOT(ISBLANK(MasterTable[[#This Row],[Total
Time]]))</f>
        <v>1</v>
      </c>
    </row>
    <row r="264" spans="4:46" ht="28.8" x14ac:dyDescent="0.3">
      <c r="D264" s="22">
        <v>45046</v>
      </c>
      <c r="E264" s="8" t="s">
        <v>139</v>
      </c>
      <c r="F264" s="8" t="s">
        <v>206</v>
      </c>
      <c r="G264" s="8" t="s">
        <v>214</v>
      </c>
      <c r="I264" s="10">
        <v>1.1000000000000001</v>
      </c>
      <c r="J264" s="10">
        <v>1.1000000000000001</v>
      </c>
      <c r="L264" s="10">
        <v>0</v>
      </c>
      <c r="M264" s="13">
        <v>0</v>
      </c>
      <c r="N264" s="13"/>
      <c r="O264" s="10">
        <v>0</v>
      </c>
      <c r="P264" s="10">
        <v>0</v>
      </c>
      <c r="Q264" s="14">
        <v>0</v>
      </c>
      <c r="R264" s="14">
        <v>0</v>
      </c>
      <c r="S264" s="10">
        <v>0</v>
      </c>
      <c r="T264" s="10">
        <v>1.1000000000000001</v>
      </c>
      <c r="U264" s="14">
        <v>0</v>
      </c>
      <c r="V264" s="10"/>
      <c r="W264" s="11">
        <v>1</v>
      </c>
      <c r="X264" s="11">
        <v>1</v>
      </c>
      <c r="Y264" s="11">
        <v>0</v>
      </c>
      <c r="Z264" s="11">
        <v>0</v>
      </c>
      <c r="AA264" s="11">
        <f>MasterTable[[#This Row],[Landings
Night]]+MasterTable[[#This Row],[Landings
Day]]</f>
        <v>1</v>
      </c>
      <c r="AB264" s="10">
        <v>0</v>
      </c>
      <c r="AC264" s="10">
        <v>0</v>
      </c>
      <c r="AD264" s="11">
        <v>0</v>
      </c>
      <c r="AE264" s="21">
        <f>SUM(MasterTable[[#This Row],[ILS]:[PAR]])</f>
        <v>0</v>
      </c>
      <c r="AL264" s="11"/>
      <c r="AR264" s="140" t="str">
        <f>_xlfn.XLOOKUP(MasterTable[[#This Row],[Aircraft ID]],Aircraft!A:A,Aircraft!H:H)</f>
        <v>Airplane Single Engine Land</v>
      </c>
      <c r="AS264" s="8" t="b">
        <f>OR((SUM(MasterTable[[#This Row],[ILS]:[PAR]]) = MasterTable[[#This Row],[APPR]]))</f>
        <v>1</v>
      </c>
      <c r="AT264" s="8" t="b">
        <f>NOT(ISBLANK(MasterTable[[#This Row],[Total
Time]]))</f>
        <v>1</v>
      </c>
    </row>
    <row r="265" spans="4:46" ht="28.8" x14ac:dyDescent="0.3">
      <c r="D265" s="22">
        <v>45042</v>
      </c>
      <c r="E265" s="8" t="s">
        <v>174</v>
      </c>
      <c r="F265" s="8" t="s">
        <v>206</v>
      </c>
      <c r="G265" s="8" t="s">
        <v>222</v>
      </c>
      <c r="I265" s="10">
        <v>0.4</v>
      </c>
      <c r="J265" s="10">
        <v>0.4</v>
      </c>
      <c r="L265" s="10">
        <v>0</v>
      </c>
      <c r="M265" s="13">
        <v>0</v>
      </c>
      <c r="N265" s="13"/>
      <c r="O265" s="10">
        <v>0</v>
      </c>
      <c r="P265" s="10">
        <v>0</v>
      </c>
      <c r="Q265" s="14">
        <v>0</v>
      </c>
      <c r="R265" s="14">
        <v>0</v>
      </c>
      <c r="S265" s="10">
        <v>0</v>
      </c>
      <c r="T265" s="10">
        <v>0</v>
      </c>
      <c r="U265" s="14">
        <v>0</v>
      </c>
      <c r="V265" s="10"/>
      <c r="W265" s="11">
        <v>1</v>
      </c>
      <c r="X265" s="11">
        <v>1</v>
      </c>
      <c r="Y265" s="11">
        <v>0</v>
      </c>
      <c r="Z265" s="11">
        <v>0</v>
      </c>
      <c r="AA265" s="11">
        <f>MasterTable[[#This Row],[Landings
Night]]+MasterTable[[#This Row],[Landings
Day]]</f>
        <v>1</v>
      </c>
      <c r="AB265" s="10">
        <v>0</v>
      </c>
      <c r="AC265" s="10">
        <v>0</v>
      </c>
      <c r="AD265" s="11">
        <v>0</v>
      </c>
      <c r="AE265" s="21">
        <f>SUM(MasterTable[[#This Row],[ILS]:[PAR]])</f>
        <v>0</v>
      </c>
      <c r="AL265" s="11"/>
      <c r="AR265" s="140" t="str">
        <f>_xlfn.XLOOKUP(MasterTable[[#This Row],[Aircraft ID]],Aircraft!A:A,Aircraft!H:H)</f>
        <v>Airplane Single Engine Land</v>
      </c>
      <c r="AS265" s="8" t="b">
        <f>OR((SUM(MasterTable[[#This Row],[ILS]:[PAR]]) = MasterTable[[#This Row],[APPR]]))</f>
        <v>1</v>
      </c>
      <c r="AT265" s="8" t="b">
        <f>NOT(ISBLANK(MasterTable[[#This Row],[Total
Time]]))</f>
        <v>1</v>
      </c>
    </row>
    <row r="266" spans="4:46" ht="28.8" x14ac:dyDescent="0.3">
      <c r="D266" s="22">
        <v>45039</v>
      </c>
      <c r="E266" s="8" t="s">
        <v>174</v>
      </c>
      <c r="F266" s="8" t="s">
        <v>204</v>
      </c>
      <c r="G266" s="8" t="s">
        <v>206</v>
      </c>
      <c r="I266" s="10">
        <v>1.3</v>
      </c>
      <c r="J266" s="10">
        <v>1.3</v>
      </c>
      <c r="L266" s="10">
        <v>0</v>
      </c>
      <c r="M266" s="13">
        <v>0</v>
      </c>
      <c r="N266" s="13"/>
      <c r="O266" s="10">
        <v>0</v>
      </c>
      <c r="P266" s="10">
        <v>0</v>
      </c>
      <c r="Q266" s="14">
        <v>0</v>
      </c>
      <c r="R266" s="14">
        <v>0</v>
      </c>
      <c r="S266" s="10">
        <v>1.3</v>
      </c>
      <c r="T266" s="10">
        <v>1.3</v>
      </c>
      <c r="U266" s="14">
        <v>0</v>
      </c>
      <c r="V266" s="10"/>
      <c r="W266" s="11">
        <v>0</v>
      </c>
      <c r="X266" s="11">
        <v>0</v>
      </c>
      <c r="Y266" s="11">
        <v>1</v>
      </c>
      <c r="Z266" s="11">
        <v>1</v>
      </c>
      <c r="AA266" s="11">
        <f>MasterTable[[#This Row],[Landings
Night]]+MasterTable[[#This Row],[Landings
Day]]</f>
        <v>1</v>
      </c>
      <c r="AB266" s="10">
        <v>0</v>
      </c>
      <c r="AC266" s="10">
        <v>0</v>
      </c>
      <c r="AD266" s="11">
        <v>0</v>
      </c>
      <c r="AE266" s="21">
        <f>SUM(MasterTable[[#This Row],[ILS]:[PAR]])</f>
        <v>0</v>
      </c>
      <c r="AL266" s="11"/>
      <c r="AR266" s="140" t="str">
        <f>_xlfn.XLOOKUP(MasterTable[[#This Row],[Aircraft ID]],Aircraft!A:A,Aircraft!H:H)</f>
        <v>Airplane Single Engine Land</v>
      </c>
      <c r="AS266" s="8" t="b">
        <f>OR((SUM(MasterTable[[#This Row],[ILS]:[PAR]]) = MasterTable[[#This Row],[APPR]]))</f>
        <v>1</v>
      </c>
      <c r="AT266" s="8" t="b">
        <f>NOT(ISBLANK(MasterTable[[#This Row],[Total
Time]]))</f>
        <v>1</v>
      </c>
    </row>
    <row r="267" spans="4:46" ht="28.8" x14ac:dyDescent="0.3">
      <c r="D267" s="22">
        <v>45038</v>
      </c>
      <c r="E267" s="8" t="s">
        <v>174</v>
      </c>
      <c r="F267" s="8" t="s">
        <v>204</v>
      </c>
      <c r="G267" s="8" t="s">
        <v>204</v>
      </c>
      <c r="I267" s="10">
        <v>0.9</v>
      </c>
      <c r="J267" s="10">
        <v>0.9</v>
      </c>
      <c r="L267" s="10">
        <v>0</v>
      </c>
      <c r="M267" s="13">
        <v>0</v>
      </c>
      <c r="N267" s="13"/>
      <c r="O267" s="10">
        <v>0.9</v>
      </c>
      <c r="P267" s="10">
        <v>0</v>
      </c>
      <c r="Q267" s="14">
        <v>0</v>
      </c>
      <c r="R267" s="14">
        <v>0</v>
      </c>
      <c r="S267" s="10">
        <v>0</v>
      </c>
      <c r="T267" s="10">
        <v>0</v>
      </c>
      <c r="U267" s="14">
        <v>0</v>
      </c>
      <c r="V267" s="10"/>
      <c r="W267" s="11">
        <v>1</v>
      </c>
      <c r="X267" s="11">
        <v>1</v>
      </c>
      <c r="Y267" s="11">
        <v>0</v>
      </c>
      <c r="Z267" s="11">
        <v>0</v>
      </c>
      <c r="AA267" s="11">
        <f>MasterTable[[#This Row],[Landings
Night]]+MasterTable[[#This Row],[Landings
Day]]</f>
        <v>1</v>
      </c>
      <c r="AB267" s="10">
        <v>0</v>
      </c>
      <c r="AC267" s="10">
        <v>0</v>
      </c>
      <c r="AD267" s="11">
        <v>0</v>
      </c>
      <c r="AE267" s="21">
        <f>SUM(MasterTable[[#This Row],[ILS]:[PAR]])</f>
        <v>0</v>
      </c>
      <c r="AL267" s="11"/>
      <c r="AR267" s="140" t="str">
        <f>_xlfn.XLOOKUP(MasterTable[[#This Row],[Aircraft ID]],Aircraft!A:A,Aircraft!H:H)</f>
        <v>Airplane Single Engine Land</v>
      </c>
      <c r="AS267" s="8" t="b">
        <f>OR((SUM(MasterTable[[#This Row],[ILS]:[PAR]]) = MasterTable[[#This Row],[APPR]]))</f>
        <v>1</v>
      </c>
      <c r="AT267" s="8" t="b">
        <f>NOT(ISBLANK(MasterTable[[#This Row],[Total
Time]]))</f>
        <v>1</v>
      </c>
    </row>
    <row r="268" spans="4:46" ht="28.8" x14ac:dyDescent="0.3">
      <c r="D268" s="22">
        <v>45038</v>
      </c>
      <c r="E268" s="8" t="s">
        <v>174</v>
      </c>
      <c r="F268" s="8" t="s">
        <v>206</v>
      </c>
      <c r="G268" s="8" t="s">
        <v>204</v>
      </c>
      <c r="I268" s="10">
        <v>1.2</v>
      </c>
      <c r="J268" s="10">
        <v>1.2</v>
      </c>
      <c r="L268" s="10">
        <v>0</v>
      </c>
      <c r="M268" s="13">
        <v>0</v>
      </c>
      <c r="N268" s="13"/>
      <c r="O268" s="10">
        <v>0</v>
      </c>
      <c r="P268" s="10">
        <v>0</v>
      </c>
      <c r="Q268" s="14">
        <v>0</v>
      </c>
      <c r="R268" s="14">
        <v>0</v>
      </c>
      <c r="S268" s="10">
        <v>0</v>
      </c>
      <c r="T268" s="10">
        <v>1.2</v>
      </c>
      <c r="U268" s="14">
        <v>0</v>
      </c>
      <c r="V268" s="10"/>
      <c r="W268" s="11">
        <v>1</v>
      </c>
      <c r="X268" s="11">
        <v>1</v>
      </c>
      <c r="Y268" s="11">
        <v>0</v>
      </c>
      <c r="Z268" s="11">
        <v>0</v>
      </c>
      <c r="AA268" s="11">
        <f>MasterTable[[#This Row],[Landings
Night]]+MasterTable[[#This Row],[Landings
Day]]</f>
        <v>1</v>
      </c>
      <c r="AB268" s="10">
        <v>0</v>
      </c>
      <c r="AC268" s="10">
        <v>0</v>
      </c>
      <c r="AD268" s="11">
        <v>0</v>
      </c>
      <c r="AE268" s="21">
        <f>SUM(MasterTable[[#This Row],[ILS]:[PAR]])</f>
        <v>0</v>
      </c>
      <c r="AL268" s="11"/>
      <c r="AR268" s="140" t="str">
        <f>_xlfn.XLOOKUP(MasterTable[[#This Row],[Aircraft ID]],Aircraft!A:A,Aircraft!H:H)</f>
        <v>Airplane Single Engine Land</v>
      </c>
      <c r="AS268" s="8" t="b">
        <f>OR((SUM(MasterTable[[#This Row],[ILS]:[PAR]]) = MasterTable[[#This Row],[APPR]]))</f>
        <v>1</v>
      </c>
      <c r="AT268" s="8" t="b">
        <f>NOT(ISBLANK(MasterTable[[#This Row],[Total
Time]]))</f>
        <v>1</v>
      </c>
    </row>
    <row r="269" spans="4:46" ht="28.8" x14ac:dyDescent="0.3">
      <c r="D269" s="22">
        <v>45037</v>
      </c>
      <c r="E269" s="8" t="s">
        <v>139</v>
      </c>
      <c r="F269" s="8" t="s">
        <v>207</v>
      </c>
      <c r="G269" s="8" t="s">
        <v>206</v>
      </c>
      <c r="I269" s="10">
        <v>0.7</v>
      </c>
      <c r="J269" s="10">
        <v>0.7</v>
      </c>
      <c r="L269" s="10">
        <v>0</v>
      </c>
      <c r="M269" s="13">
        <v>0</v>
      </c>
      <c r="N269" s="13"/>
      <c r="O269" s="10">
        <v>0</v>
      </c>
      <c r="P269" s="10">
        <v>0</v>
      </c>
      <c r="Q269" s="14">
        <v>0</v>
      </c>
      <c r="R269" s="14">
        <v>0</v>
      </c>
      <c r="S269" s="10">
        <v>0</v>
      </c>
      <c r="T269" s="10">
        <v>0</v>
      </c>
      <c r="U269" s="14">
        <v>0</v>
      </c>
      <c r="V269" s="10"/>
      <c r="W269" s="11">
        <v>8</v>
      </c>
      <c r="X269" s="11">
        <v>8</v>
      </c>
      <c r="Y269" s="11">
        <v>0</v>
      </c>
      <c r="Z269" s="11">
        <v>0</v>
      </c>
      <c r="AA269" s="11">
        <f>MasterTable[[#This Row],[Landings
Night]]+MasterTable[[#This Row],[Landings
Day]]</f>
        <v>8</v>
      </c>
      <c r="AB269" s="10">
        <v>0</v>
      </c>
      <c r="AC269" s="10">
        <v>0</v>
      </c>
      <c r="AD269" s="11">
        <v>0</v>
      </c>
      <c r="AE269" s="21">
        <f>SUM(MasterTable[[#This Row],[ILS]:[PAR]])</f>
        <v>0</v>
      </c>
      <c r="AL269" s="11"/>
      <c r="AR269" s="140" t="str">
        <f>_xlfn.XLOOKUP(MasterTable[[#This Row],[Aircraft ID]],Aircraft!A:A,Aircraft!H:H)</f>
        <v>Airplane Single Engine Land</v>
      </c>
      <c r="AS269" s="8" t="b">
        <f>OR((SUM(MasterTable[[#This Row],[ILS]:[PAR]]) = MasterTable[[#This Row],[APPR]]))</f>
        <v>1</v>
      </c>
      <c r="AT269" s="8" t="b">
        <f>NOT(ISBLANK(MasterTable[[#This Row],[Total
Time]]))</f>
        <v>1</v>
      </c>
    </row>
    <row r="270" spans="4:46" ht="28.8" x14ac:dyDescent="0.3">
      <c r="D270" s="22">
        <v>45037</v>
      </c>
      <c r="E270" s="8" t="s">
        <v>139</v>
      </c>
      <c r="F270" s="8" t="s">
        <v>206</v>
      </c>
      <c r="G270" s="8" t="s">
        <v>207</v>
      </c>
      <c r="I270" s="10">
        <v>0.5</v>
      </c>
      <c r="J270" s="10">
        <v>0.5</v>
      </c>
      <c r="L270" s="10">
        <v>0</v>
      </c>
      <c r="M270" s="13">
        <v>0</v>
      </c>
      <c r="N270" s="13"/>
      <c r="O270" s="10">
        <v>0</v>
      </c>
      <c r="P270" s="10">
        <v>0</v>
      </c>
      <c r="Q270" s="14">
        <v>0</v>
      </c>
      <c r="R270" s="14">
        <v>0</v>
      </c>
      <c r="S270" s="10">
        <v>0</v>
      </c>
      <c r="T270" s="10">
        <v>0</v>
      </c>
      <c r="U270" s="14">
        <v>0</v>
      </c>
      <c r="V270" s="10">
        <v>0.4</v>
      </c>
      <c r="W270" s="11">
        <v>1</v>
      </c>
      <c r="X270" s="11">
        <v>1</v>
      </c>
      <c r="Y270" s="11">
        <v>0</v>
      </c>
      <c r="Z270" s="11">
        <v>0</v>
      </c>
      <c r="AA270" s="11">
        <f>MasterTable[[#This Row],[Landings
Night]]+MasterTable[[#This Row],[Landings
Day]]</f>
        <v>1</v>
      </c>
      <c r="AB270" s="10">
        <v>0</v>
      </c>
      <c r="AC270" s="10">
        <v>0</v>
      </c>
      <c r="AD270" s="11">
        <v>0</v>
      </c>
      <c r="AE270" s="21">
        <f>SUM(MasterTable[[#This Row],[ILS]:[PAR]])</f>
        <v>0</v>
      </c>
      <c r="AL270" s="11"/>
      <c r="AR270" s="140" t="str">
        <f>_xlfn.XLOOKUP(MasterTable[[#This Row],[Aircraft ID]],Aircraft!A:A,Aircraft!H:H)</f>
        <v>Airplane Single Engine Land</v>
      </c>
      <c r="AS270" s="8" t="b">
        <f>OR((SUM(MasterTable[[#This Row],[ILS]:[PAR]]) = MasterTable[[#This Row],[APPR]]))</f>
        <v>1</v>
      </c>
      <c r="AT270" s="8" t="b">
        <f>NOT(ISBLANK(MasterTable[[#This Row],[Total
Time]]))</f>
        <v>1</v>
      </c>
    </row>
    <row r="271" spans="4:46" ht="28.8" x14ac:dyDescent="0.3">
      <c r="D271" s="22">
        <v>45036</v>
      </c>
      <c r="E271" s="8" t="s">
        <v>110</v>
      </c>
      <c r="F271" s="8" t="s">
        <v>206</v>
      </c>
      <c r="G271" s="8" t="s">
        <v>224</v>
      </c>
      <c r="I271" s="10">
        <v>1</v>
      </c>
      <c r="J271" s="10">
        <v>1</v>
      </c>
      <c r="L271" s="10">
        <v>0</v>
      </c>
      <c r="M271" s="13">
        <v>0</v>
      </c>
      <c r="N271" s="13"/>
      <c r="O271" s="10">
        <v>1</v>
      </c>
      <c r="P271" s="10">
        <v>0</v>
      </c>
      <c r="Q271" s="14">
        <v>0</v>
      </c>
      <c r="R271" s="14">
        <v>0</v>
      </c>
      <c r="S271" s="10">
        <v>0</v>
      </c>
      <c r="T271" s="10">
        <v>0</v>
      </c>
      <c r="U271" s="14">
        <v>0</v>
      </c>
      <c r="V271" s="10"/>
      <c r="W271" s="11">
        <v>0</v>
      </c>
      <c r="X271" s="11">
        <v>0</v>
      </c>
      <c r="Y271" s="11">
        <v>0</v>
      </c>
      <c r="Z271" s="11">
        <v>0</v>
      </c>
      <c r="AA271" s="11">
        <f>MasterTable[[#This Row],[Landings
Night]]+MasterTable[[#This Row],[Landings
Day]]</f>
        <v>0</v>
      </c>
      <c r="AB271" s="10">
        <v>0</v>
      </c>
      <c r="AC271" s="10">
        <v>0</v>
      </c>
      <c r="AD271" s="11">
        <v>0</v>
      </c>
      <c r="AE271" s="21">
        <f>SUM(MasterTable[[#This Row],[ILS]:[PAR]])</f>
        <v>0</v>
      </c>
      <c r="AL271" s="11"/>
      <c r="AR271" s="140" t="str">
        <f>_xlfn.XLOOKUP(MasterTable[[#This Row],[Aircraft ID]],Aircraft!A:A,Aircraft!H:H)</f>
        <v>Airplane Single Engine Land</v>
      </c>
      <c r="AS271" s="8" t="b">
        <f>OR((SUM(MasterTable[[#This Row],[ILS]:[PAR]]) = MasterTable[[#This Row],[APPR]]))</f>
        <v>1</v>
      </c>
      <c r="AT271" s="8" t="b">
        <f>NOT(ISBLANK(MasterTable[[#This Row],[Total
Time]]))</f>
        <v>1</v>
      </c>
    </row>
    <row r="272" spans="4:46" ht="28.8" x14ac:dyDescent="0.3">
      <c r="D272" s="22">
        <v>45032</v>
      </c>
      <c r="E272" s="8" t="s">
        <v>174</v>
      </c>
      <c r="F272" s="8" t="s">
        <v>204</v>
      </c>
      <c r="G272" s="8" t="s">
        <v>206</v>
      </c>
      <c r="I272" s="10">
        <v>1.1000000000000001</v>
      </c>
      <c r="J272" s="10">
        <v>1.1000000000000001</v>
      </c>
      <c r="L272" s="10">
        <v>0</v>
      </c>
      <c r="M272" s="13">
        <v>0</v>
      </c>
      <c r="N272" s="13"/>
      <c r="O272" s="10">
        <v>0</v>
      </c>
      <c r="P272" s="10">
        <v>0</v>
      </c>
      <c r="Q272" s="14">
        <v>0</v>
      </c>
      <c r="R272" s="14">
        <v>0</v>
      </c>
      <c r="S272" s="10">
        <v>0</v>
      </c>
      <c r="T272" s="10">
        <v>1.1000000000000001</v>
      </c>
      <c r="U272" s="14">
        <v>0</v>
      </c>
      <c r="V272" s="10"/>
      <c r="W272" s="11">
        <v>1</v>
      </c>
      <c r="X272" s="11">
        <v>1</v>
      </c>
      <c r="Y272" s="11">
        <v>0</v>
      </c>
      <c r="Z272" s="11">
        <v>0</v>
      </c>
      <c r="AA272" s="11">
        <f>MasterTable[[#This Row],[Landings
Night]]+MasterTable[[#This Row],[Landings
Day]]</f>
        <v>1</v>
      </c>
      <c r="AB272" s="10">
        <v>0</v>
      </c>
      <c r="AC272" s="10">
        <v>0</v>
      </c>
      <c r="AD272" s="11">
        <v>0</v>
      </c>
      <c r="AE272" s="21">
        <f>SUM(MasterTable[[#This Row],[ILS]:[PAR]])</f>
        <v>0</v>
      </c>
      <c r="AL272" s="11"/>
      <c r="AR272" s="140" t="str">
        <f>_xlfn.XLOOKUP(MasterTable[[#This Row],[Aircraft ID]],Aircraft!A:A,Aircraft!H:H)</f>
        <v>Airplane Single Engine Land</v>
      </c>
      <c r="AS272" s="8" t="b">
        <f>OR((SUM(MasterTable[[#This Row],[ILS]:[PAR]]) = MasterTable[[#This Row],[APPR]]))</f>
        <v>1</v>
      </c>
      <c r="AT272" s="8" t="b">
        <f>NOT(ISBLANK(MasterTable[[#This Row],[Total
Time]]))</f>
        <v>1</v>
      </c>
    </row>
    <row r="273" spans="4:46" ht="28.8" x14ac:dyDescent="0.3">
      <c r="D273" s="22">
        <v>45031</v>
      </c>
      <c r="E273" s="8" t="s">
        <v>174</v>
      </c>
      <c r="F273" s="8" t="s">
        <v>204</v>
      </c>
      <c r="G273" s="8" t="s">
        <v>204</v>
      </c>
      <c r="I273" s="10">
        <v>0.9</v>
      </c>
      <c r="J273" s="10">
        <v>0.9</v>
      </c>
      <c r="L273" s="10">
        <v>0</v>
      </c>
      <c r="M273" s="13">
        <v>0</v>
      </c>
      <c r="N273" s="13"/>
      <c r="O273" s="10">
        <v>0.9</v>
      </c>
      <c r="P273" s="10">
        <v>0</v>
      </c>
      <c r="Q273" s="14">
        <v>0</v>
      </c>
      <c r="R273" s="14">
        <v>0</v>
      </c>
      <c r="S273" s="10">
        <v>0</v>
      </c>
      <c r="T273" s="10">
        <v>0</v>
      </c>
      <c r="U273" s="14">
        <v>0</v>
      </c>
      <c r="V273" s="10"/>
      <c r="W273" s="11">
        <v>8</v>
      </c>
      <c r="X273" s="11">
        <v>8</v>
      </c>
      <c r="Y273" s="11">
        <v>0</v>
      </c>
      <c r="Z273" s="11">
        <v>0</v>
      </c>
      <c r="AA273" s="11">
        <f>MasterTable[[#This Row],[Landings
Night]]+MasterTable[[#This Row],[Landings
Day]]</f>
        <v>8</v>
      </c>
      <c r="AB273" s="10">
        <v>0</v>
      </c>
      <c r="AC273" s="10">
        <v>0</v>
      </c>
      <c r="AD273" s="11">
        <v>0</v>
      </c>
      <c r="AE273" s="21">
        <f>SUM(MasterTable[[#This Row],[ILS]:[PAR]])</f>
        <v>0</v>
      </c>
      <c r="AL273" s="11"/>
      <c r="AR273" s="140" t="str">
        <f>_xlfn.XLOOKUP(MasterTable[[#This Row],[Aircraft ID]],Aircraft!A:A,Aircraft!H:H)</f>
        <v>Airplane Single Engine Land</v>
      </c>
      <c r="AS273" s="8" t="b">
        <f>OR((SUM(MasterTable[[#This Row],[ILS]:[PAR]]) = MasterTable[[#This Row],[APPR]]))</f>
        <v>1</v>
      </c>
      <c r="AT273" s="8" t="b">
        <f>NOT(ISBLANK(MasterTable[[#This Row],[Total
Time]]))</f>
        <v>1</v>
      </c>
    </row>
    <row r="274" spans="4:46" ht="28.8" x14ac:dyDescent="0.3">
      <c r="D274" s="22">
        <v>45030</v>
      </c>
      <c r="E274" s="8" t="s">
        <v>174</v>
      </c>
      <c r="F274" s="8" t="s">
        <v>204</v>
      </c>
      <c r="G274" s="8" t="s">
        <v>204</v>
      </c>
      <c r="I274" s="10">
        <v>1.2</v>
      </c>
      <c r="J274" s="10">
        <v>1.2</v>
      </c>
      <c r="L274" s="10">
        <v>0</v>
      </c>
      <c r="M274" s="13">
        <v>0</v>
      </c>
      <c r="N274" s="13"/>
      <c r="O274" s="10">
        <v>0.9</v>
      </c>
      <c r="P274" s="10">
        <v>0</v>
      </c>
      <c r="Q274" s="14">
        <v>0</v>
      </c>
      <c r="R274" s="14">
        <v>0</v>
      </c>
      <c r="S274" s="10">
        <v>1.2</v>
      </c>
      <c r="T274" s="10">
        <v>0</v>
      </c>
      <c r="U274" s="14">
        <v>0</v>
      </c>
      <c r="V274" s="10"/>
      <c r="W274" s="11">
        <v>0</v>
      </c>
      <c r="X274" s="11">
        <v>0</v>
      </c>
      <c r="Y274" s="11">
        <v>1</v>
      </c>
      <c r="Z274" s="11">
        <v>1</v>
      </c>
      <c r="AA274" s="11">
        <f>MasterTable[[#This Row],[Landings
Night]]+MasterTable[[#This Row],[Landings
Day]]</f>
        <v>1</v>
      </c>
      <c r="AB274" s="10">
        <v>0</v>
      </c>
      <c r="AC274" s="10">
        <v>0</v>
      </c>
      <c r="AD274" s="11">
        <v>0</v>
      </c>
      <c r="AE274" s="21">
        <f>SUM(MasterTable[[#This Row],[ILS]:[PAR]])</f>
        <v>0</v>
      </c>
      <c r="AL274" s="11"/>
      <c r="AR274" s="140" t="str">
        <f>_xlfn.XLOOKUP(MasterTable[[#This Row],[Aircraft ID]],Aircraft!A:A,Aircraft!H:H)</f>
        <v>Airplane Single Engine Land</v>
      </c>
      <c r="AS274" s="8" t="b">
        <f>OR((SUM(MasterTable[[#This Row],[ILS]:[PAR]]) = MasterTable[[#This Row],[APPR]]))</f>
        <v>1</v>
      </c>
      <c r="AT274" s="8" t="b">
        <f>NOT(ISBLANK(MasterTable[[#This Row],[Total
Time]]))</f>
        <v>1</v>
      </c>
    </row>
    <row r="275" spans="4:46" ht="28.8" x14ac:dyDescent="0.3">
      <c r="D275" s="22">
        <v>45030</v>
      </c>
      <c r="E275" s="8" t="s">
        <v>174</v>
      </c>
      <c r="F275" s="8" t="s">
        <v>206</v>
      </c>
      <c r="G275" s="8" t="s">
        <v>204</v>
      </c>
      <c r="I275" s="10">
        <v>1.1000000000000001</v>
      </c>
      <c r="J275" s="10">
        <v>1.1000000000000001</v>
      </c>
      <c r="L275" s="10">
        <v>0</v>
      </c>
      <c r="M275" s="13">
        <v>0</v>
      </c>
      <c r="N275" s="13"/>
      <c r="O275" s="10">
        <v>0</v>
      </c>
      <c r="P275" s="10">
        <v>0</v>
      </c>
      <c r="Q275" s="14">
        <v>0</v>
      </c>
      <c r="R275" s="14">
        <v>0</v>
      </c>
      <c r="S275" s="10">
        <v>0</v>
      </c>
      <c r="T275" s="10">
        <v>1.1000000000000001</v>
      </c>
      <c r="U275" s="14">
        <v>0</v>
      </c>
      <c r="V275" s="10"/>
      <c r="W275" s="11">
        <v>1</v>
      </c>
      <c r="X275" s="11">
        <v>1</v>
      </c>
      <c r="Y275" s="11">
        <v>0</v>
      </c>
      <c r="Z275" s="11">
        <v>0</v>
      </c>
      <c r="AA275" s="11">
        <f>MasterTable[[#This Row],[Landings
Night]]+MasterTable[[#This Row],[Landings
Day]]</f>
        <v>1</v>
      </c>
      <c r="AB275" s="10">
        <v>0</v>
      </c>
      <c r="AC275" s="10">
        <v>0</v>
      </c>
      <c r="AD275" s="11">
        <v>0</v>
      </c>
      <c r="AE275" s="21">
        <f>SUM(MasterTable[[#This Row],[ILS]:[PAR]])</f>
        <v>0</v>
      </c>
      <c r="AL275" s="11"/>
      <c r="AR275" s="140" t="str">
        <f>_xlfn.XLOOKUP(MasterTable[[#This Row],[Aircraft ID]],Aircraft!A:A,Aircraft!H:H)</f>
        <v>Airplane Single Engine Land</v>
      </c>
      <c r="AS275" s="8" t="b">
        <f>OR((SUM(MasterTable[[#This Row],[ILS]:[PAR]]) = MasterTable[[#This Row],[APPR]]))</f>
        <v>1</v>
      </c>
      <c r="AT275" s="8" t="b">
        <f>NOT(ISBLANK(MasterTable[[#This Row],[Total
Time]]))</f>
        <v>1</v>
      </c>
    </row>
    <row r="276" spans="4:46" ht="28.8" x14ac:dyDescent="0.3">
      <c r="D276" s="22">
        <v>45020</v>
      </c>
      <c r="E276" s="8" t="s">
        <v>174</v>
      </c>
      <c r="F276" s="8" t="s">
        <v>204</v>
      </c>
      <c r="G276" s="8" t="s">
        <v>206</v>
      </c>
      <c r="I276" s="10">
        <v>1.2</v>
      </c>
      <c r="J276" s="10">
        <v>1.2</v>
      </c>
      <c r="L276" s="10">
        <v>0</v>
      </c>
      <c r="M276" s="13">
        <v>0</v>
      </c>
      <c r="N276" s="13"/>
      <c r="O276" s="10">
        <v>0</v>
      </c>
      <c r="P276" s="10">
        <v>0</v>
      </c>
      <c r="Q276" s="14">
        <v>0</v>
      </c>
      <c r="R276" s="14">
        <v>0</v>
      </c>
      <c r="S276" s="10">
        <v>0</v>
      </c>
      <c r="T276" s="10">
        <v>1.2</v>
      </c>
      <c r="U276" s="14">
        <v>0</v>
      </c>
      <c r="V276" s="10"/>
      <c r="W276" s="11">
        <v>1</v>
      </c>
      <c r="X276" s="11">
        <v>1</v>
      </c>
      <c r="Y276" s="11">
        <v>0</v>
      </c>
      <c r="Z276" s="11">
        <v>0</v>
      </c>
      <c r="AA276" s="11">
        <f>MasterTable[[#This Row],[Landings
Night]]+MasterTable[[#This Row],[Landings
Day]]</f>
        <v>1</v>
      </c>
      <c r="AB276" s="10">
        <v>0</v>
      </c>
      <c r="AC276" s="10">
        <v>0</v>
      </c>
      <c r="AD276" s="11">
        <v>0</v>
      </c>
      <c r="AE276" s="21">
        <f>SUM(MasterTable[[#This Row],[ILS]:[PAR]])</f>
        <v>0</v>
      </c>
      <c r="AL276" s="11"/>
      <c r="AR276" s="140" t="str">
        <f>_xlfn.XLOOKUP(MasterTable[[#This Row],[Aircraft ID]],Aircraft!A:A,Aircraft!H:H)</f>
        <v>Airplane Single Engine Land</v>
      </c>
      <c r="AS276" s="8" t="b">
        <f>OR((SUM(MasterTable[[#This Row],[ILS]:[PAR]]) = MasterTable[[#This Row],[APPR]]))</f>
        <v>1</v>
      </c>
      <c r="AT276" s="8" t="b">
        <f>NOT(ISBLANK(MasterTable[[#This Row],[Total
Time]]))</f>
        <v>1</v>
      </c>
    </row>
    <row r="277" spans="4:46" ht="28.8" x14ac:dyDescent="0.3">
      <c r="D277" s="22">
        <v>45020</v>
      </c>
      <c r="E277" s="8" t="s">
        <v>174</v>
      </c>
      <c r="F277" s="8" t="s">
        <v>204</v>
      </c>
      <c r="G277" s="8" t="s">
        <v>204</v>
      </c>
      <c r="I277" s="10">
        <v>0.9</v>
      </c>
      <c r="J277" s="10">
        <v>0.9</v>
      </c>
      <c r="L277" s="10">
        <v>0</v>
      </c>
      <c r="M277" s="13">
        <v>0</v>
      </c>
      <c r="N277" s="13"/>
      <c r="O277" s="10">
        <v>0.9</v>
      </c>
      <c r="P277" s="10">
        <v>0</v>
      </c>
      <c r="Q277" s="14">
        <v>0</v>
      </c>
      <c r="R277" s="14">
        <v>0</v>
      </c>
      <c r="S277" s="10">
        <v>0</v>
      </c>
      <c r="T277" s="10">
        <v>0</v>
      </c>
      <c r="U277" s="14">
        <v>0</v>
      </c>
      <c r="V277" s="10"/>
      <c r="W277" s="11">
        <v>1</v>
      </c>
      <c r="X277" s="11">
        <v>1</v>
      </c>
      <c r="Y277" s="11">
        <v>0</v>
      </c>
      <c r="Z277" s="11">
        <v>0</v>
      </c>
      <c r="AA277" s="11">
        <f>MasterTable[[#This Row],[Landings
Night]]+MasterTable[[#This Row],[Landings
Day]]</f>
        <v>1</v>
      </c>
      <c r="AB277" s="10">
        <v>0</v>
      </c>
      <c r="AC277" s="10">
        <v>0</v>
      </c>
      <c r="AD277" s="11">
        <v>0</v>
      </c>
      <c r="AE277" s="21">
        <f>SUM(MasterTable[[#This Row],[ILS]:[PAR]])</f>
        <v>0</v>
      </c>
      <c r="AL277" s="11"/>
      <c r="AR277" s="140" t="str">
        <f>_xlfn.XLOOKUP(MasterTable[[#This Row],[Aircraft ID]],Aircraft!A:A,Aircraft!H:H)</f>
        <v>Airplane Single Engine Land</v>
      </c>
      <c r="AS277" s="8" t="b">
        <f>OR((SUM(MasterTable[[#This Row],[ILS]:[PAR]]) = MasterTable[[#This Row],[APPR]]))</f>
        <v>1</v>
      </c>
      <c r="AT277" s="8" t="b">
        <f>NOT(ISBLANK(MasterTable[[#This Row],[Total
Time]]))</f>
        <v>1</v>
      </c>
    </row>
    <row r="278" spans="4:46" ht="28.8" x14ac:dyDescent="0.3">
      <c r="D278" s="22">
        <v>45018</v>
      </c>
      <c r="E278" s="8" t="s">
        <v>174</v>
      </c>
      <c r="F278" s="8" t="s">
        <v>206</v>
      </c>
      <c r="G278" s="8" t="s">
        <v>204</v>
      </c>
      <c r="I278" s="10">
        <v>1.2</v>
      </c>
      <c r="J278" s="10">
        <v>1.2</v>
      </c>
      <c r="L278" s="10">
        <v>0</v>
      </c>
      <c r="M278" s="13">
        <v>0</v>
      </c>
      <c r="N278" s="13"/>
      <c r="O278" s="10">
        <v>0</v>
      </c>
      <c r="P278" s="10">
        <v>0</v>
      </c>
      <c r="Q278" s="14">
        <v>0</v>
      </c>
      <c r="R278" s="14">
        <v>0</v>
      </c>
      <c r="S278" s="10">
        <v>0</v>
      </c>
      <c r="T278" s="10">
        <v>1.2</v>
      </c>
      <c r="U278" s="14">
        <v>0</v>
      </c>
      <c r="V278" s="10"/>
      <c r="W278" s="11">
        <v>1</v>
      </c>
      <c r="X278" s="11">
        <v>1</v>
      </c>
      <c r="Y278" s="11">
        <v>0</v>
      </c>
      <c r="Z278" s="11">
        <v>0</v>
      </c>
      <c r="AA278" s="11">
        <f>MasterTable[[#This Row],[Landings
Night]]+MasterTable[[#This Row],[Landings
Day]]</f>
        <v>1</v>
      </c>
      <c r="AB278" s="10">
        <v>0</v>
      </c>
      <c r="AC278" s="10">
        <v>0</v>
      </c>
      <c r="AD278" s="11">
        <v>0</v>
      </c>
      <c r="AE278" s="21">
        <f>SUM(MasterTable[[#This Row],[ILS]:[PAR]])</f>
        <v>0</v>
      </c>
      <c r="AL278" s="11"/>
      <c r="AR278" s="140" t="str">
        <f>_xlfn.XLOOKUP(MasterTable[[#This Row],[Aircraft ID]],Aircraft!A:A,Aircraft!H:H)</f>
        <v>Airplane Single Engine Land</v>
      </c>
      <c r="AS278" s="8" t="b">
        <f>OR((SUM(MasterTable[[#This Row],[ILS]:[PAR]]) = MasterTable[[#This Row],[APPR]]))</f>
        <v>1</v>
      </c>
      <c r="AT278" s="8" t="b">
        <f>NOT(ISBLANK(MasterTable[[#This Row],[Total
Time]]))</f>
        <v>1</v>
      </c>
    </row>
    <row r="279" spans="4:46" ht="28.8" x14ac:dyDescent="0.3">
      <c r="D279" s="22">
        <v>45013</v>
      </c>
      <c r="E279" s="8" t="s">
        <v>174</v>
      </c>
      <c r="F279" s="8" t="s">
        <v>204</v>
      </c>
      <c r="G279" s="8" t="s">
        <v>206</v>
      </c>
      <c r="I279" s="10">
        <v>1.1000000000000001</v>
      </c>
      <c r="J279" s="10">
        <v>1.1000000000000001</v>
      </c>
      <c r="L279" s="10">
        <v>0</v>
      </c>
      <c r="M279" s="13">
        <v>0</v>
      </c>
      <c r="N279" s="13"/>
      <c r="O279" s="10">
        <v>0</v>
      </c>
      <c r="P279" s="10">
        <v>0</v>
      </c>
      <c r="Q279" s="14">
        <v>0</v>
      </c>
      <c r="R279" s="14">
        <v>0</v>
      </c>
      <c r="S279" s="10">
        <v>0</v>
      </c>
      <c r="T279" s="10">
        <v>1.1000000000000001</v>
      </c>
      <c r="U279" s="14">
        <v>0</v>
      </c>
      <c r="V279" s="10"/>
      <c r="W279" s="11">
        <v>1</v>
      </c>
      <c r="X279" s="11">
        <v>1</v>
      </c>
      <c r="Y279" s="11">
        <v>0</v>
      </c>
      <c r="Z279" s="11">
        <v>0</v>
      </c>
      <c r="AA279" s="11">
        <f>MasterTable[[#This Row],[Landings
Night]]+MasterTable[[#This Row],[Landings
Day]]</f>
        <v>1</v>
      </c>
      <c r="AB279" s="10">
        <v>0</v>
      </c>
      <c r="AC279" s="10">
        <v>0</v>
      </c>
      <c r="AD279" s="11">
        <v>0</v>
      </c>
      <c r="AE279" s="21">
        <f>SUM(MasterTable[[#This Row],[ILS]:[PAR]])</f>
        <v>0</v>
      </c>
      <c r="AL279" s="11"/>
      <c r="AR279" s="140" t="str">
        <f>_xlfn.XLOOKUP(MasterTable[[#This Row],[Aircraft ID]],Aircraft!A:A,Aircraft!H:H)</f>
        <v>Airplane Single Engine Land</v>
      </c>
      <c r="AS279" s="8" t="b">
        <f>OR((SUM(MasterTable[[#This Row],[ILS]:[PAR]]) = MasterTable[[#This Row],[APPR]]))</f>
        <v>1</v>
      </c>
      <c r="AT279" s="8" t="b">
        <f>NOT(ISBLANK(MasterTable[[#This Row],[Total
Time]]))</f>
        <v>1</v>
      </c>
    </row>
    <row r="280" spans="4:46" ht="28.8" x14ac:dyDescent="0.3">
      <c r="D280" s="22">
        <v>45013</v>
      </c>
      <c r="E280" s="8" t="s">
        <v>174</v>
      </c>
      <c r="F280" s="8" t="s">
        <v>225</v>
      </c>
      <c r="G280" s="8" t="s">
        <v>204</v>
      </c>
      <c r="I280" s="10">
        <v>1.9</v>
      </c>
      <c r="J280" s="10">
        <v>1.9</v>
      </c>
      <c r="L280" s="10">
        <v>0</v>
      </c>
      <c r="M280" s="13">
        <v>0</v>
      </c>
      <c r="N280" s="13"/>
      <c r="O280" s="10">
        <v>0</v>
      </c>
      <c r="P280" s="10">
        <v>0</v>
      </c>
      <c r="Q280" s="14">
        <v>0</v>
      </c>
      <c r="R280" s="14">
        <v>0</v>
      </c>
      <c r="S280" s="10">
        <v>0</v>
      </c>
      <c r="T280" s="10">
        <v>1.9</v>
      </c>
      <c r="U280" s="14">
        <v>0</v>
      </c>
      <c r="V280" s="10"/>
      <c r="W280" s="11">
        <v>1</v>
      </c>
      <c r="X280" s="11">
        <v>1</v>
      </c>
      <c r="Y280" s="11">
        <v>0</v>
      </c>
      <c r="Z280" s="11">
        <v>0</v>
      </c>
      <c r="AA280" s="11">
        <f>MasterTable[[#This Row],[Landings
Night]]+MasterTable[[#This Row],[Landings
Day]]</f>
        <v>1</v>
      </c>
      <c r="AB280" s="10">
        <v>0</v>
      </c>
      <c r="AC280" s="10">
        <v>0</v>
      </c>
      <c r="AD280" s="11">
        <v>0</v>
      </c>
      <c r="AE280" s="21">
        <f>SUM(MasterTable[[#This Row],[ILS]:[PAR]])</f>
        <v>0</v>
      </c>
      <c r="AL280" s="11"/>
      <c r="AR280" s="140" t="str">
        <f>_xlfn.XLOOKUP(MasterTable[[#This Row],[Aircraft ID]],Aircraft!A:A,Aircraft!H:H)</f>
        <v>Airplane Single Engine Land</v>
      </c>
      <c r="AS280" s="8" t="b">
        <f>OR((SUM(MasterTable[[#This Row],[ILS]:[PAR]]) = MasterTable[[#This Row],[APPR]]))</f>
        <v>1</v>
      </c>
      <c r="AT280" s="8" t="b">
        <f>NOT(ISBLANK(MasterTable[[#This Row],[Total
Time]]))</f>
        <v>1</v>
      </c>
    </row>
    <row r="281" spans="4:46" ht="28.8" x14ac:dyDescent="0.3">
      <c r="D281" s="22">
        <v>45013</v>
      </c>
      <c r="E281" s="8" t="s">
        <v>174</v>
      </c>
      <c r="F281" s="8" t="s">
        <v>206</v>
      </c>
      <c r="G281" s="8" t="s">
        <v>225</v>
      </c>
      <c r="I281" s="10">
        <v>1</v>
      </c>
      <c r="J281" s="10">
        <v>1</v>
      </c>
      <c r="L281" s="10">
        <v>0</v>
      </c>
      <c r="M281" s="13">
        <v>0</v>
      </c>
      <c r="N281" s="13"/>
      <c r="O281" s="10">
        <v>0</v>
      </c>
      <c r="P281" s="10">
        <v>0</v>
      </c>
      <c r="Q281" s="14">
        <v>0</v>
      </c>
      <c r="R281" s="14">
        <v>0</v>
      </c>
      <c r="S281" s="10">
        <v>0</v>
      </c>
      <c r="T281" s="10">
        <v>1</v>
      </c>
      <c r="U281" s="14">
        <v>0</v>
      </c>
      <c r="V281" s="10">
        <v>0.4</v>
      </c>
      <c r="W281" s="11">
        <v>1</v>
      </c>
      <c r="X281" s="11">
        <v>1</v>
      </c>
      <c r="Y281" s="11">
        <v>0</v>
      </c>
      <c r="Z281" s="11">
        <v>0</v>
      </c>
      <c r="AA281" s="11">
        <f>MasterTable[[#This Row],[Landings
Night]]+MasterTable[[#This Row],[Landings
Day]]</f>
        <v>1</v>
      </c>
      <c r="AB281" s="10">
        <v>0</v>
      </c>
      <c r="AC281" s="10">
        <v>0</v>
      </c>
      <c r="AD281" s="11">
        <v>0</v>
      </c>
      <c r="AE281" s="21">
        <f>SUM(MasterTable[[#This Row],[ILS]:[PAR]])</f>
        <v>0</v>
      </c>
      <c r="AL281" s="11"/>
      <c r="AR281" s="140" t="str">
        <f>_xlfn.XLOOKUP(MasterTable[[#This Row],[Aircraft ID]],Aircraft!A:A,Aircraft!H:H)</f>
        <v>Airplane Single Engine Land</v>
      </c>
      <c r="AS281" s="8" t="b">
        <f>OR((SUM(MasterTable[[#This Row],[ILS]:[PAR]]) = MasterTable[[#This Row],[APPR]]))</f>
        <v>1</v>
      </c>
      <c r="AT281" s="8" t="b">
        <f>NOT(ISBLANK(MasterTable[[#This Row],[Total
Time]]))</f>
        <v>1</v>
      </c>
    </row>
    <row r="282" spans="4:46" ht="28.8" x14ac:dyDescent="0.3">
      <c r="D282" s="22">
        <v>44988</v>
      </c>
      <c r="E282" s="8" t="s">
        <v>122</v>
      </c>
      <c r="F282" s="8" t="s">
        <v>206</v>
      </c>
      <c r="G282" s="8" t="s">
        <v>207</v>
      </c>
      <c r="I282" s="10">
        <v>0.6</v>
      </c>
      <c r="J282" s="10">
        <v>0.6</v>
      </c>
      <c r="M282" s="13">
        <v>0</v>
      </c>
      <c r="N282" s="13"/>
      <c r="Q282" s="14">
        <v>0</v>
      </c>
      <c r="R282" s="14">
        <v>0</v>
      </c>
      <c r="U282" s="14">
        <v>0</v>
      </c>
      <c r="V282" s="10"/>
      <c r="W282" s="11">
        <v>2</v>
      </c>
      <c r="X282" s="11">
        <v>2</v>
      </c>
      <c r="AA282" s="11">
        <f>MasterTable[[#This Row],[Landings
Night]]+MasterTable[[#This Row],[Landings
Day]]</f>
        <v>2</v>
      </c>
      <c r="AE282" s="21">
        <f>SUM(MasterTable[[#This Row],[ILS]:[PAR]])</f>
        <v>0</v>
      </c>
      <c r="AL282" s="11"/>
      <c r="AR282" s="140" t="str">
        <f>_xlfn.XLOOKUP(MasterTable[[#This Row],[Aircraft ID]],Aircraft!A:A,Aircraft!H:H)</f>
        <v>Airplane Single Engine Land</v>
      </c>
      <c r="AS282" s="8" t="b">
        <f>OR((SUM(MasterTable[[#This Row],[ILS]:[PAR]]) = MasterTable[[#This Row],[APPR]]))</f>
        <v>1</v>
      </c>
      <c r="AT282" s="8" t="b">
        <f>NOT(ISBLANK(MasterTable[[#This Row],[Total
Time]]))</f>
        <v>1</v>
      </c>
    </row>
    <row r="283" spans="4:46" ht="28.8" x14ac:dyDescent="0.3">
      <c r="D283" s="22">
        <v>44982</v>
      </c>
      <c r="E283" s="8" t="s">
        <v>154</v>
      </c>
      <c r="F283" s="8" t="s">
        <v>204</v>
      </c>
      <c r="G283" s="8" t="s">
        <v>204</v>
      </c>
      <c r="L283" s="10">
        <v>0</v>
      </c>
      <c r="M283" s="13">
        <v>0</v>
      </c>
      <c r="N283" s="13"/>
      <c r="O283" s="10">
        <v>0</v>
      </c>
      <c r="P283" s="10">
        <v>0</v>
      </c>
      <c r="Q283" s="14">
        <v>0</v>
      </c>
      <c r="R283" s="14">
        <v>0</v>
      </c>
      <c r="S283" s="10">
        <v>0</v>
      </c>
      <c r="T283" s="10">
        <v>0</v>
      </c>
      <c r="U283" s="14">
        <v>0</v>
      </c>
      <c r="V283" s="10"/>
      <c r="W283" s="11">
        <v>0</v>
      </c>
      <c r="X283" s="11">
        <v>0</v>
      </c>
      <c r="Y283" s="11">
        <v>0</v>
      </c>
      <c r="Z283" s="11">
        <v>0</v>
      </c>
      <c r="AA283" s="11">
        <f>MasterTable[[#This Row],[Landings
Night]]+MasterTable[[#This Row],[Landings
Day]]</f>
        <v>0</v>
      </c>
      <c r="AB283" s="10">
        <v>0</v>
      </c>
      <c r="AC283" s="10">
        <v>0</v>
      </c>
      <c r="AD283" s="11">
        <v>0</v>
      </c>
      <c r="AE283" s="21">
        <f>SUM(MasterTable[[#This Row],[ILS]:[PAR]])</f>
        <v>0</v>
      </c>
      <c r="AL283" s="11"/>
      <c r="AR283" s="140" t="str">
        <f>_xlfn.XLOOKUP(MasterTable[[#This Row],[Aircraft ID]],Aircraft!A:A,Aircraft!H:H)</f>
        <v>Airplane Single Engine Land</v>
      </c>
      <c r="AS283" s="8" t="b">
        <f>OR((SUM(MasterTable[[#This Row],[ILS]:[PAR]]) = MasterTable[[#This Row],[APPR]]))</f>
        <v>1</v>
      </c>
      <c r="AT283" s="8" t="b">
        <f>NOT(ISBLANK(MasterTable[[#This Row],[Total
Time]]))</f>
        <v>0</v>
      </c>
    </row>
    <row r="284" spans="4:46" ht="28.8" x14ac:dyDescent="0.3">
      <c r="D284" s="22">
        <v>44972</v>
      </c>
      <c r="E284" s="8" t="s">
        <v>174</v>
      </c>
      <c r="F284" s="8" t="s">
        <v>207</v>
      </c>
      <c r="G284" s="8" t="s">
        <v>206</v>
      </c>
      <c r="I284" s="10">
        <v>0.4</v>
      </c>
      <c r="J284" s="10">
        <v>0.4</v>
      </c>
      <c r="M284" s="13">
        <v>0</v>
      </c>
      <c r="N284" s="13"/>
      <c r="Q284" s="14">
        <v>0</v>
      </c>
      <c r="R284" s="14">
        <v>0</v>
      </c>
      <c r="S284" s="10">
        <v>0.4</v>
      </c>
      <c r="U284" s="14">
        <v>0</v>
      </c>
      <c r="V284" s="10"/>
      <c r="Y284" s="11">
        <v>1</v>
      </c>
      <c r="Z284" s="11">
        <v>1</v>
      </c>
      <c r="AA284" s="11">
        <f>MasterTable[[#This Row],[Landings
Night]]+MasterTable[[#This Row],[Landings
Day]]</f>
        <v>1</v>
      </c>
      <c r="AE284" s="21">
        <f>SUM(MasterTable[[#This Row],[ILS]:[PAR]])</f>
        <v>0</v>
      </c>
      <c r="AL284" s="11"/>
      <c r="AR284" s="140" t="str">
        <f>_xlfn.XLOOKUP(MasterTable[[#This Row],[Aircraft ID]],Aircraft!A:A,Aircraft!H:H)</f>
        <v>Airplane Single Engine Land</v>
      </c>
      <c r="AS284" s="8" t="b">
        <f>OR((SUM(MasterTable[[#This Row],[ILS]:[PAR]]) = MasterTable[[#This Row],[APPR]]))</f>
        <v>1</v>
      </c>
      <c r="AT284" s="8" t="b">
        <f>NOT(ISBLANK(MasterTable[[#This Row],[Total
Time]]))</f>
        <v>1</v>
      </c>
    </row>
    <row r="285" spans="4:46" ht="28.8" x14ac:dyDescent="0.3">
      <c r="D285" s="22">
        <v>44972</v>
      </c>
      <c r="E285" s="8" t="s">
        <v>174</v>
      </c>
      <c r="F285" s="8" t="s">
        <v>207</v>
      </c>
      <c r="G285" s="8" t="s">
        <v>207</v>
      </c>
      <c r="I285" s="10">
        <v>1</v>
      </c>
      <c r="J285" s="10">
        <v>1</v>
      </c>
      <c r="M285" s="13">
        <v>0</v>
      </c>
      <c r="N285" s="13"/>
      <c r="Q285" s="14">
        <v>0</v>
      </c>
      <c r="R285" s="14">
        <v>0</v>
      </c>
      <c r="U285" s="14">
        <v>0</v>
      </c>
      <c r="V285" s="10">
        <v>1</v>
      </c>
      <c r="W285" s="11">
        <v>1</v>
      </c>
      <c r="X285" s="11">
        <v>1</v>
      </c>
      <c r="AA285" s="11">
        <f>MasterTable[[#This Row],[Landings
Night]]+MasterTable[[#This Row],[Landings
Day]]</f>
        <v>1</v>
      </c>
      <c r="AE285" s="21">
        <f>SUM(MasterTable[[#This Row],[ILS]:[PAR]])</f>
        <v>0</v>
      </c>
      <c r="AL285" s="11"/>
      <c r="AR285" s="140" t="str">
        <f>_xlfn.XLOOKUP(MasterTable[[#This Row],[Aircraft ID]],Aircraft!A:A,Aircraft!H:H)</f>
        <v>Airplane Single Engine Land</v>
      </c>
      <c r="AS285" s="8" t="b">
        <f>OR((SUM(MasterTable[[#This Row],[ILS]:[PAR]]) = MasterTable[[#This Row],[APPR]]))</f>
        <v>1</v>
      </c>
      <c r="AT285" s="8" t="b">
        <f>NOT(ISBLANK(MasterTable[[#This Row],[Total
Time]]))</f>
        <v>1</v>
      </c>
    </row>
    <row r="286" spans="4:46" ht="28.8" x14ac:dyDescent="0.3">
      <c r="D286" s="22">
        <v>44972</v>
      </c>
      <c r="E286" s="8" t="s">
        <v>174</v>
      </c>
      <c r="F286" s="8" t="s">
        <v>206</v>
      </c>
      <c r="G286" s="8" t="s">
        <v>207</v>
      </c>
      <c r="I286" s="10">
        <v>0.3</v>
      </c>
      <c r="J286" s="10">
        <v>0.3</v>
      </c>
      <c r="M286" s="13">
        <v>0</v>
      </c>
      <c r="N286" s="13"/>
      <c r="Q286" s="14">
        <v>0</v>
      </c>
      <c r="R286" s="14">
        <v>0</v>
      </c>
      <c r="U286" s="14">
        <v>0</v>
      </c>
      <c r="V286" s="10"/>
      <c r="W286" s="11">
        <v>1</v>
      </c>
      <c r="X286" s="11">
        <v>1</v>
      </c>
      <c r="AA286" s="11">
        <f>MasterTable[[#This Row],[Landings
Night]]+MasterTable[[#This Row],[Landings
Day]]</f>
        <v>1</v>
      </c>
      <c r="AE286" s="21">
        <f>SUM(MasterTable[[#This Row],[ILS]:[PAR]])</f>
        <v>0</v>
      </c>
      <c r="AL286" s="11"/>
      <c r="AR286" s="140" t="str">
        <f>_xlfn.XLOOKUP(MasterTable[[#This Row],[Aircraft ID]],Aircraft!A:A,Aircraft!H:H)</f>
        <v>Airplane Single Engine Land</v>
      </c>
      <c r="AS286" s="8" t="b">
        <f>OR((SUM(MasterTable[[#This Row],[ILS]:[PAR]]) = MasterTable[[#This Row],[APPR]]))</f>
        <v>1</v>
      </c>
      <c r="AT286" s="8" t="b">
        <f>NOT(ISBLANK(MasterTable[[#This Row],[Total
Time]]))</f>
        <v>1</v>
      </c>
    </row>
    <row r="287" spans="4:46" ht="28.8" x14ac:dyDescent="0.3">
      <c r="D287" s="22">
        <v>44969</v>
      </c>
      <c r="E287" s="8" t="s">
        <v>174</v>
      </c>
      <c r="F287" s="8" t="s">
        <v>204</v>
      </c>
      <c r="G287" s="8" t="s">
        <v>206</v>
      </c>
      <c r="I287" s="10">
        <v>1.5</v>
      </c>
      <c r="J287" s="10">
        <v>1.5</v>
      </c>
      <c r="L287" s="10">
        <v>0</v>
      </c>
      <c r="M287" s="13">
        <v>0</v>
      </c>
      <c r="N287" s="13"/>
      <c r="O287" s="10">
        <v>0</v>
      </c>
      <c r="P287" s="10">
        <v>0</v>
      </c>
      <c r="Q287" s="14">
        <v>0</v>
      </c>
      <c r="R287" s="14">
        <v>0</v>
      </c>
      <c r="S287" s="10">
        <v>0</v>
      </c>
      <c r="T287" s="10">
        <v>1.5</v>
      </c>
      <c r="U287" s="14">
        <v>0</v>
      </c>
      <c r="V287" s="10"/>
      <c r="W287" s="11">
        <v>1</v>
      </c>
      <c r="X287" s="11">
        <v>1</v>
      </c>
      <c r="Y287" s="11">
        <v>0</v>
      </c>
      <c r="Z287" s="11">
        <v>0</v>
      </c>
      <c r="AA287" s="11">
        <f>MasterTable[[#This Row],[Landings
Night]]+MasterTable[[#This Row],[Landings
Day]]</f>
        <v>1</v>
      </c>
      <c r="AB287" s="10">
        <v>0</v>
      </c>
      <c r="AC287" s="10">
        <v>0</v>
      </c>
      <c r="AD287" s="11">
        <v>0</v>
      </c>
      <c r="AE287" s="21">
        <f>SUM(MasterTable[[#This Row],[ILS]:[PAR]])</f>
        <v>0</v>
      </c>
      <c r="AL287" s="11"/>
      <c r="AR287" s="140" t="str">
        <f>_xlfn.XLOOKUP(MasterTable[[#This Row],[Aircraft ID]],Aircraft!A:A,Aircraft!H:H)</f>
        <v>Airplane Single Engine Land</v>
      </c>
      <c r="AS287" s="8" t="b">
        <f>OR((SUM(MasterTable[[#This Row],[ILS]:[PAR]]) = MasterTable[[#This Row],[APPR]]))</f>
        <v>1</v>
      </c>
      <c r="AT287" s="8" t="b">
        <f>NOT(ISBLANK(MasterTable[[#This Row],[Total
Time]]))</f>
        <v>1</v>
      </c>
    </row>
    <row r="288" spans="4:46" ht="28.8" x14ac:dyDescent="0.3">
      <c r="D288" s="22">
        <v>44969</v>
      </c>
      <c r="E288" s="8" t="s">
        <v>174</v>
      </c>
      <c r="F288" s="8" t="s">
        <v>204</v>
      </c>
      <c r="G288" s="8" t="s">
        <v>204</v>
      </c>
      <c r="I288" s="10">
        <v>1.2</v>
      </c>
      <c r="J288" s="10">
        <v>1.2</v>
      </c>
      <c r="L288" s="10">
        <v>0</v>
      </c>
      <c r="M288" s="13">
        <v>0</v>
      </c>
      <c r="N288" s="13"/>
      <c r="O288" s="10">
        <v>1.2</v>
      </c>
      <c r="P288" s="10">
        <v>0</v>
      </c>
      <c r="Q288" s="14">
        <v>0</v>
      </c>
      <c r="R288" s="14">
        <v>0</v>
      </c>
      <c r="S288" s="10">
        <v>0</v>
      </c>
      <c r="T288" s="10">
        <v>0</v>
      </c>
      <c r="U288" s="14">
        <v>0</v>
      </c>
      <c r="V288" s="10"/>
      <c r="W288" s="11">
        <v>1</v>
      </c>
      <c r="X288" s="11">
        <v>1</v>
      </c>
      <c r="Y288" s="11">
        <v>0</v>
      </c>
      <c r="Z288" s="11">
        <v>0</v>
      </c>
      <c r="AA288" s="11">
        <f>MasterTable[[#This Row],[Landings
Night]]+MasterTable[[#This Row],[Landings
Day]]</f>
        <v>1</v>
      </c>
      <c r="AB288" s="10">
        <v>0</v>
      </c>
      <c r="AC288" s="10">
        <v>0</v>
      </c>
      <c r="AD288" s="11">
        <v>0</v>
      </c>
      <c r="AE288" s="21">
        <f>SUM(MasterTable[[#This Row],[ILS]:[PAR]])</f>
        <v>0</v>
      </c>
      <c r="AL288" s="11"/>
      <c r="AR288" s="140" t="str">
        <f>_xlfn.XLOOKUP(MasterTable[[#This Row],[Aircraft ID]],Aircraft!A:A,Aircraft!H:H)</f>
        <v>Airplane Single Engine Land</v>
      </c>
      <c r="AS288" s="8" t="b">
        <f>OR((SUM(MasterTable[[#This Row],[ILS]:[PAR]]) = MasterTable[[#This Row],[APPR]]))</f>
        <v>1</v>
      </c>
      <c r="AT288" s="8" t="b">
        <f>NOT(ISBLANK(MasterTable[[#This Row],[Total
Time]]))</f>
        <v>1</v>
      </c>
    </row>
    <row r="289" spans="4:46" ht="28.8" x14ac:dyDescent="0.3">
      <c r="D289" s="22">
        <v>44967</v>
      </c>
      <c r="E289" s="8" t="s">
        <v>174</v>
      </c>
      <c r="F289" s="8" t="s">
        <v>207</v>
      </c>
      <c r="G289" s="8" t="s">
        <v>204</v>
      </c>
      <c r="I289" s="10">
        <v>1.4</v>
      </c>
      <c r="J289" s="10">
        <v>1.4</v>
      </c>
      <c r="L289" s="10">
        <v>0</v>
      </c>
      <c r="M289" s="13">
        <v>0</v>
      </c>
      <c r="N289" s="13"/>
      <c r="O289" s="10">
        <v>0</v>
      </c>
      <c r="P289" s="10">
        <v>0</v>
      </c>
      <c r="Q289" s="14">
        <v>0</v>
      </c>
      <c r="R289" s="14">
        <v>0</v>
      </c>
      <c r="S289" s="10">
        <v>0</v>
      </c>
      <c r="T289" s="10">
        <v>1.4</v>
      </c>
      <c r="U289" s="14">
        <v>0</v>
      </c>
      <c r="V289" s="10"/>
      <c r="W289" s="11">
        <v>1</v>
      </c>
      <c r="X289" s="11">
        <v>1</v>
      </c>
      <c r="Y289" s="11">
        <v>0</v>
      </c>
      <c r="Z289" s="11">
        <v>0</v>
      </c>
      <c r="AA289" s="11">
        <f>MasterTable[[#This Row],[Landings
Night]]+MasterTable[[#This Row],[Landings
Day]]</f>
        <v>1</v>
      </c>
      <c r="AB289" s="10">
        <v>0</v>
      </c>
      <c r="AC289" s="10">
        <v>0</v>
      </c>
      <c r="AD289" s="11">
        <v>0</v>
      </c>
      <c r="AE289" s="21">
        <f>SUM(MasterTable[[#This Row],[ILS]:[PAR]])</f>
        <v>0</v>
      </c>
      <c r="AL289" s="11"/>
      <c r="AR289" s="140" t="str">
        <f>_xlfn.XLOOKUP(MasterTable[[#This Row],[Aircraft ID]],Aircraft!A:A,Aircraft!H:H)</f>
        <v>Airplane Single Engine Land</v>
      </c>
      <c r="AS289" s="8" t="b">
        <f>OR((SUM(MasterTable[[#This Row],[ILS]:[PAR]]) = MasterTable[[#This Row],[APPR]]))</f>
        <v>1</v>
      </c>
      <c r="AT289" s="8" t="b">
        <f>NOT(ISBLANK(MasterTable[[#This Row],[Total
Time]]))</f>
        <v>1</v>
      </c>
    </row>
    <row r="290" spans="4:46" ht="28.8" x14ac:dyDescent="0.3">
      <c r="D290" s="22">
        <v>44967</v>
      </c>
      <c r="E290" s="8" t="s">
        <v>174</v>
      </c>
      <c r="F290" s="8" t="s">
        <v>206</v>
      </c>
      <c r="G290" s="8" t="s">
        <v>207</v>
      </c>
      <c r="I290" s="10">
        <v>0.5</v>
      </c>
      <c r="J290" s="10">
        <v>0.5</v>
      </c>
      <c r="L290" s="10">
        <v>0</v>
      </c>
      <c r="M290" s="13">
        <v>0</v>
      </c>
      <c r="N290" s="13"/>
      <c r="O290" s="10">
        <v>0</v>
      </c>
      <c r="P290" s="10">
        <v>0</v>
      </c>
      <c r="Q290" s="14">
        <v>0</v>
      </c>
      <c r="R290" s="14">
        <v>0</v>
      </c>
      <c r="S290" s="10">
        <v>0</v>
      </c>
      <c r="T290" s="10">
        <v>0</v>
      </c>
      <c r="U290" s="14">
        <v>0</v>
      </c>
      <c r="V290" s="10"/>
      <c r="W290" s="11">
        <v>1</v>
      </c>
      <c r="X290" s="11">
        <v>1</v>
      </c>
      <c r="Y290" s="11">
        <v>0</v>
      </c>
      <c r="Z290" s="11">
        <v>0</v>
      </c>
      <c r="AA290" s="11">
        <f>MasterTable[[#This Row],[Landings
Night]]+MasterTable[[#This Row],[Landings
Day]]</f>
        <v>1</v>
      </c>
      <c r="AB290" s="10">
        <v>0</v>
      </c>
      <c r="AC290" s="10">
        <v>0</v>
      </c>
      <c r="AD290" s="11">
        <v>0</v>
      </c>
      <c r="AE290" s="21">
        <f>SUM(MasterTable[[#This Row],[ILS]:[PAR]])</f>
        <v>0</v>
      </c>
      <c r="AL290" s="11"/>
      <c r="AR290" s="140" t="str">
        <f>_xlfn.XLOOKUP(MasterTable[[#This Row],[Aircraft ID]],Aircraft!A:A,Aircraft!H:H)</f>
        <v>Airplane Single Engine Land</v>
      </c>
      <c r="AS290" s="8" t="b">
        <f>OR((SUM(MasterTable[[#This Row],[ILS]:[PAR]]) = MasterTable[[#This Row],[APPR]]))</f>
        <v>1</v>
      </c>
      <c r="AT290" s="8" t="b">
        <f>NOT(ISBLANK(MasterTable[[#This Row],[Total
Time]]))</f>
        <v>1</v>
      </c>
    </row>
    <row r="291" spans="4:46" ht="28.8" x14ac:dyDescent="0.3">
      <c r="D291" s="22">
        <v>44964</v>
      </c>
      <c r="E291" s="8" t="s">
        <v>174</v>
      </c>
      <c r="F291" s="8" t="s">
        <v>206</v>
      </c>
      <c r="G291" s="8" t="s">
        <v>207</v>
      </c>
      <c r="I291" s="10">
        <v>0.8</v>
      </c>
      <c r="J291" s="10">
        <v>0.8</v>
      </c>
      <c r="L291" s="10">
        <v>0</v>
      </c>
      <c r="M291" s="13">
        <v>0</v>
      </c>
      <c r="N291" s="13"/>
      <c r="O291" s="10">
        <v>0</v>
      </c>
      <c r="P291" s="10">
        <v>0</v>
      </c>
      <c r="Q291" s="14">
        <v>0</v>
      </c>
      <c r="R291" s="14">
        <v>0</v>
      </c>
      <c r="S291" s="10">
        <v>0</v>
      </c>
      <c r="T291" s="10">
        <v>0</v>
      </c>
      <c r="U291" s="14">
        <v>0</v>
      </c>
      <c r="V291" s="10">
        <v>0.6</v>
      </c>
      <c r="W291" s="11">
        <v>2</v>
      </c>
      <c r="X291" s="11">
        <v>2</v>
      </c>
      <c r="Y291" s="11">
        <v>0</v>
      </c>
      <c r="Z291" s="11">
        <v>0</v>
      </c>
      <c r="AA291" s="11">
        <f>MasterTable[[#This Row],[Landings
Night]]+MasterTable[[#This Row],[Landings
Day]]</f>
        <v>2</v>
      </c>
      <c r="AB291" s="10">
        <v>0</v>
      </c>
      <c r="AC291" s="10">
        <v>0</v>
      </c>
      <c r="AD291" s="11">
        <v>0</v>
      </c>
      <c r="AE291" s="21">
        <f>SUM(MasterTable[[#This Row],[ILS]:[PAR]])</f>
        <v>0</v>
      </c>
      <c r="AL291" s="11"/>
      <c r="AR291" s="140" t="str">
        <f>_xlfn.XLOOKUP(MasterTable[[#This Row],[Aircraft ID]],Aircraft!A:A,Aircraft!H:H)</f>
        <v>Airplane Single Engine Land</v>
      </c>
      <c r="AS291" s="8" t="b">
        <f>OR((SUM(MasterTable[[#This Row],[ILS]:[PAR]]) = MasterTable[[#This Row],[APPR]]))</f>
        <v>1</v>
      </c>
      <c r="AT291" s="8" t="b">
        <f>NOT(ISBLANK(MasterTable[[#This Row],[Total
Time]]))</f>
        <v>1</v>
      </c>
    </row>
    <row r="292" spans="4:46" ht="28.8" x14ac:dyDescent="0.3">
      <c r="D292" s="22">
        <v>44961</v>
      </c>
      <c r="E292" s="8" t="s">
        <v>174</v>
      </c>
      <c r="F292" s="8" t="s">
        <v>204</v>
      </c>
      <c r="G292" s="8" t="s">
        <v>206</v>
      </c>
      <c r="I292" s="10">
        <v>1.1000000000000001</v>
      </c>
      <c r="J292" s="10">
        <v>1.1000000000000001</v>
      </c>
      <c r="L292" s="10">
        <v>0</v>
      </c>
      <c r="M292" s="13">
        <v>0</v>
      </c>
      <c r="N292" s="13"/>
      <c r="O292" s="10">
        <v>0</v>
      </c>
      <c r="P292" s="10">
        <v>0</v>
      </c>
      <c r="Q292" s="14">
        <v>0</v>
      </c>
      <c r="R292" s="14">
        <v>0</v>
      </c>
      <c r="S292" s="10">
        <v>0</v>
      </c>
      <c r="T292" s="10">
        <v>1.1000000000000001</v>
      </c>
      <c r="U292" s="14">
        <v>0</v>
      </c>
      <c r="V292" s="10"/>
      <c r="W292" s="11">
        <v>1</v>
      </c>
      <c r="X292" s="11">
        <v>1</v>
      </c>
      <c r="Y292" s="11">
        <v>0</v>
      </c>
      <c r="Z292" s="11">
        <v>0</v>
      </c>
      <c r="AA292" s="11">
        <f>MasterTable[[#This Row],[Landings
Night]]+MasterTable[[#This Row],[Landings
Day]]</f>
        <v>1</v>
      </c>
      <c r="AB292" s="10">
        <v>0</v>
      </c>
      <c r="AC292" s="10">
        <v>0</v>
      </c>
      <c r="AD292" s="11">
        <v>0</v>
      </c>
      <c r="AE292" s="21">
        <f>SUM(MasterTable[[#This Row],[ILS]:[PAR]])</f>
        <v>0</v>
      </c>
      <c r="AL292" s="11"/>
      <c r="AR292" s="140" t="str">
        <f>_xlfn.XLOOKUP(MasterTable[[#This Row],[Aircraft ID]],Aircraft!A:A,Aircraft!H:H)</f>
        <v>Airplane Single Engine Land</v>
      </c>
      <c r="AS292" s="8" t="b">
        <f>OR((SUM(MasterTable[[#This Row],[ILS]:[PAR]]) = MasterTable[[#This Row],[APPR]]))</f>
        <v>1</v>
      </c>
      <c r="AT292" s="8" t="b">
        <f>NOT(ISBLANK(MasterTable[[#This Row],[Total
Time]]))</f>
        <v>1</v>
      </c>
    </row>
    <row r="293" spans="4:46" ht="28.8" x14ac:dyDescent="0.3">
      <c r="D293" s="22">
        <v>44961</v>
      </c>
      <c r="E293" s="8" t="s">
        <v>174</v>
      </c>
      <c r="F293" s="8" t="s">
        <v>204</v>
      </c>
      <c r="G293" s="8" t="s">
        <v>204</v>
      </c>
      <c r="I293" s="10">
        <v>1.2</v>
      </c>
      <c r="J293" s="10">
        <v>1.2</v>
      </c>
      <c r="L293" s="10">
        <v>0</v>
      </c>
      <c r="M293" s="13">
        <v>0</v>
      </c>
      <c r="N293" s="13"/>
      <c r="O293" s="10">
        <v>1.2</v>
      </c>
      <c r="P293" s="10">
        <v>0</v>
      </c>
      <c r="Q293" s="14">
        <v>0</v>
      </c>
      <c r="R293" s="14">
        <v>0</v>
      </c>
      <c r="S293" s="10">
        <v>0</v>
      </c>
      <c r="T293" s="10">
        <v>0</v>
      </c>
      <c r="U293" s="14">
        <v>0</v>
      </c>
      <c r="V293" s="10"/>
      <c r="W293" s="11">
        <v>1</v>
      </c>
      <c r="X293" s="11">
        <v>1</v>
      </c>
      <c r="Y293" s="11">
        <v>0</v>
      </c>
      <c r="Z293" s="11">
        <v>0</v>
      </c>
      <c r="AA293" s="11">
        <f>MasterTable[[#This Row],[Landings
Night]]+MasterTable[[#This Row],[Landings
Day]]</f>
        <v>1</v>
      </c>
      <c r="AB293" s="10">
        <v>0</v>
      </c>
      <c r="AC293" s="10">
        <v>0</v>
      </c>
      <c r="AD293" s="11">
        <v>0</v>
      </c>
      <c r="AE293" s="21">
        <f>SUM(MasterTable[[#This Row],[ILS]:[PAR]])</f>
        <v>0</v>
      </c>
      <c r="AL293" s="11"/>
      <c r="AR293" s="140" t="str">
        <f>_xlfn.XLOOKUP(MasterTable[[#This Row],[Aircraft ID]],Aircraft!A:A,Aircraft!H:H)</f>
        <v>Airplane Single Engine Land</v>
      </c>
      <c r="AS293" s="8" t="b">
        <f>OR((SUM(MasterTable[[#This Row],[ILS]:[PAR]]) = MasterTable[[#This Row],[APPR]]))</f>
        <v>1</v>
      </c>
      <c r="AT293" s="8" t="b">
        <f>NOT(ISBLANK(MasterTable[[#This Row],[Total
Time]]))</f>
        <v>1</v>
      </c>
    </row>
    <row r="294" spans="4:46" ht="28.8" x14ac:dyDescent="0.3">
      <c r="D294" s="22">
        <v>44961</v>
      </c>
      <c r="E294" s="8" t="s">
        <v>174</v>
      </c>
      <c r="F294" s="8" t="s">
        <v>204</v>
      </c>
      <c r="G294" s="8" t="s">
        <v>204</v>
      </c>
      <c r="I294" s="10">
        <v>1.2</v>
      </c>
      <c r="J294" s="10">
        <v>1.2</v>
      </c>
      <c r="L294" s="10">
        <v>0</v>
      </c>
      <c r="M294" s="13">
        <v>0</v>
      </c>
      <c r="N294" s="13"/>
      <c r="O294" s="10">
        <v>0</v>
      </c>
      <c r="P294" s="10">
        <v>0</v>
      </c>
      <c r="Q294" s="14">
        <v>0</v>
      </c>
      <c r="R294" s="14">
        <v>0</v>
      </c>
      <c r="S294" s="10">
        <v>0</v>
      </c>
      <c r="T294" s="10">
        <v>0</v>
      </c>
      <c r="U294" s="14">
        <v>0</v>
      </c>
      <c r="V294" s="10"/>
      <c r="W294" s="11">
        <v>1</v>
      </c>
      <c r="X294" s="11">
        <v>1</v>
      </c>
      <c r="Y294" s="11">
        <v>0</v>
      </c>
      <c r="Z294" s="11">
        <v>0</v>
      </c>
      <c r="AA294" s="11">
        <f>MasterTable[[#This Row],[Landings
Night]]+MasterTable[[#This Row],[Landings
Day]]</f>
        <v>1</v>
      </c>
      <c r="AB294" s="10">
        <v>0</v>
      </c>
      <c r="AC294" s="10">
        <v>0</v>
      </c>
      <c r="AD294" s="11">
        <v>0</v>
      </c>
      <c r="AE294" s="21">
        <f>SUM(MasterTable[[#This Row],[ILS]:[PAR]])</f>
        <v>0</v>
      </c>
      <c r="AL294" s="11"/>
      <c r="AR294" s="140" t="str">
        <f>_xlfn.XLOOKUP(MasterTable[[#This Row],[Aircraft ID]],Aircraft!A:A,Aircraft!H:H)</f>
        <v>Airplane Single Engine Land</v>
      </c>
      <c r="AS294" s="8" t="b">
        <f>OR((SUM(MasterTable[[#This Row],[ILS]:[PAR]]) = MasterTable[[#This Row],[APPR]]))</f>
        <v>1</v>
      </c>
      <c r="AT294" s="8" t="b">
        <f>NOT(ISBLANK(MasterTable[[#This Row],[Total
Time]]))</f>
        <v>1</v>
      </c>
    </row>
    <row r="295" spans="4:46" ht="28.8" x14ac:dyDescent="0.3">
      <c r="D295" s="22">
        <v>44960</v>
      </c>
      <c r="E295" s="8" t="s">
        <v>174</v>
      </c>
      <c r="F295" s="8" t="s">
        <v>206</v>
      </c>
      <c r="G295" s="8" t="s">
        <v>204</v>
      </c>
      <c r="I295" s="10">
        <v>1.1000000000000001</v>
      </c>
      <c r="J295" s="10">
        <v>1.1000000000000001</v>
      </c>
      <c r="L295" s="10">
        <v>0</v>
      </c>
      <c r="M295" s="13">
        <v>0</v>
      </c>
      <c r="N295" s="13"/>
      <c r="O295" s="10">
        <v>0</v>
      </c>
      <c r="P295" s="10">
        <v>0</v>
      </c>
      <c r="Q295" s="14">
        <v>0</v>
      </c>
      <c r="R295" s="14">
        <v>0</v>
      </c>
      <c r="S295" s="10">
        <v>0.2</v>
      </c>
      <c r="T295" s="10">
        <v>1.1000000000000001</v>
      </c>
      <c r="U295" s="14">
        <v>0</v>
      </c>
      <c r="V295" s="10"/>
      <c r="W295" s="11">
        <v>1</v>
      </c>
      <c r="X295" s="11">
        <v>0</v>
      </c>
      <c r="Y295" s="11">
        <v>0</v>
      </c>
      <c r="Z295" s="11">
        <v>1</v>
      </c>
      <c r="AA295" s="11">
        <f>MasterTable[[#This Row],[Landings
Night]]+MasterTable[[#This Row],[Landings
Day]]</f>
        <v>1</v>
      </c>
      <c r="AB295" s="10">
        <v>0</v>
      </c>
      <c r="AC295" s="10">
        <v>0</v>
      </c>
      <c r="AD295" s="11">
        <v>0</v>
      </c>
      <c r="AE295" s="21">
        <f>SUM(MasterTable[[#This Row],[ILS]:[PAR]])</f>
        <v>0</v>
      </c>
      <c r="AL295" s="11"/>
      <c r="AR295" s="140" t="str">
        <f>_xlfn.XLOOKUP(MasterTable[[#This Row],[Aircraft ID]],Aircraft!A:A,Aircraft!H:H)</f>
        <v>Airplane Single Engine Land</v>
      </c>
      <c r="AS295" s="8" t="b">
        <f>OR((SUM(MasterTable[[#This Row],[ILS]:[PAR]]) = MasterTable[[#This Row],[APPR]]))</f>
        <v>1</v>
      </c>
      <c r="AT295" s="8" t="b">
        <f>NOT(ISBLANK(MasterTable[[#This Row],[Total
Time]]))</f>
        <v>1</v>
      </c>
    </row>
    <row r="296" spans="4:46" ht="28.8" x14ac:dyDescent="0.3">
      <c r="D296" s="22">
        <v>44959</v>
      </c>
      <c r="E296" s="8" t="s">
        <v>174</v>
      </c>
      <c r="F296" s="8" t="s">
        <v>206</v>
      </c>
      <c r="G296" s="8" t="s">
        <v>207</v>
      </c>
      <c r="I296" s="10">
        <v>0.8</v>
      </c>
      <c r="J296" s="10">
        <v>0.8</v>
      </c>
      <c r="L296" s="10">
        <v>0</v>
      </c>
      <c r="M296" s="13">
        <v>0</v>
      </c>
      <c r="N296" s="13"/>
      <c r="O296" s="10">
        <v>0</v>
      </c>
      <c r="P296" s="10">
        <v>0</v>
      </c>
      <c r="Q296" s="14">
        <v>0</v>
      </c>
      <c r="R296" s="14">
        <v>0</v>
      </c>
      <c r="S296" s="10">
        <v>0</v>
      </c>
      <c r="T296" s="10">
        <v>0</v>
      </c>
      <c r="U296" s="14">
        <v>0</v>
      </c>
      <c r="V296" s="10">
        <v>0.8</v>
      </c>
      <c r="W296" s="11">
        <v>2</v>
      </c>
      <c r="X296" s="11">
        <v>2</v>
      </c>
      <c r="Y296" s="11">
        <v>0</v>
      </c>
      <c r="Z296" s="11">
        <v>0</v>
      </c>
      <c r="AA296" s="11">
        <f>MasterTable[[#This Row],[Landings
Night]]+MasterTable[[#This Row],[Landings
Day]]</f>
        <v>2</v>
      </c>
      <c r="AB296" s="10">
        <v>0</v>
      </c>
      <c r="AC296" s="10">
        <v>0</v>
      </c>
      <c r="AD296" s="11">
        <v>0</v>
      </c>
      <c r="AE296" s="21">
        <f>SUM(MasterTable[[#This Row],[ILS]:[PAR]])</f>
        <v>0</v>
      </c>
      <c r="AL296" s="11"/>
      <c r="AR296" s="140" t="str">
        <f>_xlfn.XLOOKUP(MasterTable[[#This Row],[Aircraft ID]],Aircraft!A:A,Aircraft!H:H)</f>
        <v>Airplane Single Engine Land</v>
      </c>
      <c r="AS296" s="8" t="b">
        <f>OR((SUM(MasterTable[[#This Row],[ILS]:[PAR]]) = MasterTable[[#This Row],[APPR]]))</f>
        <v>1</v>
      </c>
      <c r="AT296" s="8" t="b">
        <f>NOT(ISBLANK(MasterTable[[#This Row],[Total
Time]]))</f>
        <v>1</v>
      </c>
    </row>
    <row r="297" spans="4:46" ht="28.8" x14ac:dyDescent="0.3">
      <c r="D297" s="22">
        <v>44933</v>
      </c>
      <c r="E297" s="8" t="s">
        <v>114</v>
      </c>
      <c r="F297" s="8" t="s">
        <v>204</v>
      </c>
      <c r="G297" s="8" t="s">
        <v>204</v>
      </c>
      <c r="I297" s="10">
        <v>1.2</v>
      </c>
      <c r="J297" s="10">
        <v>1.2</v>
      </c>
      <c r="L297" s="10">
        <v>0</v>
      </c>
      <c r="M297" s="13">
        <v>0</v>
      </c>
      <c r="N297" s="13"/>
      <c r="O297" s="10">
        <v>1.2</v>
      </c>
      <c r="P297" s="10">
        <v>0</v>
      </c>
      <c r="Q297" s="14">
        <v>0</v>
      </c>
      <c r="R297" s="14">
        <v>0</v>
      </c>
      <c r="S297" s="10">
        <v>0</v>
      </c>
      <c r="T297" s="10">
        <v>0</v>
      </c>
      <c r="U297" s="14">
        <v>0</v>
      </c>
      <c r="V297" s="10"/>
      <c r="W297" s="11">
        <v>1</v>
      </c>
      <c r="X297" s="11">
        <v>1</v>
      </c>
      <c r="Y297" s="11">
        <v>0</v>
      </c>
      <c r="Z297" s="11">
        <v>0</v>
      </c>
      <c r="AA297" s="11">
        <f>MasterTable[[#This Row],[Landings
Night]]+MasterTable[[#This Row],[Landings
Day]]</f>
        <v>1</v>
      </c>
      <c r="AB297" s="10">
        <v>0</v>
      </c>
      <c r="AC297" s="10">
        <v>0</v>
      </c>
      <c r="AD297" s="11">
        <v>0</v>
      </c>
      <c r="AE297" s="21">
        <f>SUM(MasterTable[[#This Row],[ILS]:[PAR]])</f>
        <v>0</v>
      </c>
      <c r="AL297" s="11"/>
      <c r="AR297" s="140" t="str">
        <f>_xlfn.XLOOKUP(MasterTable[[#This Row],[Aircraft ID]],Aircraft!A:A,Aircraft!H:H)</f>
        <v>Airplane Single Engine Land</v>
      </c>
      <c r="AS297" s="8" t="b">
        <f>OR((SUM(MasterTable[[#This Row],[ILS]:[PAR]]) = MasterTable[[#This Row],[APPR]]))</f>
        <v>1</v>
      </c>
      <c r="AT297" s="8" t="b">
        <f>NOT(ISBLANK(MasterTable[[#This Row],[Total
Time]]))</f>
        <v>1</v>
      </c>
    </row>
    <row r="298" spans="4:46" ht="28.8" x14ac:dyDescent="0.3">
      <c r="D298" s="22">
        <v>44912</v>
      </c>
      <c r="E298" s="8" t="s">
        <v>174</v>
      </c>
      <c r="F298" s="8" t="s">
        <v>206</v>
      </c>
      <c r="G298" s="8" t="s">
        <v>206</v>
      </c>
      <c r="I298" s="10">
        <v>1.2</v>
      </c>
      <c r="J298" s="10">
        <v>1.2</v>
      </c>
      <c r="L298" s="10">
        <v>0</v>
      </c>
      <c r="M298" s="13">
        <v>0</v>
      </c>
      <c r="N298" s="13"/>
      <c r="O298" s="10">
        <v>0</v>
      </c>
      <c r="P298" s="10">
        <v>0</v>
      </c>
      <c r="Q298" s="14">
        <v>0</v>
      </c>
      <c r="R298" s="14">
        <v>0</v>
      </c>
      <c r="S298" s="10">
        <v>0</v>
      </c>
      <c r="T298" s="10">
        <v>0</v>
      </c>
      <c r="U298" s="14">
        <v>0</v>
      </c>
      <c r="V298" s="10"/>
      <c r="W298" s="11">
        <v>2</v>
      </c>
      <c r="X298" s="11">
        <v>2</v>
      </c>
      <c r="Y298" s="11">
        <v>0</v>
      </c>
      <c r="Z298" s="11">
        <v>0</v>
      </c>
      <c r="AA298" s="11">
        <f>MasterTable[[#This Row],[Landings
Night]]+MasterTable[[#This Row],[Landings
Day]]</f>
        <v>2</v>
      </c>
      <c r="AB298" s="10">
        <v>0</v>
      </c>
      <c r="AC298" s="10">
        <v>0</v>
      </c>
      <c r="AD298" s="11">
        <v>0</v>
      </c>
      <c r="AE298" s="21">
        <f>SUM(MasterTable[[#This Row],[ILS]:[PAR]])</f>
        <v>0</v>
      </c>
      <c r="AL298" s="11"/>
      <c r="AR298" s="140" t="str">
        <f>_xlfn.XLOOKUP(MasterTable[[#This Row],[Aircraft ID]],Aircraft!A:A,Aircraft!H:H)</f>
        <v>Airplane Single Engine Land</v>
      </c>
      <c r="AS298" s="8" t="b">
        <f>OR((SUM(MasterTable[[#This Row],[ILS]:[PAR]]) = MasterTable[[#This Row],[APPR]]))</f>
        <v>1</v>
      </c>
      <c r="AT298" s="8" t="b">
        <f>NOT(ISBLANK(MasterTable[[#This Row],[Total
Time]]))</f>
        <v>1</v>
      </c>
    </row>
    <row r="299" spans="4:46" ht="28.8" x14ac:dyDescent="0.3">
      <c r="D299" s="22">
        <v>44892</v>
      </c>
      <c r="E299" s="8" t="s">
        <v>174</v>
      </c>
      <c r="F299" s="8" t="s">
        <v>204</v>
      </c>
      <c r="G299" s="8" t="s">
        <v>206</v>
      </c>
      <c r="I299" s="10">
        <v>1.8</v>
      </c>
      <c r="J299" s="10">
        <v>1.8</v>
      </c>
      <c r="L299" s="10">
        <v>0</v>
      </c>
      <c r="M299" s="13">
        <v>0</v>
      </c>
      <c r="N299" s="13"/>
      <c r="O299" s="10">
        <v>0</v>
      </c>
      <c r="P299" s="10">
        <v>0</v>
      </c>
      <c r="Q299" s="14">
        <v>0</v>
      </c>
      <c r="R299" s="14">
        <v>0</v>
      </c>
      <c r="S299" s="10">
        <v>1.8</v>
      </c>
      <c r="T299" s="10">
        <v>1.8</v>
      </c>
      <c r="U299" s="14">
        <v>0</v>
      </c>
      <c r="V299" s="10"/>
      <c r="W299" s="11">
        <v>0</v>
      </c>
      <c r="X299" s="11">
        <v>0</v>
      </c>
      <c r="Y299" s="11">
        <v>1</v>
      </c>
      <c r="Z299" s="11">
        <v>1</v>
      </c>
      <c r="AA299" s="11">
        <f>MasterTable[[#This Row],[Landings
Night]]+MasterTable[[#This Row],[Landings
Day]]</f>
        <v>1</v>
      </c>
      <c r="AB299" s="10">
        <v>0</v>
      </c>
      <c r="AC299" s="10">
        <v>0</v>
      </c>
      <c r="AD299" s="11">
        <v>0</v>
      </c>
      <c r="AE299" s="21">
        <f>SUM(MasterTable[[#This Row],[ILS]:[PAR]])</f>
        <v>0</v>
      </c>
      <c r="AL299" s="11"/>
      <c r="AR299" s="140" t="str">
        <f>_xlfn.XLOOKUP(MasterTable[[#This Row],[Aircraft ID]],Aircraft!A:A,Aircraft!H:H)</f>
        <v>Airplane Single Engine Land</v>
      </c>
      <c r="AS299" s="8" t="b">
        <f>OR((SUM(MasterTable[[#This Row],[ILS]:[PAR]]) = MasterTable[[#This Row],[APPR]]))</f>
        <v>1</v>
      </c>
      <c r="AT299" s="8" t="b">
        <f>NOT(ISBLANK(MasterTable[[#This Row],[Total
Time]]))</f>
        <v>1</v>
      </c>
    </row>
    <row r="300" spans="4:46" ht="28.8" x14ac:dyDescent="0.3">
      <c r="D300" s="22">
        <v>44892</v>
      </c>
      <c r="E300" s="8" t="s">
        <v>174</v>
      </c>
      <c r="F300" s="8" t="s">
        <v>206</v>
      </c>
      <c r="G300" s="8" t="s">
        <v>204</v>
      </c>
      <c r="I300" s="10">
        <v>1.1000000000000001</v>
      </c>
      <c r="J300" s="10">
        <v>1.1000000000000001</v>
      </c>
      <c r="L300" s="10">
        <v>0</v>
      </c>
      <c r="M300" s="13">
        <v>0</v>
      </c>
      <c r="N300" s="13"/>
      <c r="O300" s="10">
        <v>0</v>
      </c>
      <c r="P300" s="10">
        <v>0</v>
      </c>
      <c r="Q300" s="14">
        <v>0</v>
      </c>
      <c r="R300" s="14">
        <v>0</v>
      </c>
      <c r="S300" s="10">
        <v>0</v>
      </c>
      <c r="T300" s="10">
        <v>1.1000000000000001</v>
      </c>
      <c r="U300" s="14">
        <v>0</v>
      </c>
      <c r="V300" s="10"/>
      <c r="W300" s="11">
        <v>1</v>
      </c>
      <c r="X300" s="11">
        <v>1</v>
      </c>
      <c r="Y300" s="11">
        <v>0</v>
      </c>
      <c r="Z300" s="11">
        <v>0</v>
      </c>
      <c r="AA300" s="11">
        <f>MasterTable[[#This Row],[Landings
Night]]+MasterTable[[#This Row],[Landings
Day]]</f>
        <v>1</v>
      </c>
      <c r="AB300" s="10">
        <v>0</v>
      </c>
      <c r="AC300" s="10">
        <v>0</v>
      </c>
      <c r="AD300" s="11">
        <v>0</v>
      </c>
      <c r="AE300" s="21">
        <f>SUM(MasterTable[[#This Row],[ILS]:[PAR]])</f>
        <v>0</v>
      </c>
      <c r="AL300" s="11"/>
      <c r="AR300" s="140" t="str">
        <f>_xlfn.XLOOKUP(MasterTable[[#This Row],[Aircraft ID]],Aircraft!A:A,Aircraft!H:H)</f>
        <v>Airplane Single Engine Land</v>
      </c>
      <c r="AS300" s="8" t="b">
        <f>OR((SUM(MasterTable[[#This Row],[ILS]:[PAR]]) = MasterTable[[#This Row],[APPR]]))</f>
        <v>1</v>
      </c>
      <c r="AT300" s="8" t="b">
        <f>NOT(ISBLANK(MasterTable[[#This Row],[Total
Time]]))</f>
        <v>1</v>
      </c>
    </row>
    <row r="301" spans="4:46" ht="28.8" x14ac:dyDescent="0.3">
      <c r="D301" s="22">
        <v>44871</v>
      </c>
      <c r="E301" s="8" t="s">
        <v>174</v>
      </c>
      <c r="F301" s="8" t="s">
        <v>204</v>
      </c>
      <c r="G301" s="8" t="s">
        <v>206</v>
      </c>
      <c r="I301" s="10">
        <v>1.2</v>
      </c>
      <c r="J301" s="10">
        <v>1.2</v>
      </c>
      <c r="L301" s="10">
        <v>0</v>
      </c>
      <c r="M301" s="13">
        <v>0</v>
      </c>
      <c r="N301" s="13"/>
      <c r="O301" s="10">
        <v>0</v>
      </c>
      <c r="P301" s="10">
        <v>0</v>
      </c>
      <c r="Q301" s="14">
        <v>0</v>
      </c>
      <c r="R301" s="14">
        <v>0</v>
      </c>
      <c r="S301" s="10">
        <v>0</v>
      </c>
      <c r="T301" s="10">
        <v>1.2</v>
      </c>
      <c r="U301" s="14">
        <v>0</v>
      </c>
      <c r="V301" s="10"/>
      <c r="W301" s="11">
        <v>1</v>
      </c>
      <c r="X301" s="11">
        <v>1</v>
      </c>
      <c r="Y301" s="11">
        <v>0</v>
      </c>
      <c r="Z301" s="11">
        <v>0</v>
      </c>
      <c r="AA301" s="11">
        <f>MasterTable[[#This Row],[Landings
Night]]+MasterTable[[#This Row],[Landings
Day]]</f>
        <v>1</v>
      </c>
      <c r="AB301" s="10">
        <v>0</v>
      </c>
      <c r="AC301" s="10">
        <v>0</v>
      </c>
      <c r="AD301" s="11">
        <v>0</v>
      </c>
      <c r="AE301" s="21">
        <f>SUM(MasterTable[[#This Row],[ILS]:[PAR]])</f>
        <v>0</v>
      </c>
      <c r="AL301" s="11"/>
      <c r="AR301" s="140" t="str">
        <f>_xlfn.XLOOKUP(MasterTable[[#This Row],[Aircraft ID]],Aircraft!A:A,Aircraft!H:H)</f>
        <v>Airplane Single Engine Land</v>
      </c>
      <c r="AS301" s="8" t="b">
        <f>OR((SUM(MasterTable[[#This Row],[ILS]:[PAR]]) = MasterTable[[#This Row],[APPR]]))</f>
        <v>1</v>
      </c>
      <c r="AT301" s="8" t="b">
        <f>NOT(ISBLANK(MasterTable[[#This Row],[Total
Time]]))</f>
        <v>1</v>
      </c>
    </row>
    <row r="302" spans="4:46" ht="28.8" x14ac:dyDescent="0.3">
      <c r="D302" s="22">
        <v>44870</v>
      </c>
      <c r="E302" s="8" t="s">
        <v>174</v>
      </c>
      <c r="F302" s="8" t="s">
        <v>206</v>
      </c>
      <c r="G302" s="8" t="s">
        <v>204</v>
      </c>
      <c r="I302" s="10">
        <v>1.5</v>
      </c>
      <c r="J302" s="10">
        <v>1.5</v>
      </c>
      <c r="L302" s="10">
        <v>0</v>
      </c>
      <c r="M302" s="13">
        <v>0</v>
      </c>
      <c r="N302" s="13"/>
      <c r="O302" s="10">
        <v>0</v>
      </c>
      <c r="P302" s="10">
        <v>0</v>
      </c>
      <c r="Q302" s="14">
        <v>0</v>
      </c>
      <c r="R302" s="14">
        <v>0</v>
      </c>
      <c r="S302" s="10">
        <v>0</v>
      </c>
      <c r="T302" s="10">
        <v>1.5</v>
      </c>
      <c r="U302" s="14">
        <v>0</v>
      </c>
      <c r="V302" s="10"/>
      <c r="W302" s="11">
        <v>1</v>
      </c>
      <c r="X302" s="11">
        <v>1</v>
      </c>
      <c r="Y302" s="11">
        <v>0</v>
      </c>
      <c r="Z302" s="11">
        <v>0</v>
      </c>
      <c r="AA302" s="11">
        <f>MasterTable[[#This Row],[Landings
Night]]+MasterTable[[#This Row],[Landings
Day]]</f>
        <v>1</v>
      </c>
      <c r="AB302" s="10">
        <v>0</v>
      </c>
      <c r="AC302" s="10">
        <v>0</v>
      </c>
      <c r="AD302" s="11">
        <v>0</v>
      </c>
      <c r="AE302" s="21">
        <f>SUM(MasterTable[[#This Row],[ILS]:[PAR]])</f>
        <v>0</v>
      </c>
      <c r="AL302" s="11"/>
      <c r="AR302" s="140" t="str">
        <f>_xlfn.XLOOKUP(MasterTable[[#This Row],[Aircraft ID]],Aircraft!A:A,Aircraft!H:H)</f>
        <v>Airplane Single Engine Land</v>
      </c>
      <c r="AS302" s="8" t="b">
        <f>OR((SUM(MasterTable[[#This Row],[ILS]:[PAR]]) = MasterTable[[#This Row],[APPR]]))</f>
        <v>1</v>
      </c>
      <c r="AT302" s="8" t="b">
        <f>NOT(ISBLANK(MasterTable[[#This Row],[Total
Time]]))</f>
        <v>1</v>
      </c>
    </row>
    <row r="303" spans="4:46" ht="28.8" x14ac:dyDescent="0.3">
      <c r="D303" s="22">
        <v>44857</v>
      </c>
      <c r="E303" s="8" t="s">
        <v>174</v>
      </c>
      <c r="F303" s="8" t="s">
        <v>204</v>
      </c>
      <c r="G303" s="8" t="s">
        <v>206</v>
      </c>
      <c r="I303" s="10">
        <v>1</v>
      </c>
      <c r="J303" s="10">
        <v>1</v>
      </c>
      <c r="L303" s="10">
        <v>0</v>
      </c>
      <c r="M303" s="13">
        <v>0</v>
      </c>
      <c r="N303" s="13"/>
      <c r="O303" s="10">
        <v>0</v>
      </c>
      <c r="P303" s="10">
        <v>0</v>
      </c>
      <c r="Q303" s="14">
        <v>0</v>
      </c>
      <c r="R303" s="14">
        <v>0</v>
      </c>
      <c r="S303" s="10">
        <v>0.5</v>
      </c>
      <c r="T303" s="10">
        <v>1</v>
      </c>
      <c r="U303" s="14">
        <v>0</v>
      </c>
      <c r="V303" s="10"/>
      <c r="W303" s="11">
        <v>1</v>
      </c>
      <c r="X303" s="11">
        <v>0</v>
      </c>
      <c r="Y303" s="11">
        <v>0</v>
      </c>
      <c r="Z303" s="11">
        <v>1</v>
      </c>
      <c r="AA303" s="11">
        <f>MasterTable[[#This Row],[Landings
Night]]+MasterTable[[#This Row],[Landings
Day]]</f>
        <v>1</v>
      </c>
      <c r="AB303" s="10">
        <v>0</v>
      </c>
      <c r="AC303" s="10">
        <v>0</v>
      </c>
      <c r="AD303" s="11">
        <v>0</v>
      </c>
      <c r="AE303" s="21">
        <f>SUM(MasterTable[[#This Row],[ILS]:[PAR]])</f>
        <v>0</v>
      </c>
      <c r="AL303" s="11"/>
      <c r="AR303" s="140" t="str">
        <f>_xlfn.XLOOKUP(MasterTable[[#This Row],[Aircraft ID]],Aircraft!A:A,Aircraft!H:H)</f>
        <v>Airplane Single Engine Land</v>
      </c>
      <c r="AS303" s="8" t="b">
        <f>OR((SUM(MasterTable[[#This Row],[ILS]:[PAR]]) = MasterTable[[#This Row],[APPR]]))</f>
        <v>1</v>
      </c>
      <c r="AT303" s="8" t="b">
        <f>NOT(ISBLANK(MasterTable[[#This Row],[Total
Time]]))</f>
        <v>1</v>
      </c>
    </row>
    <row r="304" spans="4:46" ht="28.8" x14ac:dyDescent="0.3">
      <c r="D304" s="22">
        <v>44857</v>
      </c>
      <c r="E304" s="8" t="s">
        <v>174</v>
      </c>
      <c r="F304" s="8" t="s">
        <v>206</v>
      </c>
      <c r="G304" s="8" t="s">
        <v>204</v>
      </c>
      <c r="I304" s="10">
        <v>1.2</v>
      </c>
      <c r="J304" s="10">
        <v>1.2</v>
      </c>
      <c r="L304" s="10">
        <v>0</v>
      </c>
      <c r="M304" s="13">
        <v>0</v>
      </c>
      <c r="N304" s="13"/>
      <c r="O304" s="10">
        <v>0</v>
      </c>
      <c r="P304" s="10">
        <v>0</v>
      </c>
      <c r="Q304" s="14">
        <v>0</v>
      </c>
      <c r="R304" s="14">
        <v>0</v>
      </c>
      <c r="S304" s="10">
        <v>0</v>
      </c>
      <c r="T304" s="10">
        <v>1.2</v>
      </c>
      <c r="U304" s="14">
        <v>0</v>
      </c>
      <c r="V304" s="10"/>
      <c r="W304" s="11">
        <v>1</v>
      </c>
      <c r="X304" s="11">
        <v>1</v>
      </c>
      <c r="Y304" s="11">
        <v>0</v>
      </c>
      <c r="Z304" s="11">
        <v>0</v>
      </c>
      <c r="AA304" s="11">
        <f>MasterTable[[#This Row],[Landings
Night]]+MasterTable[[#This Row],[Landings
Day]]</f>
        <v>1</v>
      </c>
      <c r="AB304" s="10">
        <v>0</v>
      </c>
      <c r="AC304" s="10">
        <v>0</v>
      </c>
      <c r="AD304" s="11">
        <v>0</v>
      </c>
      <c r="AE304" s="21">
        <f>SUM(MasterTable[[#This Row],[ILS]:[PAR]])</f>
        <v>0</v>
      </c>
      <c r="AL304" s="11"/>
      <c r="AR304" s="140" t="str">
        <f>_xlfn.XLOOKUP(MasterTable[[#This Row],[Aircraft ID]],Aircraft!A:A,Aircraft!H:H)</f>
        <v>Airplane Single Engine Land</v>
      </c>
      <c r="AS304" s="8" t="b">
        <f>OR((SUM(MasterTable[[#This Row],[ILS]:[PAR]]) = MasterTable[[#This Row],[APPR]]))</f>
        <v>1</v>
      </c>
      <c r="AT304" s="8" t="b">
        <f>NOT(ISBLANK(MasterTable[[#This Row],[Total
Time]]))</f>
        <v>1</v>
      </c>
    </row>
    <row r="305" spans="4:46" ht="28.8" x14ac:dyDescent="0.3">
      <c r="D305" s="22">
        <v>44849</v>
      </c>
      <c r="E305" s="8" t="s">
        <v>174</v>
      </c>
      <c r="F305" s="8" t="s">
        <v>226</v>
      </c>
      <c r="G305" s="8" t="s">
        <v>206</v>
      </c>
      <c r="I305" s="10">
        <v>1.2</v>
      </c>
      <c r="J305" s="10">
        <v>1.2</v>
      </c>
      <c r="L305" s="10">
        <v>0</v>
      </c>
      <c r="M305" s="13">
        <v>0</v>
      </c>
      <c r="N305" s="13"/>
      <c r="O305" s="10">
        <v>0</v>
      </c>
      <c r="P305" s="10">
        <v>0</v>
      </c>
      <c r="Q305" s="14">
        <v>0</v>
      </c>
      <c r="R305" s="14">
        <v>0</v>
      </c>
      <c r="S305" s="10">
        <v>0</v>
      </c>
      <c r="T305" s="10">
        <v>1.2</v>
      </c>
      <c r="U305" s="14">
        <v>0</v>
      </c>
      <c r="V305" s="10"/>
      <c r="W305" s="11">
        <v>1</v>
      </c>
      <c r="X305" s="11">
        <v>1</v>
      </c>
      <c r="Y305" s="11">
        <v>0</v>
      </c>
      <c r="Z305" s="11">
        <v>0</v>
      </c>
      <c r="AA305" s="11">
        <f>MasterTable[[#This Row],[Landings
Night]]+MasterTable[[#This Row],[Landings
Day]]</f>
        <v>1</v>
      </c>
      <c r="AB305" s="10">
        <v>0</v>
      </c>
      <c r="AC305" s="10">
        <v>0</v>
      </c>
      <c r="AD305" s="11">
        <v>0</v>
      </c>
      <c r="AE305" s="21">
        <f>SUM(MasterTable[[#This Row],[ILS]:[PAR]])</f>
        <v>0</v>
      </c>
      <c r="AL305" s="11"/>
      <c r="AR305" s="140" t="str">
        <f>_xlfn.XLOOKUP(MasterTable[[#This Row],[Aircraft ID]],Aircraft!A:A,Aircraft!H:H)</f>
        <v>Airplane Single Engine Land</v>
      </c>
      <c r="AS305" s="8" t="b">
        <f>OR((SUM(MasterTable[[#This Row],[ILS]:[PAR]]) = MasterTable[[#This Row],[APPR]]))</f>
        <v>1</v>
      </c>
      <c r="AT305" s="8" t="b">
        <f>NOT(ISBLANK(MasterTable[[#This Row],[Total
Time]]))</f>
        <v>1</v>
      </c>
    </row>
    <row r="306" spans="4:46" ht="28.8" x14ac:dyDescent="0.3">
      <c r="D306" s="22">
        <v>44849</v>
      </c>
      <c r="E306" s="8" t="s">
        <v>174</v>
      </c>
      <c r="F306" s="8" t="s">
        <v>216</v>
      </c>
      <c r="G306" s="8" t="s">
        <v>226</v>
      </c>
      <c r="I306" s="10">
        <v>0.3</v>
      </c>
      <c r="J306" s="10">
        <v>0.3</v>
      </c>
      <c r="L306" s="10">
        <v>0</v>
      </c>
      <c r="M306" s="13">
        <v>0</v>
      </c>
      <c r="N306" s="13"/>
      <c r="O306" s="10">
        <v>0</v>
      </c>
      <c r="P306" s="10">
        <v>0</v>
      </c>
      <c r="Q306" s="14">
        <v>0</v>
      </c>
      <c r="R306" s="14">
        <v>0</v>
      </c>
      <c r="S306" s="10">
        <v>0</v>
      </c>
      <c r="T306" s="10">
        <v>0</v>
      </c>
      <c r="U306" s="14">
        <v>0</v>
      </c>
      <c r="V306" s="10"/>
      <c r="W306" s="11">
        <v>1</v>
      </c>
      <c r="X306" s="11">
        <v>1</v>
      </c>
      <c r="Y306" s="11">
        <v>0</v>
      </c>
      <c r="Z306" s="11">
        <v>0</v>
      </c>
      <c r="AA306" s="11">
        <f>MasterTable[[#This Row],[Landings
Night]]+MasterTable[[#This Row],[Landings
Day]]</f>
        <v>1</v>
      </c>
      <c r="AB306" s="10">
        <v>0</v>
      </c>
      <c r="AC306" s="10">
        <v>0</v>
      </c>
      <c r="AD306" s="11">
        <v>0</v>
      </c>
      <c r="AE306" s="21">
        <f>SUM(MasterTable[[#This Row],[ILS]:[PAR]])</f>
        <v>0</v>
      </c>
      <c r="AL306" s="11"/>
      <c r="AR306" s="140" t="str">
        <f>_xlfn.XLOOKUP(MasterTable[[#This Row],[Aircraft ID]],Aircraft!A:A,Aircraft!H:H)</f>
        <v>Airplane Single Engine Land</v>
      </c>
      <c r="AS306" s="8" t="b">
        <f>OR((SUM(MasterTable[[#This Row],[ILS]:[PAR]]) = MasterTable[[#This Row],[APPR]]))</f>
        <v>1</v>
      </c>
      <c r="AT306" s="8" t="b">
        <f>NOT(ISBLANK(MasterTable[[#This Row],[Total
Time]]))</f>
        <v>1</v>
      </c>
    </row>
    <row r="307" spans="4:46" ht="28.8" x14ac:dyDescent="0.3">
      <c r="D307" s="22">
        <v>44849</v>
      </c>
      <c r="E307" s="8" t="s">
        <v>174</v>
      </c>
      <c r="F307" s="8" t="s">
        <v>216</v>
      </c>
      <c r="G307" s="8" t="s">
        <v>216</v>
      </c>
      <c r="I307" s="10">
        <v>2.6</v>
      </c>
      <c r="J307" s="10">
        <v>2.6</v>
      </c>
      <c r="L307" s="10">
        <v>0</v>
      </c>
      <c r="M307" s="13">
        <v>0</v>
      </c>
      <c r="N307" s="13"/>
      <c r="O307" s="10">
        <v>0</v>
      </c>
      <c r="P307" s="10">
        <v>0</v>
      </c>
      <c r="Q307" s="14">
        <v>0</v>
      </c>
      <c r="R307" s="14">
        <v>0</v>
      </c>
      <c r="S307" s="10">
        <v>0</v>
      </c>
      <c r="T307" s="10">
        <v>0</v>
      </c>
      <c r="U307" s="14">
        <v>0</v>
      </c>
      <c r="V307" s="10"/>
      <c r="W307" s="11">
        <v>5</v>
      </c>
      <c r="X307" s="11">
        <v>5</v>
      </c>
      <c r="Y307" s="11">
        <v>0</v>
      </c>
      <c r="Z307" s="11">
        <v>0</v>
      </c>
      <c r="AA307" s="11">
        <f>MasterTable[[#This Row],[Landings
Night]]+MasterTable[[#This Row],[Landings
Day]]</f>
        <v>5</v>
      </c>
      <c r="AB307" s="10">
        <v>0</v>
      </c>
      <c r="AC307" s="10">
        <v>0</v>
      </c>
      <c r="AD307" s="11">
        <v>0</v>
      </c>
      <c r="AE307" s="21">
        <f>SUM(MasterTable[[#This Row],[ILS]:[PAR]])</f>
        <v>0</v>
      </c>
      <c r="AL307" s="11"/>
      <c r="AR307" s="140" t="str">
        <f>_xlfn.XLOOKUP(MasterTable[[#This Row],[Aircraft ID]],Aircraft!A:A,Aircraft!H:H)</f>
        <v>Airplane Single Engine Land</v>
      </c>
      <c r="AS307" s="8" t="b">
        <f>OR((SUM(MasterTable[[#This Row],[ILS]:[PAR]]) = MasterTable[[#This Row],[APPR]]))</f>
        <v>1</v>
      </c>
      <c r="AT307" s="8" t="b">
        <f>NOT(ISBLANK(MasterTable[[#This Row],[Total
Time]]))</f>
        <v>1</v>
      </c>
    </row>
    <row r="308" spans="4:46" ht="28.8" x14ac:dyDescent="0.3">
      <c r="D308" s="22">
        <v>44848</v>
      </c>
      <c r="E308" s="8" t="s">
        <v>174</v>
      </c>
      <c r="F308" s="8" t="s">
        <v>207</v>
      </c>
      <c r="G308" s="8" t="s">
        <v>216</v>
      </c>
      <c r="I308" s="10">
        <v>1</v>
      </c>
      <c r="J308" s="10">
        <v>1</v>
      </c>
      <c r="L308" s="10">
        <v>0</v>
      </c>
      <c r="M308" s="13">
        <v>0</v>
      </c>
      <c r="N308" s="13"/>
      <c r="O308" s="10">
        <v>0</v>
      </c>
      <c r="P308" s="10">
        <v>0</v>
      </c>
      <c r="Q308" s="14">
        <v>0</v>
      </c>
      <c r="R308" s="14">
        <v>0</v>
      </c>
      <c r="S308" s="10">
        <v>0</v>
      </c>
      <c r="T308" s="10">
        <v>1</v>
      </c>
      <c r="U308" s="14">
        <v>0</v>
      </c>
      <c r="V308" s="10"/>
      <c r="W308" s="11">
        <v>1</v>
      </c>
      <c r="X308" s="11">
        <v>1</v>
      </c>
      <c r="Y308" s="11">
        <v>0</v>
      </c>
      <c r="Z308" s="11">
        <v>0</v>
      </c>
      <c r="AA308" s="11">
        <f>MasterTable[[#This Row],[Landings
Night]]+MasterTable[[#This Row],[Landings
Day]]</f>
        <v>1</v>
      </c>
      <c r="AB308" s="10">
        <v>0</v>
      </c>
      <c r="AC308" s="10">
        <v>0</v>
      </c>
      <c r="AD308" s="11">
        <v>0</v>
      </c>
      <c r="AE308" s="21">
        <f>SUM(MasterTable[[#This Row],[ILS]:[PAR]])</f>
        <v>0</v>
      </c>
      <c r="AL308" s="11"/>
      <c r="AR308" s="140" t="str">
        <f>_xlfn.XLOOKUP(MasterTable[[#This Row],[Aircraft ID]],Aircraft!A:A,Aircraft!H:H)</f>
        <v>Airplane Single Engine Land</v>
      </c>
      <c r="AS308" s="8" t="b">
        <f>OR((SUM(MasterTable[[#This Row],[ILS]:[PAR]]) = MasterTable[[#This Row],[APPR]]))</f>
        <v>1</v>
      </c>
      <c r="AT308" s="8" t="b">
        <f>NOT(ISBLANK(MasterTable[[#This Row],[Total
Time]]))</f>
        <v>1</v>
      </c>
    </row>
    <row r="309" spans="4:46" ht="28.8" x14ac:dyDescent="0.3">
      <c r="D309" s="22">
        <v>44848</v>
      </c>
      <c r="E309" s="8" t="s">
        <v>174</v>
      </c>
      <c r="F309" s="8" t="s">
        <v>206</v>
      </c>
      <c r="G309" s="8" t="s">
        <v>207</v>
      </c>
      <c r="I309" s="10">
        <v>0.4</v>
      </c>
      <c r="J309" s="10">
        <v>0.4</v>
      </c>
      <c r="L309" s="10">
        <v>0</v>
      </c>
      <c r="M309" s="13">
        <v>0</v>
      </c>
      <c r="N309" s="13"/>
      <c r="O309" s="10">
        <v>0</v>
      </c>
      <c r="P309" s="10">
        <v>0</v>
      </c>
      <c r="Q309" s="14">
        <v>0</v>
      </c>
      <c r="R309" s="14">
        <v>0</v>
      </c>
      <c r="S309" s="10">
        <v>0.4</v>
      </c>
      <c r="T309" s="10">
        <v>0</v>
      </c>
      <c r="U309" s="14">
        <v>0</v>
      </c>
      <c r="V309" s="10"/>
      <c r="W309" s="11">
        <v>0</v>
      </c>
      <c r="X309" s="11">
        <v>0</v>
      </c>
      <c r="Y309" s="11">
        <v>1</v>
      </c>
      <c r="Z309" s="11">
        <v>1</v>
      </c>
      <c r="AA309" s="11">
        <f>MasterTable[[#This Row],[Landings
Night]]+MasterTable[[#This Row],[Landings
Day]]</f>
        <v>1</v>
      </c>
      <c r="AB309" s="10">
        <v>0</v>
      </c>
      <c r="AC309" s="10">
        <v>0</v>
      </c>
      <c r="AD309" s="11">
        <v>0</v>
      </c>
      <c r="AE309" s="21">
        <f>SUM(MasterTable[[#This Row],[ILS]:[PAR]])</f>
        <v>0</v>
      </c>
      <c r="AL309" s="11"/>
      <c r="AR309" s="140" t="str">
        <f>_xlfn.XLOOKUP(MasterTable[[#This Row],[Aircraft ID]],Aircraft!A:A,Aircraft!H:H)</f>
        <v>Airplane Single Engine Land</v>
      </c>
      <c r="AS309" s="8" t="b">
        <f>OR((SUM(MasterTable[[#This Row],[ILS]:[PAR]]) = MasterTable[[#This Row],[APPR]]))</f>
        <v>1</v>
      </c>
      <c r="AT309" s="8" t="b">
        <f>NOT(ISBLANK(MasterTable[[#This Row],[Total
Time]]))</f>
        <v>1</v>
      </c>
    </row>
    <row r="310" spans="4:46" ht="28.8" x14ac:dyDescent="0.3">
      <c r="D310" s="22">
        <v>44829</v>
      </c>
      <c r="E310" s="8" t="s">
        <v>139</v>
      </c>
      <c r="F310" s="8" t="s">
        <v>221</v>
      </c>
      <c r="G310" s="8" t="s">
        <v>206</v>
      </c>
      <c r="H310" s="8" t="s">
        <v>227</v>
      </c>
      <c r="I310" s="10">
        <v>2.2000000000000002</v>
      </c>
      <c r="J310" s="10">
        <v>2.2000000000000002</v>
      </c>
      <c r="L310" s="10">
        <v>0</v>
      </c>
      <c r="M310" s="13">
        <v>0</v>
      </c>
      <c r="N310" s="13"/>
      <c r="O310" s="10">
        <v>0</v>
      </c>
      <c r="P310" s="10">
        <v>0</v>
      </c>
      <c r="Q310" s="14">
        <v>0</v>
      </c>
      <c r="R310" s="14">
        <v>0</v>
      </c>
      <c r="S310" s="10">
        <v>0</v>
      </c>
      <c r="T310" s="10">
        <v>2.2000000000000002</v>
      </c>
      <c r="U310" s="14">
        <v>0</v>
      </c>
      <c r="V310" s="10">
        <v>0.8</v>
      </c>
      <c r="W310" s="11">
        <v>2</v>
      </c>
      <c r="X310" s="11">
        <v>2</v>
      </c>
      <c r="Y310" s="11">
        <v>0</v>
      </c>
      <c r="Z310" s="11">
        <v>0</v>
      </c>
      <c r="AA310" s="11">
        <f>MasterTable[[#This Row],[Landings
Night]]+MasterTable[[#This Row],[Landings
Day]]</f>
        <v>2</v>
      </c>
      <c r="AB310" s="10">
        <v>0</v>
      </c>
      <c r="AC310" s="10">
        <v>0</v>
      </c>
      <c r="AD310" s="11">
        <v>0</v>
      </c>
      <c r="AE310" s="21">
        <f>SUM(MasterTable[[#This Row],[ILS]:[PAR]])</f>
        <v>0</v>
      </c>
      <c r="AL310" s="11"/>
      <c r="AR310" s="140" t="str">
        <f>_xlfn.XLOOKUP(MasterTable[[#This Row],[Aircraft ID]],Aircraft!A:A,Aircraft!H:H)</f>
        <v>Airplane Single Engine Land</v>
      </c>
      <c r="AS310" s="8" t="b">
        <f>OR((SUM(MasterTable[[#This Row],[ILS]:[PAR]]) = MasterTable[[#This Row],[APPR]]))</f>
        <v>1</v>
      </c>
      <c r="AT310" s="8" t="b">
        <f>NOT(ISBLANK(MasterTable[[#This Row],[Total
Time]]))</f>
        <v>1</v>
      </c>
    </row>
    <row r="311" spans="4:46" ht="28.8" x14ac:dyDescent="0.3">
      <c r="D311" s="22">
        <v>44829</v>
      </c>
      <c r="E311" s="8" t="s">
        <v>174</v>
      </c>
      <c r="F311" s="8" t="s">
        <v>206</v>
      </c>
      <c r="G311" s="8" t="s">
        <v>221</v>
      </c>
      <c r="H311" s="8" t="s">
        <v>228</v>
      </c>
      <c r="I311" s="10">
        <v>3.2</v>
      </c>
      <c r="J311" s="10">
        <v>3.2</v>
      </c>
      <c r="L311" s="10">
        <v>0</v>
      </c>
      <c r="M311" s="13">
        <v>0</v>
      </c>
      <c r="N311" s="13"/>
      <c r="O311" s="10">
        <v>3.2</v>
      </c>
      <c r="P311" s="10">
        <v>0</v>
      </c>
      <c r="Q311" s="14">
        <v>0</v>
      </c>
      <c r="R311" s="14">
        <v>0</v>
      </c>
      <c r="S311" s="10">
        <v>2.1</v>
      </c>
      <c r="T311" s="10">
        <v>3.2</v>
      </c>
      <c r="U311" s="14">
        <v>0</v>
      </c>
      <c r="V311" s="10"/>
      <c r="W311" s="11">
        <v>1</v>
      </c>
      <c r="X311" s="11">
        <v>2</v>
      </c>
      <c r="Y311" s="11">
        <v>1</v>
      </c>
      <c r="Z311" s="11">
        <v>0</v>
      </c>
      <c r="AA311" s="11">
        <f>MasterTable[[#This Row],[Landings
Night]]+MasterTable[[#This Row],[Landings
Day]]</f>
        <v>2</v>
      </c>
      <c r="AB311" s="10">
        <v>0</v>
      </c>
      <c r="AC311" s="10">
        <v>0.2</v>
      </c>
      <c r="AD311" s="11">
        <v>0</v>
      </c>
      <c r="AE311" s="21">
        <f>SUM(MasterTable[[#This Row],[ILS]:[PAR]])</f>
        <v>1</v>
      </c>
      <c r="AG311" s="11">
        <v>1</v>
      </c>
      <c r="AL311" s="11">
        <v>1</v>
      </c>
      <c r="AR311" s="140" t="str">
        <f>_xlfn.XLOOKUP(MasterTable[[#This Row],[Aircraft ID]],Aircraft!A:A,Aircraft!H:H)</f>
        <v>Airplane Single Engine Land</v>
      </c>
      <c r="AS311" s="8" t="b">
        <f>OR((SUM(MasterTable[[#This Row],[ILS]:[PAR]]) = MasterTable[[#This Row],[APPR]]))</f>
        <v>1</v>
      </c>
      <c r="AT311" s="8" t="b">
        <f>NOT(ISBLANK(MasterTable[[#This Row],[Total
Time]]))</f>
        <v>1</v>
      </c>
    </row>
    <row r="312" spans="4:46" ht="28.8" x14ac:dyDescent="0.3">
      <c r="D312" s="22">
        <v>44828</v>
      </c>
      <c r="E312" s="8" t="s">
        <v>174</v>
      </c>
      <c r="F312" s="8" t="s">
        <v>204</v>
      </c>
      <c r="G312" s="8" t="s">
        <v>206</v>
      </c>
      <c r="H312" s="8" t="s">
        <v>229</v>
      </c>
      <c r="I312" s="10">
        <v>2</v>
      </c>
      <c r="J312" s="10">
        <v>2</v>
      </c>
      <c r="L312" s="10">
        <v>0</v>
      </c>
      <c r="M312" s="13">
        <v>0</v>
      </c>
      <c r="N312" s="13"/>
      <c r="P312" s="10">
        <v>0</v>
      </c>
      <c r="Q312" s="14">
        <v>0</v>
      </c>
      <c r="R312" s="14">
        <v>0</v>
      </c>
      <c r="S312" s="10">
        <v>0</v>
      </c>
      <c r="T312" s="10">
        <v>2</v>
      </c>
      <c r="U312" s="14">
        <v>0</v>
      </c>
      <c r="V312" s="10"/>
      <c r="W312" s="11">
        <v>1</v>
      </c>
      <c r="X312" s="11">
        <v>1</v>
      </c>
      <c r="Y312" s="11">
        <v>0</v>
      </c>
      <c r="Z312" s="11">
        <v>0</v>
      </c>
      <c r="AA312" s="11">
        <f>MasterTable[[#This Row],[Landings
Night]]+MasterTable[[#This Row],[Landings
Day]]</f>
        <v>1</v>
      </c>
      <c r="AB312" s="10">
        <v>0</v>
      </c>
      <c r="AC312" s="10">
        <v>0.9</v>
      </c>
      <c r="AD312" s="11">
        <v>1</v>
      </c>
      <c r="AE312" s="21">
        <f>SUM(MasterTable[[#This Row],[ILS]:[PAR]])</f>
        <v>4</v>
      </c>
      <c r="AH312" s="11">
        <v>4</v>
      </c>
      <c r="AL312" s="11"/>
      <c r="AR312" s="140" t="str">
        <f>_xlfn.XLOOKUP(MasterTable[[#This Row],[Aircraft ID]],Aircraft!A:A,Aircraft!H:H)</f>
        <v>Airplane Single Engine Land</v>
      </c>
      <c r="AS312" s="8" t="b">
        <f>OR((SUM(MasterTable[[#This Row],[ILS]:[PAR]]) = MasterTable[[#This Row],[APPR]]))</f>
        <v>1</v>
      </c>
      <c r="AT312" s="8" t="b">
        <f>NOT(ISBLANK(MasterTable[[#This Row],[Total
Time]]))</f>
        <v>1</v>
      </c>
    </row>
    <row r="313" spans="4:46" ht="28.8" x14ac:dyDescent="0.3">
      <c r="D313" s="22">
        <v>44827</v>
      </c>
      <c r="E313" s="8" t="s">
        <v>174</v>
      </c>
      <c r="F313" s="8" t="s">
        <v>207</v>
      </c>
      <c r="G313" s="8" t="s">
        <v>204</v>
      </c>
      <c r="I313" s="10">
        <v>1.3</v>
      </c>
      <c r="J313" s="10">
        <v>1.3</v>
      </c>
      <c r="L313" s="10">
        <v>0</v>
      </c>
      <c r="M313" s="13">
        <v>0</v>
      </c>
      <c r="N313" s="13"/>
      <c r="O313" s="10">
        <v>0</v>
      </c>
      <c r="P313" s="10">
        <v>0</v>
      </c>
      <c r="Q313" s="14">
        <v>0</v>
      </c>
      <c r="R313" s="14">
        <v>0</v>
      </c>
      <c r="S313" s="10">
        <v>0</v>
      </c>
      <c r="T313" s="10">
        <v>1.3</v>
      </c>
      <c r="U313" s="14">
        <v>0</v>
      </c>
      <c r="V313" s="10"/>
      <c r="W313" s="11">
        <v>1</v>
      </c>
      <c r="X313" s="11">
        <v>1</v>
      </c>
      <c r="Y313" s="11">
        <v>0</v>
      </c>
      <c r="Z313" s="11">
        <v>0</v>
      </c>
      <c r="AA313" s="11">
        <f>MasterTable[[#This Row],[Landings
Night]]+MasterTable[[#This Row],[Landings
Day]]</f>
        <v>1</v>
      </c>
      <c r="AB313" s="10">
        <v>0</v>
      </c>
      <c r="AC313" s="10">
        <v>0</v>
      </c>
      <c r="AD313" s="11">
        <v>0</v>
      </c>
      <c r="AE313" s="21">
        <f>SUM(MasterTable[[#This Row],[ILS]:[PAR]])</f>
        <v>0</v>
      </c>
      <c r="AL313" s="11"/>
      <c r="AR313" s="140" t="str">
        <f>_xlfn.XLOOKUP(MasterTable[[#This Row],[Aircraft ID]],Aircraft!A:A,Aircraft!H:H)</f>
        <v>Airplane Single Engine Land</v>
      </c>
      <c r="AS313" s="8" t="b">
        <f>OR((SUM(MasterTable[[#This Row],[ILS]:[PAR]]) = MasterTable[[#This Row],[APPR]]))</f>
        <v>1</v>
      </c>
      <c r="AT313" s="8" t="b">
        <f>NOT(ISBLANK(MasterTable[[#This Row],[Total
Time]]))</f>
        <v>1</v>
      </c>
    </row>
    <row r="314" spans="4:46" ht="28.8" x14ac:dyDescent="0.3">
      <c r="D314" s="22">
        <v>44827</v>
      </c>
      <c r="E314" s="8" t="s">
        <v>174</v>
      </c>
      <c r="F314" s="8" t="s">
        <v>206</v>
      </c>
      <c r="G314" s="8" t="s">
        <v>207</v>
      </c>
      <c r="I314" s="10">
        <v>0.3</v>
      </c>
      <c r="J314" s="10">
        <v>0.3</v>
      </c>
      <c r="L314" s="10">
        <v>0</v>
      </c>
      <c r="M314" s="13">
        <v>0</v>
      </c>
      <c r="N314" s="13"/>
      <c r="O314" s="10">
        <v>0</v>
      </c>
      <c r="P314" s="10">
        <v>0</v>
      </c>
      <c r="Q314" s="14">
        <v>0</v>
      </c>
      <c r="R314" s="14">
        <v>0</v>
      </c>
      <c r="S314" s="10">
        <v>0</v>
      </c>
      <c r="T314" s="10">
        <v>0</v>
      </c>
      <c r="U314" s="14">
        <v>0</v>
      </c>
      <c r="V314" s="10"/>
      <c r="W314" s="11">
        <v>1</v>
      </c>
      <c r="X314" s="11">
        <v>1</v>
      </c>
      <c r="Y314" s="11">
        <v>0</v>
      </c>
      <c r="Z314" s="11">
        <v>0</v>
      </c>
      <c r="AA314" s="11">
        <f>MasterTable[[#This Row],[Landings
Night]]+MasterTable[[#This Row],[Landings
Day]]</f>
        <v>1</v>
      </c>
      <c r="AB314" s="10">
        <v>0</v>
      </c>
      <c r="AC314" s="10">
        <v>0</v>
      </c>
      <c r="AD314" s="11">
        <v>0</v>
      </c>
      <c r="AE314" s="21">
        <f>SUM(MasterTable[[#This Row],[ILS]:[PAR]])</f>
        <v>0</v>
      </c>
      <c r="AL314" s="11"/>
      <c r="AR314" s="140" t="str">
        <f>_xlfn.XLOOKUP(MasterTable[[#This Row],[Aircraft ID]],Aircraft!A:A,Aircraft!H:H)</f>
        <v>Airplane Single Engine Land</v>
      </c>
      <c r="AS314" s="8" t="b">
        <f>OR((SUM(MasterTable[[#This Row],[ILS]:[PAR]]) = MasterTable[[#This Row],[APPR]]))</f>
        <v>1</v>
      </c>
      <c r="AT314" s="8" t="b">
        <f>NOT(ISBLANK(MasterTable[[#This Row],[Total
Time]]))</f>
        <v>1</v>
      </c>
    </row>
    <row r="315" spans="4:46" ht="28.8" x14ac:dyDescent="0.3">
      <c r="D315" s="22">
        <v>44821</v>
      </c>
      <c r="E315" s="8" t="s">
        <v>139</v>
      </c>
      <c r="F315" s="8" t="s">
        <v>221</v>
      </c>
      <c r="G315" s="8" t="s">
        <v>221</v>
      </c>
      <c r="I315" s="10">
        <v>0.3</v>
      </c>
      <c r="J315" s="10">
        <v>0.3</v>
      </c>
      <c r="L315" s="10">
        <v>0</v>
      </c>
      <c r="M315" s="13">
        <v>0</v>
      </c>
      <c r="N315" s="13"/>
      <c r="O315" s="10">
        <v>0</v>
      </c>
      <c r="P315" s="10">
        <v>0</v>
      </c>
      <c r="Q315" s="14">
        <v>0</v>
      </c>
      <c r="R315" s="14">
        <v>0</v>
      </c>
      <c r="S315" s="10">
        <v>0</v>
      </c>
      <c r="T315" s="10">
        <v>0</v>
      </c>
      <c r="U315" s="14">
        <v>0</v>
      </c>
      <c r="V315" s="10"/>
      <c r="W315" s="11">
        <v>1</v>
      </c>
      <c r="X315" s="11">
        <v>1</v>
      </c>
      <c r="Y315" s="11">
        <v>0</v>
      </c>
      <c r="Z315" s="11">
        <v>0</v>
      </c>
      <c r="AA315" s="11">
        <f>MasterTable[[#This Row],[Landings
Night]]+MasterTable[[#This Row],[Landings
Day]]</f>
        <v>1</v>
      </c>
      <c r="AB315" s="10">
        <v>0</v>
      </c>
      <c r="AC315" s="10">
        <v>0</v>
      </c>
      <c r="AD315" s="11">
        <v>0</v>
      </c>
      <c r="AE315" s="21">
        <f>SUM(MasterTable[[#This Row],[ILS]:[PAR]])</f>
        <v>0</v>
      </c>
      <c r="AL315" s="11"/>
      <c r="AR315" s="140" t="str">
        <f>_xlfn.XLOOKUP(MasterTable[[#This Row],[Aircraft ID]],Aircraft!A:A,Aircraft!H:H)</f>
        <v>Airplane Single Engine Land</v>
      </c>
      <c r="AS315" s="8" t="b">
        <f>OR((SUM(MasterTable[[#This Row],[ILS]:[PAR]]) = MasterTable[[#This Row],[APPR]]))</f>
        <v>1</v>
      </c>
      <c r="AT315" s="8" t="b">
        <f>NOT(ISBLANK(MasterTable[[#This Row],[Total
Time]]))</f>
        <v>1</v>
      </c>
    </row>
    <row r="316" spans="4:46" ht="28.8" x14ac:dyDescent="0.3">
      <c r="D316" s="22">
        <v>44820</v>
      </c>
      <c r="E316" s="8" t="s">
        <v>139</v>
      </c>
      <c r="F316" s="8" t="s">
        <v>221</v>
      </c>
      <c r="G316" s="8" t="s">
        <v>221</v>
      </c>
      <c r="I316" s="10">
        <v>0.3</v>
      </c>
      <c r="J316" s="10">
        <v>0.3</v>
      </c>
      <c r="L316" s="10">
        <v>0</v>
      </c>
      <c r="M316" s="13">
        <v>0</v>
      </c>
      <c r="N316" s="13"/>
      <c r="O316" s="10">
        <v>0</v>
      </c>
      <c r="P316" s="10">
        <v>0</v>
      </c>
      <c r="Q316" s="14">
        <v>0</v>
      </c>
      <c r="R316" s="14">
        <v>0</v>
      </c>
      <c r="S316" s="10">
        <v>0</v>
      </c>
      <c r="T316" s="10">
        <v>0</v>
      </c>
      <c r="U316" s="14">
        <v>0</v>
      </c>
      <c r="V316" s="10"/>
      <c r="W316" s="11">
        <v>1</v>
      </c>
      <c r="X316" s="11">
        <v>1</v>
      </c>
      <c r="Y316" s="11">
        <v>0</v>
      </c>
      <c r="Z316" s="11">
        <v>0</v>
      </c>
      <c r="AA316" s="11">
        <f>MasterTable[[#This Row],[Landings
Night]]+MasterTable[[#This Row],[Landings
Day]]</f>
        <v>1</v>
      </c>
      <c r="AB316" s="10">
        <v>0</v>
      </c>
      <c r="AC316" s="10">
        <v>0</v>
      </c>
      <c r="AD316" s="11">
        <v>0</v>
      </c>
      <c r="AE316" s="21">
        <f>SUM(MasterTable[[#This Row],[ILS]:[PAR]])</f>
        <v>0</v>
      </c>
      <c r="AL316" s="11"/>
      <c r="AR316" s="140" t="str">
        <f>_xlfn.XLOOKUP(MasterTable[[#This Row],[Aircraft ID]],Aircraft!A:A,Aircraft!H:H)</f>
        <v>Airplane Single Engine Land</v>
      </c>
      <c r="AS316" s="8" t="b">
        <f>OR((SUM(MasterTable[[#This Row],[ILS]:[PAR]]) = MasterTable[[#This Row],[APPR]]))</f>
        <v>1</v>
      </c>
      <c r="AT316" s="8" t="b">
        <f>NOT(ISBLANK(MasterTable[[#This Row],[Total
Time]]))</f>
        <v>1</v>
      </c>
    </row>
    <row r="317" spans="4:46" ht="28.8" x14ac:dyDescent="0.3">
      <c r="D317" s="22">
        <v>44819</v>
      </c>
      <c r="E317" s="8" t="s">
        <v>139</v>
      </c>
      <c r="F317" s="8" t="s">
        <v>221</v>
      </c>
      <c r="G317" s="8" t="s">
        <v>221</v>
      </c>
      <c r="I317" s="10">
        <v>0.3</v>
      </c>
      <c r="J317" s="10">
        <v>0.3</v>
      </c>
      <c r="L317" s="10">
        <v>0</v>
      </c>
      <c r="M317" s="13">
        <v>0</v>
      </c>
      <c r="N317" s="13"/>
      <c r="O317" s="10">
        <v>0</v>
      </c>
      <c r="P317" s="10">
        <v>0</v>
      </c>
      <c r="Q317" s="14">
        <v>0</v>
      </c>
      <c r="R317" s="14">
        <v>0</v>
      </c>
      <c r="S317" s="10">
        <v>0</v>
      </c>
      <c r="T317" s="10">
        <v>0</v>
      </c>
      <c r="U317" s="14">
        <v>0</v>
      </c>
      <c r="V317" s="10"/>
      <c r="W317" s="11">
        <v>1</v>
      </c>
      <c r="X317" s="11">
        <v>1</v>
      </c>
      <c r="Y317" s="11">
        <v>0</v>
      </c>
      <c r="Z317" s="11">
        <v>0</v>
      </c>
      <c r="AA317" s="11">
        <f>MasterTable[[#This Row],[Landings
Night]]+MasterTable[[#This Row],[Landings
Day]]</f>
        <v>1</v>
      </c>
      <c r="AB317" s="10">
        <v>0</v>
      </c>
      <c r="AC317" s="10">
        <v>0</v>
      </c>
      <c r="AD317" s="11">
        <v>0</v>
      </c>
      <c r="AE317" s="21">
        <f>SUM(MasterTable[[#This Row],[ILS]:[PAR]])</f>
        <v>0</v>
      </c>
      <c r="AL317" s="11"/>
      <c r="AR317" s="140" t="str">
        <f>_xlfn.XLOOKUP(MasterTable[[#This Row],[Aircraft ID]],Aircraft!A:A,Aircraft!H:H)</f>
        <v>Airplane Single Engine Land</v>
      </c>
      <c r="AS317" s="8" t="b">
        <f>OR((SUM(MasterTable[[#This Row],[ILS]:[PAR]]) = MasterTable[[#This Row],[APPR]]))</f>
        <v>1</v>
      </c>
      <c r="AT317" s="8" t="b">
        <f>NOT(ISBLANK(MasterTable[[#This Row],[Total
Time]]))</f>
        <v>1</v>
      </c>
    </row>
    <row r="318" spans="4:46" ht="28.8" x14ac:dyDescent="0.3">
      <c r="D318" s="22">
        <v>44818</v>
      </c>
      <c r="E318" s="8" t="s">
        <v>139</v>
      </c>
      <c r="F318" s="8" t="s">
        <v>221</v>
      </c>
      <c r="G318" s="8" t="s">
        <v>221</v>
      </c>
      <c r="I318" s="10">
        <v>0.3</v>
      </c>
      <c r="J318" s="10">
        <v>0.3</v>
      </c>
      <c r="L318" s="10">
        <v>0</v>
      </c>
      <c r="M318" s="13">
        <v>0</v>
      </c>
      <c r="N318" s="13"/>
      <c r="O318" s="10">
        <v>0</v>
      </c>
      <c r="P318" s="10">
        <v>0</v>
      </c>
      <c r="Q318" s="14">
        <v>0</v>
      </c>
      <c r="R318" s="14">
        <v>0</v>
      </c>
      <c r="S318" s="10">
        <v>0</v>
      </c>
      <c r="T318" s="10">
        <v>0</v>
      </c>
      <c r="U318" s="14">
        <v>0</v>
      </c>
      <c r="V318" s="10"/>
      <c r="W318" s="11">
        <v>1</v>
      </c>
      <c r="X318" s="11">
        <v>1</v>
      </c>
      <c r="Y318" s="11">
        <v>0</v>
      </c>
      <c r="Z318" s="11">
        <v>0</v>
      </c>
      <c r="AA318" s="11">
        <f>MasterTable[[#This Row],[Landings
Night]]+MasterTable[[#This Row],[Landings
Day]]</f>
        <v>1</v>
      </c>
      <c r="AB318" s="10">
        <v>0</v>
      </c>
      <c r="AC318" s="10">
        <v>0</v>
      </c>
      <c r="AD318" s="11">
        <v>0</v>
      </c>
      <c r="AE318" s="21">
        <f>SUM(MasterTable[[#This Row],[ILS]:[PAR]])</f>
        <v>0</v>
      </c>
      <c r="AL318" s="11"/>
      <c r="AR318" s="140" t="str">
        <f>_xlfn.XLOOKUP(MasterTable[[#This Row],[Aircraft ID]],Aircraft!A:A,Aircraft!H:H)</f>
        <v>Airplane Single Engine Land</v>
      </c>
      <c r="AS318" s="8" t="b">
        <f>OR((SUM(MasterTable[[#This Row],[ILS]:[PAR]]) = MasterTable[[#This Row],[APPR]]))</f>
        <v>1</v>
      </c>
      <c r="AT318" s="8" t="b">
        <f>NOT(ISBLANK(MasterTable[[#This Row],[Total
Time]]))</f>
        <v>1</v>
      </c>
    </row>
    <row r="319" spans="4:46" ht="28.8" x14ac:dyDescent="0.3">
      <c r="D319" s="22">
        <v>44816</v>
      </c>
      <c r="E319" s="8" t="s">
        <v>139</v>
      </c>
      <c r="F319" s="8" t="s">
        <v>221</v>
      </c>
      <c r="G319" s="8" t="s">
        <v>221</v>
      </c>
      <c r="I319" s="10">
        <v>0.3</v>
      </c>
      <c r="J319" s="10">
        <v>0.3</v>
      </c>
      <c r="L319" s="10">
        <v>0</v>
      </c>
      <c r="M319" s="13">
        <v>0</v>
      </c>
      <c r="N319" s="13"/>
      <c r="O319" s="10">
        <v>0</v>
      </c>
      <c r="P319" s="10">
        <v>0</v>
      </c>
      <c r="Q319" s="14">
        <v>0</v>
      </c>
      <c r="R319" s="14">
        <v>0</v>
      </c>
      <c r="S319" s="10">
        <v>0</v>
      </c>
      <c r="T319" s="10">
        <v>0</v>
      </c>
      <c r="U319" s="14">
        <v>0</v>
      </c>
      <c r="V319" s="10"/>
      <c r="W319" s="11">
        <v>1</v>
      </c>
      <c r="X319" s="11">
        <v>1</v>
      </c>
      <c r="Y319" s="11">
        <v>0</v>
      </c>
      <c r="Z319" s="11">
        <v>0</v>
      </c>
      <c r="AA319" s="11">
        <f>MasterTable[[#This Row],[Landings
Night]]+MasterTable[[#This Row],[Landings
Day]]</f>
        <v>1</v>
      </c>
      <c r="AB319" s="10">
        <v>0</v>
      </c>
      <c r="AC319" s="10">
        <v>0</v>
      </c>
      <c r="AD319" s="11">
        <v>0</v>
      </c>
      <c r="AE319" s="21">
        <f>SUM(MasterTable[[#This Row],[ILS]:[PAR]])</f>
        <v>0</v>
      </c>
      <c r="AL319" s="11"/>
      <c r="AR319" s="140" t="str">
        <f>_xlfn.XLOOKUP(MasterTable[[#This Row],[Aircraft ID]],Aircraft!A:A,Aircraft!H:H)</f>
        <v>Airplane Single Engine Land</v>
      </c>
      <c r="AS319" s="8" t="b">
        <f>OR((SUM(MasterTable[[#This Row],[ILS]:[PAR]]) = MasterTable[[#This Row],[APPR]]))</f>
        <v>1</v>
      </c>
      <c r="AT319" s="8" t="b">
        <f>NOT(ISBLANK(MasterTable[[#This Row],[Total
Time]]))</f>
        <v>1</v>
      </c>
    </row>
    <row r="320" spans="4:46" ht="28.8" x14ac:dyDescent="0.3">
      <c r="D320" s="22">
        <v>44815</v>
      </c>
      <c r="E320" s="8" t="s">
        <v>139</v>
      </c>
      <c r="F320" s="8" t="s">
        <v>221</v>
      </c>
      <c r="G320" s="8" t="s">
        <v>221</v>
      </c>
      <c r="I320" s="10">
        <v>0.4</v>
      </c>
      <c r="J320" s="10">
        <v>0.4</v>
      </c>
      <c r="L320" s="10">
        <v>0</v>
      </c>
      <c r="M320" s="13">
        <v>0</v>
      </c>
      <c r="N320" s="13"/>
      <c r="O320" s="10">
        <v>0</v>
      </c>
      <c r="P320" s="10">
        <v>0</v>
      </c>
      <c r="Q320" s="14">
        <v>0</v>
      </c>
      <c r="R320" s="14">
        <v>0</v>
      </c>
      <c r="S320" s="10">
        <v>0</v>
      </c>
      <c r="T320" s="10">
        <v>0</v>
      </c>
      <c r="U320" s="14">
        <v>0</v>
      </c>
      <c r="V320" s="10"/>
      <c r="W320" s="11">
        <v>1</v>
      </c>
      <c r="X320" s="11">
        <v>1</v>
      </c>
      <c r="Y320" s="11">
        <v>0</v>
      </c>
      <c r="Z320" s="11">
        <v>0</v>
      </c>
      <c r="AA320" s="11">
        <f>MasterTable[[#This Row],[Landings
Night]]+MasterTable[[#This Row],[Landings
Day]]</f>
        <v>1</v>
      </c>
      <c r="AB320" s="10">
        <v>0</v>
      </c>
      <c r="AC320" s="10">
        <v>0</v>
      </c>
      <c r="AD320" s="11">
        <v>0</v>
      </c>
      <c r="AE320" s="21">
        <f>SUM(MasterTable[[#This Row],[ILS]:[PAR]])</f>
        <v>0</v>
      </c>
      <c r="AL320" s="11"/>
      <c r="AR320" s="140" t="str">
        <f>_xlfn.XLOOKUP(MasterTable[[#This Row],[Aircraft ID]],Aircraft!A:A,Aircraft!H:H)</f>
        <v>Airplane Single Engine Land</v>
      </c>
      <c r="AS320" s="8" t="b">
        <f>OR((SUM(MasterTable[[#This Row],[ILS]:[PAR]]) = MasterTable[[#This Row],[APPR]]))</f>
        <v>1</v>
      </c>
      <c r="AT320" s="8" t="b">
        <f>NOT(ISBLANK(MasterTable[[#This Row],[Total
Time]]))</f>
        <v>1</v>
      </c>
    </row>
    <row r="321" spans="4:46" ht="28.8" x14ac:dyDescent="0.3">
      <c r="D321" s="22">
        <v>44813</v>
      </c>
      <c r="E321" s="8" t="s">
        <v>139</v>
      </c>
      <c r="F321" s="8" t="s">
        <v>206</v>
      </c>
      <c r="G321" s="8" t="s">
        <v>221</v>
      </c>
      <c r="H321" s="8" t="s">
        <v>230</v>
      </c>
      <c r="I321" s="10">
        <v>2.7</v>
      </c>
      <c r="J321" s="10">
        <v>2.7</v>
      </c>
      <c r="L321" s="10">
        <v>0</v>
      </c>
      <c r="M321" s="13">
        <v>0</v>
      </c>
      <c r="N321" s="13"/>
      <c r="O321" s="10">
        <v>0</v>
      </c>
      <c r="P321" s="10">
        <v>0</v>
      </c>
      <c r="Q321" s="14">
        <v>0</v>
      </c>
      <c r="R321" s="14">
        <v>0</v>
      </c>
      <c r="S321" s="10">
        <v>0</v>
      </c>
      <c r="T321" s="10">
        <v>2.7</v>
      </c>
      <c r="U321" s="14">
        <v>0</v>
      </c>
      <c r="V321" s="10">
        <v>2.7</v>
      </c>
      <c r="W321" s="11">
        <v>3</v>
      </c>
      <c r="X321" s="11">
        <v>3</v>
      </c>
      <c r="Y321" s="11">
        <v>0</v>
      </c>
      <c r="Z321" s="11">
        <v>0</v>
      </c>
      <c r="AA321" s="11">
        <f>MasterTable[[#This Row],[Landings
Night]]+MasterTable[[#This Row],[Landings
Day]]</f>
        <v>3</v>
      </c>
      <c r="AB321" s="10">
        <v>0</v>
      </c>
      <c r="AC321" s="10">
        <v>0</v>
      </c>
      <c r="AD321" s="11">
        <v>0</v>
      </c>
      <c r="AE321" s="21">
        <f>SUM(MasterTable[[#This Row],[ILS]:[PAR]])</f>
        <v>0</v>
      </c>
      <c r="AL321" s="11"/>
      <c r="AR321" s="140" t="str">
        <f>_xlfn.XLOOKUP(MasterTable[[#This Row],[Aircraft ID]],Aircraft!A:A,Aircraft!H:H)</f>
        <v>Airplane Single Engine Land</v>
      </c>
      <c r="AS321" s="8" t="b">
        <f>OR((SUM(MasterTable[[#This Row],[ILS]:[PAR]]) = MasterTable[[#This Row],[APPR]]))</f>
        <v>1</v>
      </c>
      <c r="AT321" s="8" t="b">
        <f>NOT(ISBLANK(MasterTable[[#This Row],[Total
Time]]))</f>
        <v>1</v>
      </c>
    </row>
    <row r="322" spans="4:46" ht="28.8" x14ac:dyDescent="0.3">
      <c r="D322" s="22">
        <v>44811</v>
      </c>
      <c r="E322" s="8" t="s">
        <v>139</v>
      </c>
      <c r="F322" s="8" t="s">
        <v>206</v>
      </c>
      <c r="G322" s="8" t="s">
        <v>206</v>
      </c>
      <c r="I322" s="10">
        <v>1</v>
      </c>
      <c r="J322" s="10">
        <v>1</v>
      </c>
      <c r="L322" s="10">
        <v>0</v>
      </c>
      <c r="M322" s="13">
        <v>0</v>
      </c>
      <c r="N322" s="13"/>
      <c r="O322" s="10">
        <v>0</v>
      </c>
      <c r="P322" s="10">
        <v>0</v>
      </c>
      <c r="Q322" s="14">
        <v>0</v>
      </c>
      <c r="R322" s="14">
        <v>0</v>
      </c>
      <c r="S322" s="10">
        <v>0</v>
      </c>
      <c r="T322" s="10">
        <v>0</v>
      </c>
      <c r="U322" s="14">
        <v>0</v>
      </c>
      <c r="V322" s="10"/>
      <c r="W322" s="11">
        <v>1</v>
      </c>
      <c r="X322" s="11">
        <v>1</v>
      </c>
      <c r="Y322" s="11">
        <v>0</v>
      </c>
      <c r="Z322" s="11">
        <v>0</v>
      </c>
      <c r="AA322" s="11">
        <f>MasterTable[[#This Row],[Landings
Night]]+MasterTable[[#This Row],[Landings
Day]]</f>
        <v>1</v>
      </c>
      <c r="AB322" s="10">
        <v>0</v>
      </c>
      <c r="AC322" s="10">
        <v>0</v>
      </c>
      <c r="AD322" s="11">
        <v>0</v>
      </c>
      <c r="AE322" s="21">
        <f>SUM(MasterTable[[#This Row],[ILS]:[PAR]])</f>
        <v>0</v>
      </c>
      <c r="AL322" s="11"/>
      <c r="AR322" s="140" t="str">
        <f>_xlfn.XLOOKUP(MasterTable[[#This Row],[Aircraft ID]],Aircraft!A:A,Aircraft!H:H)</f>
        <v>Airplane Single Engine Land</v>
      </c>
      <c r="AS322" s="8" t="b">
        <f>OR((SUM(MasterTable[[#This Row],[ILS]:[PAR]]) = MasterTable[[#This Row],[APPR]]))</f>
        <v>1</v>
      </c>
      <c r="AT322" s="8" t="b">
        <f>NOT(ISBLANK(MasterTable[[#This Row],[Total
Time]]))</f>
        <v>1</v>
      </c>
    </row>
    <row r="323" spans="4:46" ht="28.8" x14ac:dyDescent="0.3">
      <c r="D323" s="22">
        <v>44808</v>
      </c>
      <c r="E323" s="8" t="s">
        <v>139</v>
      </c>
      <c r="F323" s="8" t="s">
        <v>206</v>
      </c>
      <c r="G323" s="8" t="s">
        <v>206</v>
      </c>
      <c r="I323" s="10">
        <v>0.3</v>
      </c>
      <c r="J323" s="10">
        <v>0.3</v>
      </c>
      <c r="L323" s="10">
        <v>0</v>
      </c>
      <c r="M323" s="13">
        <v>0</v>
      </c>
      <c r="N323" s="13"/>
      <c r="O323" s="10">
        <v>0</v>
      </c>
      <c r="P323" s="10">
        <v>0</v>
      </c>
      <c r="Q323" s="14">
        <v>0</v>
      </c>
      <c r="R323" s="14">
        <v>0</v>
      </c>
      <c r="S323" s="10">
        <v>0</v>
      </c>
      <c r="T323" s="10">
        <v>0</v>
      </c>
      <c r="U323" s="14">
        <v>0</v>
      </c>
      <c r="V323" s="10"/>
      <c r="W323" s="11">
        <v>1</v>
      </c>
      <c r="X323" s="11">
        <v>1</v>
      </c>
      <c r="Y323" s="11">
        <v>0</v>
      </c>
      <c r="Z323" s="11">
        <v>0</v>
      </c>
      <c r="AA323" s="11">
        <f>MasterTable[[#This Row],[Landings
Night]]+MasterTable[[#This Row],[Landings
Day]]</f>
        <v>1</v>
      </c>
      <c r="AB323" s="10">
        <v>0</v>
      </c>
      <c r="AC323" s="10">
        <v>0</v>
      </c>
      <c r="AD323" s="11">
        <v>0</v>
      </c>
      <c r="AE323" s="21">
        <f>SUM(MasterTable[[#This Row],[ILS]:[PAR]])</f>
        <v>0</v>
      </c>
      <c r="AL323" s="11"/>
      <c r="AR323" s="140" t="str">
        <f>_xlfn.XLOOKUP(MasterTable[[#This Row],[Aircraft ID]],Aircraft!A:A,Aircraft!H:H)</f>
        <v>Airplane Single Engine Land</v>
      </c>
      <c r="AS323" s="8" t="b">
        <f>OR((SUM(MasterTable[[#This Row],[ILS]:[PAR]]) = MasterTable[[#This Row],[APPR]]))</f>
        <v>1</v>
      </c>
      <c r="AT323" s="8" t="b">
        <f>NOT(ISBLANK(MasterTable[[#This Row],[Total
Time]]))</f>
        <v>1</v>
      </c>
    </row>
    <row r="324" spans="4:46" ht="28.8" x14ac:dyDescent="0.3">
      <c r="D324" s="22">
        <v>44808</v>
      </c>
      <c r="E324" s="8" t="s">
        <v>139</v>
      </c>
      <c r="F324" s="8" t="s">
        <v>206</v>
      </c>
      <c r="G324" s="8" t="s">
        <v>206</v>
      </c>
      <c r="I324" s="10">
        <v>0.4</v>
      </c>
      <c r="J324" s="10">
        <v>0.4</v>
      </c>
      <c r="L324" s="10">
        <v>0</v>
      </c>
      <c r="M324" s="13">
        <v>0</v>
      </c>
      <c r="N324" s="13"/>
      <c r="O324" s="10">
        <v>0</v>
      </c>
      <c r="P324" s="10">
        <v>0</v>
      </c>
      <c r="Q324" s="14">
        <v>0</v>
      </c>
      <c r="R324" s="14">
        <v>0</v>
      </c>
      <c r="S324" s="10">
        <v>0</v>
      </c>
      <c r="T324" s="10">
        <v>0</v>
      </c>
      <c r="U324" s="14">
        <v>0</v>
      </c>
      <c r="V324" s="10"/>
      <c r="W324" s="11">
        <v>1</v>
      </c>
      <c r="X324" s="11">
        <v>1</v>
      </c>
      <c r="Y324" s="11">
        <v>0</v>
      </c>
      <c r="Z324" s="11">
        <v>0</v>
      </c>
      <c r="AA324" s="11">
        <f>MasterTable[[#This Row],[Landings
Night]]+MasterTable[[#This Row],[Landings
Day]]</f>
        <v>1</v>
      </c>
      <c r="AB324" s="10">
        <v>0</v>
      </c>
      <c r="AC324" s="10">
        <v>0</v>
      </c>
      <c r="AD324" s="11">
        <v>0</v>
      </c>
      <c r="AE324" s="21">
        <f>SUM(MasterTable[[#This Row],[ILS]:[PAR]])</f>
        <v>0</v>
      </c>
      <c r="AL324" s="11"/>
      <c r="AR324" s="140" t="str">
        <f>_xlfn.XLOOKUP(MasterTable[[#This Row],[Aircraft ID]],Aircraft!A:A,Aircraft!H:H)</f>
        <v>Airplane Single Engine Land</v>
      </c>
      <c r="AS324" s="8" t="b">
        <f>OR((SUM(MasterTable[[#This Row],[ILS]:[PAR]]) = MasterTable[[#This Row],[APPR]]))</f>
        <v>1</v>
      </c>
      <c r="AT324" s="8" t="b">
        <f>NOT(ISBLANK(MasterTable[[#This Row],[Total
Time]]))</f>
        <v>1</v>
      </c>
    </row>
    <row r="325" spans="4:46" ht="28.8" x14ac:dyDescent="0.3">
      <c r="D325" s="22">
        <v>44807</v>
      </c>
      <c r="E325" s="8" t="s">
        <v>139</v>
      </c>
      <c r="F325" s="8" t="s">
        <v>206</v>
      </c>
      <c r="G325" s="8" t="s">
        <v>206</v>
      </c>
      <c r="I325" s="10">
        <v>0.6</v>
      </c>
      <c r="J325" s="10">
        <v>0.6</v>
      </c>
      <c r="L325" s="10">
        <v>0</v>
      </c>
      <c r="M325" s="13">
        <v>0</v>
      </c>
      <c r="N325" s="13"/>
      <c r="O325" s="10">
        <v>0</v>
      </c>
      <c r="P325" s="10">
        <v>0</v>
      </c>
      <c r="Q325" s="14">
        <v>0</v>
      </c>
      <c r="R325" s="14">
        <v>0</v>
      </c>
      <c r="S325" s="10">
        <v>0</v>
      </c>
      <c r="T325" s="10">
        <v>0</v>
      </c>
      <c r="U325" s="14">
        <v>0</v>
      </c>
      <c r="V325" s="10"/>
      <c r="W325" s="11">
        <v>2</v>
      </c>
      <c r="X325" s="11">
        <v>2</v>
      </c>
      <c r="Y325" s="11">
        <v>0</v>
      </c>
      <c r="Z325" s="11">
        <v>0</v>
      </c>
      <c r="AA325" s="11">
        <f>MasterTable[[#This Row],[Landings
Night]]+MasterTable[[#This Row],[Landings
Day]]</f>
        <v>2</v>
      </c>
      <c r="AB325" s="10">
        <v>0</v>
      </c>
      <c r="AC325" s="10">
        <v>0</v>
      </c>
      <c r="AD325" s="11">
        <v>0</v>
      </c>
      <c r="AE325" s="21">
        <f>SUM(MasterTable[[#This Row],[ILS]:[PAR]])</f>
        <v>0</v>
      </c>
      <c r="AL325" s="11"/>
      <c r="AR325" s="140" t="str">
        <f>_xlfn.XLOOKUP(MasterTable[[#This Row],[Aircraft ID]],Aircraft!A:A,Aircraft!H:H)</f>
        <v>Airplane Single Engine Land</v>
      </c>
      <c r="AS325" s="8" t="b">
        <f>OR((SUM(MasterTable[[#This Row],[ILS]:[PAR]]) = MasterTable[[#This Row],[APPR]]))</f>
        <v>1</v>
      </c>
      <c r="AT325" s="8" t="b">
        <f>NOT(ISBLANK(MasterTable[[#This Row],[Total
Time]]))</f>
        <v>1</v>
      </c>
    </row>
    <row r="326" spans="4:46" ht="28.8" x14ac:dyDescent="0.3">
      <c r="D326" s="22">
        <v>44806</v>
      </c>
      <c r="E326" s="8" t="s">
        <v>139</v>
      </c>
      <c r="F326" s="8" t="s">
        <v>206</v>
      </c>
      <c r="G326" s="8" t="s">
        <v>206</v>
      </c>
      <c r="I326" s="10">
        <v>0.6</v>
      </c>
      <c r="J326" s="10">
        <v>0.6</v>
      </c>
      <c r="L326" s="10">
        <v>0</v>
      </c>
      <c r="M326" s="13">
        <v>0</v>
      </c>
      <c r="N326" s="13"/>
      <c r="O326" s="10">
        <v>0</v>
      </c>
      <c r="P326" s="10">
        <v>0</v>
      </c>
      <c r="Q326" s="14">
        <v>0</v>
      </c>
      <c r="R326" s="14">
        <v>0</v>
      </c>
      <c r="S326" s="10">
        <v>0</v>
      </c>
      <c r="T326" s="10">
        <v>0</v>
      </c>
      <c r="U326" s="14">
        <v>0</v>
      </c>
      <c r="V326" s="10"/>
      <c r="W326" s="11">
        <v>2</v>
      </c>
      <c r="X326" s="11">
        <v>2</v>
      </c>
      <c r="Y326" s="11">
        <v>0</v>
      </c>
      <c r="Z326" s="11">
        <v>0</v>
      </c>
      <c r="AA326" s="11">
        <f>MasterTable[[#This Row],[Landings
Night]]+MasterTable[[#This Row],[Landings
Day]]</f>
        <v>2</v>
      </c>
      <c r="AB326" s="10">
        <v>0</v>
      </c>
      <c r="AC326" s="10">
        <v>0</v>
      </c>
      <c r="AD326" s="11">
        <v>0</v>
      </c>
      <c r="AE326" s="21">
        <f>SUM(MasterTable[[#This Row],[ILS]:[PAR]])</f>
        <v>0</v>
      </c>
      <c r="AL326" s="11"/>
      <c r="AR326" s="140" t="str">
        <f>_xlfn.XLOOKUP(MasterTable[[#This Row],[Aircraft ID]],Aircraft!A:A,Aircraft!H:H)</f>
        <v>Airplane Single Engine Land</v>
      </c>
      <c r="AS326" s="8" t="b">
        <f>OR((SUM(MasterTable[[#This Row],[ILS]:[PAR]]) = MasterTable[[#This Row],[APPR]]))</f>
        <v>1</v>
      </c>
      <c r="AT326" s="8" t="b">
        <f>NOT(ISBLANK(MasterTable[[#This Row],[Total
Time]]))</f>
        <v>1</v>
      </c>
    </row>
    <row r="327" spans="4:46" ht="28.8" x14ac:dyDescent="0.3">
      <c r="D327" s="22">
        <v>44806</v>
      </c>
      <c r="E327" s="8" t="s">
        <v>174</v>
      </c>
      <c r="F327" s="8" t="s">
        <v>206</v>
      </c>
      <c r="G327" s="8" t="s">
        <v>231</v>
      </c>
      <c r="I327" s="10">
        <v>2</v>
      </c>
      <c r="J327" s="10">
        <v>2</v>
      </c>
      <c r="L327" s="10">
        <v>0</v>
      </c>
      <c r="M327" s="13">
        <v>0</v>
      </c>
      <c r="N327" s="13"/>
      <c r="O327" s="10">
        <v>0</v>
      </c>
      <c r="P327" s="10">
        <v>0</v>
      </c>
      <c r="Q327" s="14">
        <v>0</v>
      </c>
      <c r="R327" s="14">
        <v>0</v>
      </c>
      <c r="S327" s="10">
        <v>0</v>
      </c>
      <c r="T327" s="10">
        <v>2</v>
      </c>
      <c r="U327" s="14">
        <v>0</v>
      </c>
      <c r="V327" s="10"/>
      <c r="W327" s="11">
        <v>2</v>
      </c>
      <c r="X327" s="11">
        <v>2</v>
      </c>
      <c r="Y327" s="11">
        <v>0</v>
      </c>
      <c r="Z327" s="11">
        <v>0</v>
      </c>
      <c r="AA327" s="11">
        <f>MasterTable[[#This Row],[Landings
Night]]+MasterTable[[#This Row],[Landings
Day]]</f>
        <v>2</v>
      </c>
      <c r="AB327" s="10">
        <v>0</v>
      </c>
      <c r="AC327" s="10">
        <v>0</v>
      </c>
      <c r="AD327" s="11">
        <v>0</v>
      </c>
      <c r="AE327" s="21">
        <f>SUM(MasterTable[[#This Row],[ILS]:[PAR]])</f>
        <v>0</v>
      </c>
      <c r="AL327" s="11"/>
      <c r="AR327" s="140" t="str">
        <f>_xlfn.XLOOKUP(MasterTable[[#This Row],[Aircraft ID]],Aircraft!A:A,Aircraft!H:H)</f>
        <v>Airplane Single Engine Land</v>
      </c>
      <c r="AS327" s="8" t="b">
        <f>OR((SUM(MasterTable[[#This Row],[ILS]:[PAR]]) = MasterTable[[#This Row],[APPR]]))</f>
        <v>1</v>
      </c>
      <c r="AT327" s="8" t="b">
        <f>NOT(ISBLANK(MasterTable[[#This Row],[Total
Time]]))</f>
        <v>1</v>
      </c>
    </row>
    <row r="328" spans="4:46" ht="28.8" x14ac:dyDescent="0.3">
      <c r="D328" s="22">
        <v>44804</v>
      </c>
      <c r="E328" s="8" t="s">
        <v>139</v>
      </c>
      <c r="F328" s="8" t="s">
        <v>206</v>
      </c>
      <c r="G328" s="8" t="s">
        <v>206</v>
      </c>
      <c r="I328" s="10">
        <v>1.2</v>
      </c>
      <c r="J328" s="10">
        <v>1.2</v>
      </c>
      <c r="L328" s="10">
        <v>0</v>
      </c>
      <c r="M328" s="13">
        <v>0</v>
      </c>
      <c r="N328" s="13"/>
      <c r="O328" s="10">
        <v>0</v>
      </c>
      <c r="P328" s="10">
        <v>0</v>
      </c>
      <c r="Q328" s="14">
        <v>0</v>
      </c>
      <c r="R328" s="14">
        <v>0</v>
      </c>
      <c r="S328" s="10">
        <v>0</v>
      </c>
      <c r="T328" s="10">
        <v>0</v>
      </c>
      <c r="U328" s="14">
        <v>0</v>
      </c>
      <c r="V328" s="10">
        <v>1</v>
      </c>
      <c r="W328" s="11">
        <v>1</v>
      </c>
      <c r="X328" s="11">
        <v>1</v>
      </c>
      <c r="Y328" s="11">
        <v>0</v>
      </c>
      <c r="Z328" s="11">
        <v>0</v>
      </c>
      <c r="AA328" s="11">
        <f>MasterTable[[#This Row],[Landings
Night]]+MasterTable[[#This Row],[Landings
Day]]</f>
        <v>1</v>
      </c>
      <c r="AB328" s="10">
        <v>0</v>
      </c>
      <c r="AC328" s="10">
        <v>0</v>
      </c>
      <c r="AD328" s="11">
        <v>0</v>
      </c>
      <c r="AE328" s="21">
        <f>SUM(MasterTable[[#This Row],[ILS]:[PAR]])</f>
        <v>0</v>
      </c>
      <c r="AL328" s="11"/>
      <c r="AR328" s="140" t="str">
        <f>_xlfn.XLOOKUP(MasterTable[[#This Row],[Aircraft ID]],Aircraft!A:A,Aircraft!H:H)</f>
        <v>Airplane Single Engine Land</v>
      </c>
      <c r="AS328" s="8" t="b">
        <f>OR((SUM(MasterTable[[#This Row],[ILS]:[PAR]]) = MasterTable[[#This Row],[APPR]]))</f>
        <v>1</v>
      </c>
      <c r="AT328" s="8" t="b">
        <f>NOT(ISBLANK(MasterTable[[#This Row],[Total
Time]]))</f>
        <v>1</v>
      </c>
    </row>
    <row r="329" spans="4:46" ht="28.8" x14ac:dyDescent="0.3">
      <c r="D329" s="22">
        <v>44801</v>
      </c>
      <c r="E329" s="8" t="s">
        <v>139</v>
      </c>
      <c r="F329" s="8" t="s">
        <v>206</v>
      </c>
      <c r="G329" s="8" t="s">
        <v>206</v>
      </c>
      <c r="I329" s="10">
        <v>0.2</v>
      </c>
      <c r="J329" s="10">
        <v>0.2</v>
      </c>
      <c r="L329" s="10">
        <v>0</v>
      </c>
      <c r="M329" s="13">
        <v>0</v>
      </c>
      <c r="N329" s="13"/>
      <c r="O329" s="10">
        <v>0</v>
      </c>
      <c r="P329" s="10">
        <v>0</v>
      </c>
      <c r="Q329" s="14">
        <v>0</v>
      </c>
      <c r="R329" s="14">
        <v>0</v>
      </c>
      <c r="S329" s="10">
        <v>0</v>
      </c>
      <c r="T329" s="10">
        <v>0</v>
      </c>
      <c r="U329" s="14">
        <v>0</v>
      </c>
      <c r="V329" s="10"/>
      <c r="W329" s="11">
        <v>1</v>
      </c>
      <c r="X329" s="11">
        <v>1</v>
      </c>
      <c r="Y329" s="11">
        <v>0</v>
      </c>
      <c r="Z329" s="11">
        <v>0</v>
      </c>
      <c r="AA329" s="11">
        <f>MasterTable[[#This Row],[Landings
Night]]+MasterTable[[#This Row],[Landings
Day]]</f>
        <v>1</v>
      </c>
      <c r="AB329" s="10">
        <v>0</v>
      </c>
      <c r="AC329" s="10">
        <v>0</v>
      </c>
      <c r="AD329" s="11">
        <v>0</v>
      </c>
      <c r="AE329" s="21">
        <f>SUM(MasterTable[[#This Row],[ILS]:[PAR]])</f>
        <v>0</v>
      </c>
      <c r="AL329" s="11"/>
      <c r="AR329" s="140" t="str">
        <f>_xlfn.XLOOKUP(MasterTable[[#This Row],[Aircraft ID]],Aircraft!A:A,Aircraft!H:H)</f>
        <v>Airplane Single Engine Land</v>
      </c>
      <c r="AS329" s="8" t="b">
        <f>OR((SUM(MasterTable[[#This Row],[ILS]:[PAR]]) = MasterTable[[#This Row],[APPR]]))</f>
        <v>1</v>
      </c>
      <c r="AT329" s="8" t="b">
        <f>NOT(ISBLANK(MasterTable[[#This Row],[Total
Time]]))</f>
        <v>1</v>
      </c>
    </row>
    <row r="330" spans="4:46" ht="28.8" x14ac:dyDescent="0.3">
      <c r="D330" s="22">
        <v>44801</v>
      </c>
      <c r="E330" s="8" t="s">
        <v>139</v>
      </c>
      <c r="F330" s="8" t="s">
        <v>206</v>
      </c>
      <c r="G330" s="8" t="s">
        <v>206</v>
      </c>
      <c r="I330" s="10">
        <v>0.5</v>
      </c>
      <c r="J330" s="10">
        <v>0.5</v>
      </c>
      <c r="L330" s="10">
        <v>0</v>
      </c>
      <c r="M330" s="13">
        <v>0</v>
      </c>
      <c r="N330" s="13"/>
      <c r="O330" s="10">
        <v>0</v>
      </c>
      <c r="P330" s="10">
        <v>0</v>
      </c>
      <c r="Q330" s="14">
        <v>0</v>
      </c>
      <c r="R330" s="14">
        <v>0</v>
      </c>
      <c r="S330" s="10">
        <v>0</v>
      </c>
      <c r="T330" s="10">
        <v>0</v>
      </c>
      <c r="U330" s="14">
        <v>0</v>
      </c>
      <c r="V330" s="10"/>
      <c r="W330" s="11">
        <v>1</v>
      </c>
      <c r="X330" s="11">
        <v>1</v>
      </c>
      <c r="Y330" s="11">
        <v>0</v>
      </c>
      <c r="Z330" s="11">
        <v>0</v>
      </c>
      <c r="AA330" s="11">
        <f>MasterTable[[#This Row],[Landings
Night]]+MasterTable[[#This Row],[Landings
Day]]</f>
        <v>1</v>
      </c>
      <c r="AB330" s="10">
        <v>0</v>
      </c>
      <c r="AC330" s="10">
        <v>0</v>
      </c>
      <c r="AD330" s="11">
        <v>0</v>
      </c>
      <c r="AE330" s="21">
        <f>SUM(MasterTable[[#This Row],[ILS]:[PAR]])</f>
        <v>0</v>
      </c>
      <c r="AL330" s="11"/>
      <c r="AR330" s="140" t="str">
        <f>_xlfn.XLOOKUP(MasterTable[[#This Row],[Aircraft ID]],Aircraft!A:A,Aircraft!H:H)</f>
        <v>Airplane Single Engine Land</v>
      </c>
      <c r="AS330" s="8" t="b">
        <f>OR((SUM(MasterTable[[#This Row],[ILS]:[PAR]]) = MasterTable[[#This Row],[APPR]]))</f>
        <v>1</v>
      </c>
      <c r="AT330" s="8" t="b">
        <f>NOT(ISBLANK(MasterTable[[#This Row],[Total
Time]]))</f>
        <v>1</v>
      </c>
    </row>
    <row r="331" spans="4:46" ht="28.8" x14ac:dyDescent="0.3">
      <c r="D331" s="22">
        <v>44800</v>
      </c>
      <c r="E331" s="8" t="s">
        <v>106</v>
      </c>
      <c r="F331" s="8" t="s">
        <v>206</v>
      </c>
      <c r="G331" s="8" t="s">
        <v>207</v>
      </c>
      <c r="I331" s="10">
        <v>1.2</v>
      </c>
      <c r="J331" s="10">
        <v>1.2</v>
      </c>
      <c r="L331" s="10">
        <v>0</v>
      </c>
      <c r="M331" s="13">
        <v>0</v>
      </c>
      <c r="N331" s="13"/>
      <c r="O331" s="10">
        <v>1.2</v>
      </c>
      <c r="P331" s="10">
        <v>0</v>
      </c>
      <c r="Q331" s="14">
        <v>0</v>
      </c>
      <c r="R331" s="14">
        <v>0</v>
      </c>
      <c r="S331" s="10">
        <v>0</v>
      </c>
      <c r="T331" s="10">
        <v>0</v>
      </c>
      <c r="U331" s="14">
        <v>0</v>
      </c>
      <c r="V331" s="10"/>
      <c r="W331" s="11">
        <v>1</v>
      </c>
      <c r="X331" s="11">
        <v>1</v>
      </c>
      <c r="Y331" s="11">
        <v>0</v>
      </c>
      <c r="Z331" s="11">
        <v>0</v>
      </c>
      <c r="AA331" s="11">
        <f>MasterTable[[#This Row],[Landings
Night]]+MasterTable[[#This Row],[Landings
Day]]</f>
        <v>1</v>
      </c>
      <c r="AB331" s="10">
        <v>0</v>
      </c>
      <c r="AC331" s="10">
        <v>0</v>
      </c>
      <c r="AD331" s="11">
        <v>0</v>
      </c>
      <c r="AE331" s="21">
        <f>SUM(MasterTable[[#This Row],[ILS]:[PAR]])</f>
        <v>0</v>
      </c>
      <c r="AL331" s="11"/>
      <c r="AR331" s="140" t="str">
        <f>_xlfn.XLOOKUP(MasterTable[[#This Row],[Aircraft ID]],Aircraft!A:A,Aircraft!H:H)</f>
        <v>Airplane Single Engine Land</v>
      </c>
      <c r="AS331" s="8" t="b">
        <f>OR((SUM(MasterTable[[#This Row],[ILS]:[PAR]]) = MasterTable[[#This Row],[APPR]]))</f>
        <v>1</v>
      </c>
      <c r="AT331" s="8" t="b">
        <f>NOT(ISBLANK(MasterTable[[#This Row],[Total
Time]]))</f>
        <v>1</v>
      </c>
    </row>
    <row r="332" spans="4:46" ht="28.8" x14ac:dyDescent="0.3">
      <c r="D332" s="22">
        <v>44800</v>
      </c>
      <c r="E332" s="8" t="s">
        <v>174</v>
      </c>
      <c r="F332" s="8" t="s">
        <v>206</v>
      </c>
      <c r="G332" s="8" t="s">
        <v>232</v>
      </c>
      <c r="I332" s="10">
        <v>2</v>
      </c>
      <c r="J332" s="10">
        <v>2</v>
      </c>
      <c r="L332" s="10">
        <v>0</v>
      </c>
      <c r="M332" s="13">
        <v>0</v>
      </c>
      <c r="N332" s="13"/>
      <c r="O332" s="10">
        <v>0</v>
      </c>
      <c r="P332" s="10">
        <v>0</v>
      </c>
      <c r="Q332" s="14">
        <v>0</v>
      </c>
      <c r="R332" s="14">
        <v>0</v>
      </c>
      <c r="S332" s="10">
        <v>0</v>
      </c>
      <c r="T332" s="10">
        <v>2</v>
      </c>
      <c r="U332" s="14">
        <v>0</v>
      </c>
      <c r="V332" s="10"/>
      <c r="W332" s="11">
        <v>2</v>
      </c>
      <c r="X332" s="11">
        <v>2</v>
      </c>
      <c r="Y332" s="11">
        <v>0</v>
      </c>
      <c r="Z332" s="11">
        <v>0</v>
      </c>
      <c r="AA332" s="11">
        <f>MasterTable[[#This Row],[Landings
Night]]+MasterTable[[#This Row],[Landings
Day]]</f>
        <v>2</v>
      </c>
      <c r="AB332" s="10">
        <v>0</v>
      </c>
      <c r="AC332" s="10">
        <v>0</v>
      </c>
      <c r="AD332" s="11">
        <v>0</v>
      </c>
      <c r="AE332" s="21">
        <f>SUM(MasterTable[[#This Row],[ILS]:[PAR]])</f>
        <v>0</v>
      </c>
      <c r="AL332" s="11"/>
      <c r="AR332" s="140" t="str">
        <f>_xlfn.XLOOKUP(MasterTable[[#This Row],[Aircraft ID]],Aircraft!A:A,Aircraft!H:H)</f>
        <v>Airplane Single Engine Land</v>
      </c>
      <c r="AS332" s="8" t="b">
        <f>OR((SUM(MasterTable[[#This Row],[ILS]:[PAR]]) = MasterTable[[#This Row],[APPR]]))</f>
        <v>1</v>
      </c>
      <c r="AT332" s="8" t="b">
        <f>NOT(ISBLANK(MasterTable[[#This Row],[Total
Time]]))</f>
        <v>1</v>
      </c>
    </row>
    <row r="333" spans="4:46" ht="28.8" x14ac:dyDescent="0.3">
      <c r="D333" s="22">
        <v>44800</v>
      </c>
      <c r="E333" s="8" t="s">
        <v>139</v>
      </c>
      <c r="F333" s="8" t="s">
        <v>206</v>
      </c>
      <c r="G333" s="8" t="s">
        <v>206</v>
      </c>
      <c r="I333" s="10">
        <v>0.5</v>
      </c>
      <c r="J333" s="10">
        <v>0.5</v>
      </c>
      <c r="L333" s="10">
        <v>0</v>
      </c>
      <c r="M333" s="13">
        <v>0</v>
      </c>
      <c r="N333" s="13"/>
      <c r="O333" s="10">
        <v>0</v>
      </c>
      <c r="P333" s="10">
        <v>0</v>
      </c>
      <c r="Q333" s="14">
        <v>0</v>
      </c>
      <c r="R333" s="14">
        <v>0</v>
      </c>
      <c r="S333" s="10">
        <v>0</v>
      </c>
      <c r="T333" s="10">
        <v>0</v>
      </c>
      <c r="U333" s="14">
        <v>0</v>
      </c>
      <c r="V333" s="10"/>
      <c r="W333" s="11">
        <v>1</v>
      </c>
      <c r="X333" s="11">
        <v>1</v>
      </c>
      <c r="Y333" s="11">
        <v>0</v>
      </c>
      <c r="Z333" s="11">
        <v>0</v>
      </c>
      <c r="AA333" s="11">
        <f>MasterTable[[#This Row],[Landings
Night]]+MasterTable[[#This Row],[Landings
Day]]</f>
        <v>1</v>
      </c>
      <c r="AB333" s="10">
        <v>0</v>
      </c>
      <c r="AC333" s="10">
        <v>0</v>
      </c>
      <c r="AD333" s="11">
        <v>0</v>
      </c>
      <c r="AE333" s="21">
        <f>SUM(MasterTable[[#This Row],[ILS]:[PAR]])</f>
        <v>0</v>
      </c>
      <c r="AL333" s="11"/>
      <c r="AR333" s="140" t="str">
        <f>_xlfn.XLOOKUP(MasterTable[[#This Row],[Aircraft ID]],Aircraft!A:A,Aircraft!H:H)</f>
        <v>Airplane Single Engine Land</v>
      </c>
      <c r="AS333" s="8" t="b">
        <f>OR((SUM(MasterTable[[#This Row],[ILS]:[PAR]]) = MasterTable[[#This Row],[APPR]]))</f>
        <v>1</v>
      </c>
      <c r="AT333" s="8" t="b">
        <f>NOT(ISBLANK(MasterTable[[#This Row],[Total
Time]]))</f>
        <v>1</v>
      </c>
    </row>
    <row r="334" spans="4:46" ht="28.8" x14ac:dyDescent="0.3">
      <c r="D334" s="22">
        <v>44787</v>
      </c>
      <c r="E334" s="8" t="s">
        <v>139</v>
      </c>
      <c r="F334" s="8" t="s">
        <v>207</v>
      </c>
      <c r="G334" s="8" t="s">
        <v>206</v>
      </c>
      <c r="I334" s="10">
        <v>0.3</v>
      </c>
      <c r="J334" s="10">
        <v>0.3</v>
      </c>
      <c r="L334" s="10">
        <v>0</v>
      </c>
      <c r="M334" s="13">
        <v>0</v>
      </c>
      <c r="N334" s="13"/>
      <c r="O334" s="10">
        <v>0</v>
      </c>
      <c r="P334" s="10">
        <v>0</v>
      </c>
      <c r="Q334" s="14">
        <v>0</v>
      </c>
      <c r="R334" s="14">
        <v>0</v>
      </c>
      <c r="S334" s="10">
        <v>0</v>
      </c>
      <c r="T334" s="10">
        <v>0</v>
      </c>
      <c r="U334" s="14">
        <v>0</v>
      </c>
      <c r="V334" s="10"/>
      <c r="W334" s="11">
        <v>1</v>
      </c>
      <c r="X334" s="11">
        <v>1</v>
      </c>
      <c r="Y334" s="11">
        <v>0</v>
      </c>
      <c r="Z334" s="11">
        <v>0</v>
      </c>
      <c r="AA334" s="11">
        <f>MasterTable[[#This Row],[Landings
Night]]+MasterTable[[#This Row],[Landings
Day]]</f>
        <v>1</v>
      </c>
      <c r="AB334" s="10">
        <v>0</v>
      </c>
      <c r="AC334" s="10">
        <v>0</v>
      </c>
      <c r="AD334" s="11">
        <v>0</v>
      </c>
      <c r="AE334" s="21">
        <f>SUM(MasterTable[[#This Row],[ILS]:[PAR]])</f>
        <v>0</v>
      </c>
      <c r="AL334" s="11"/>
      <c r="AR334" s="140" t="str">
        <f>_xlfn.XLOOKUP(MasterTable[[#This Row],[Aircraft ID]],Aircraft!A:A,Aircraft!H:H)</f>
        <v>Airplane Single Engine Land</v>
      </c>
      <c r="AS334" s="8" t="b">
        <f>OR((SUM(MasterTable[[#This Row],[ILS]:[PAR]]) = MasterTable[[#This Row],[APPR]]))</f>
        <v>1</v>
      </c>
      <c r="AT334" s="8" t="b">
        <f>NOT(ISBLANK(MasterTable[[#This Row],[Total
Time]]))</f>
        <v>1</v>
      </c>
    </row>
    <row r="335" spans="4:46" ht="28.8" x14ac:dyDescent="0.3">
      <c r="D335" s="22">
        <v>44787</v>
      </c>
      <c r="E335" s="8" t="s">
        <v>139</v>
      </c>
      <c r="F335" s="8" t="s">
        <v>207</v>
      </c>
      <c r="G335" s="8" t="s">
        <v>207</v>
      </c>
      <c r="I335" s="10">
        <v>0.3</v>
      </c>
      <c r="J335" s="10">
        <v>0.3</v>
      </c>
      <c r="L335" s="10">
        <v>0</v>
      </c>
      <c r="M335" s="13">
        <v>0</v>
      </c>
      <c r="N335" s="13"/>
      <c r="O335" s="10">
        <v>0</v>
      </c>
      <c r="P335" s="10">
        <v>0</v>
      </c>
      <c r="Q335" s="14">
        <v>0</v>
      </c>
      <c r="R335" s="14">
        <v>0</v>
      </c>
      <c r="S335" s="10">
        <v>0</v>
      </c>
      <c r="T335" s="10">
        <v>0</v>
      </c>
      <c r="U335" s="14">
        <v>0</v>
      </c>
      <c r="V335" s="10"/>
      <c r="W335" s="11">
        <v>1</v>
      </c>
      <c r="X335" s="11">
        <v>1</v>
      </c>
      <c r="Y335" s="11">
        <v>0</v>
      </c>
      <c r="Z335" s="11">
        <v>0</v>
      </c>
      <c r="AA335" s="11">
        <f>MasterTable[[#This Row],[Landings
Night]]+MasterTable[[#This Row],[Landings
Day]]</f>
        <v>1</v>
      </c>
      <c r="AB335" s="10">
        <v>0</v>
      </c>
      <c r="AC335" s="10">
        <v>0</v>
      </c>
      <c r="AD335" s="11">
        <v>0</v>
      </c>
      <c r="AE335" s="21">
        <f>SUM(MasterTable[[#This Row],[ILS]:[PAR]])</f>
        <v>0</v>
      </c>
      <c r="AL335" s="11"/>
      <c r="AR335" s="140" t="str">
        <f>_xlfn.XLOOKUP(MasterTable[[#This Row],[Aircraft ID]],Aircraft!A:A,Aircraft!H:H)</f>
        <v>Airplane Single Engine Land</v>
      </c>
      <c r="AS335" s="8" t="b">
        <f>OR((SUM(MasterTable[[#This Row],[ILS]:[PAR]]) = MasterTable[[#This Row],[APPR]]))</f>
        <v>1</v>
      </c>
      <c r="AT335" s="8" t="b">
        <f>NOT(ISBLANK(MasterTable[[#This Row],[Total
Time]]))</f>
        <v>1</v>
      </c>
    </row>
    <row r="336" spans="4:46" ht="28.8" x14ac:dyDescent="0.3">
      <c r="D336" s="22">
        <v>44787</v>
      </c>
      <c r="E336" s="8" t="s">
        <v>139</v>
      </c>
      <c r="F336" s="8" t="s">
        <v>206</v>
      </c>
      <c r="G336" s="8" t="s">
        <v>207</v>
      </c>
      <c r="I336" s="10">
        <v>0.4</v>
      </c>
      <c r="J336" s="10">
        <v>0.4</v>
      </c>
      <c r="L336" s="10">
        <v>0</v>
      </c>
      <c r="M336" s="13">
        <v>0</v>
      </c>
      <c r="N336" s="13"/>
      <c r="O336" s="10">
        <v>0</v>
      </c>
      <c r="P336" s="10">
        <v>0</v>
      </c>
      <c r="Q336" s="14">
        <v>0</v>
      </c>
      <c r="R336" s="14">
        <v>0</v>
      </c>
      <c r="S336" s="10">
        <v>0</v>
      </c>
      <c r="T336" s="10">
        <v>0</v>
      </c>
      <c r="U336" s="14">
        <v>0</v>
      </c>
      <c r="V336" s="10"/>
      <c r="W336" s="11">
        <v>1</v>
      </c>
      <c r="X336" s="11">
        <v>1</v>
      </c>
      <c r="Y336" s="11">
        <v>0</v>
      </c>
      <c r="Z336" s="11">
        <v>0</v>
      </c>
      <c r="AA336" s="11">
        <f>MasterTable[[#This Row],[Landings
Night]]+MasterTable[[#This Row],[Landings
Day]]</f>
        <v>1</v>
      </c>
      <c r="AB336" s="10">
        <v>0</v>
      </c>
      <c r="AC336" s="10">
        <v>0</v>
      </c>
      <c r="AD336" s="11">
        <v>0</v>
      </c>
      <c r="AE336" s="21">
        <f>SUM(MasterTable[[#This Row],[ILS]:[PAR]])</f>
        <v>0</v>
      </c>
      <c r="AL336" s="11"/>
      <c r="AR336" s="140" t="str">
        <f>_xlfn.XLOOKUP(MasterTable[[#This Row],[Aircraft ID]],Aircraft!A:A,Aircraft!H:H)</f>
        <v>Airplane Single Engine Land</v>
      </c>
      <c r="AS336" s="8" t="b">
        <f>OR((SUM(MasterTable[[#This Row],[ILS]:[PAR]]) = MasterTable[[#This Row],[APPR]]))</f>
        <v>1</v>
      </c>
      <c r="AT336" s="8" t="b">
        <f>NOT(ISBLANK(MasterTable[[#This Row],[Total
Time]]))</f>
        <v>1</v>
      </c>
    </row>
    <row r="337" spans="4:46" ht="28.8" x14ac:dyDescent="0.3">
      <c r="D337" s="22">
        <v>44776</v>
      </c>
      <c r="E337" s="8" t="s">
        <v>174</v>
      </c>
      <c r="F337" s="8" t="s">
        <v>204</v>
      </c>
      <c r="G337" s="8" t="s">
        <v>206</v>
      </c>
      <c r="I337" s="10">
        <v>1</v>
      </c>
      <c r="J337" s="10">
        <v>1</v>
      </c>
      <c r="L337" s="10">
        <v>0</v>
      </c>
      <c r="M337" s="13">
        <v>0</v>
      </c>
      <c r="N337" s="13"/>
      <c r="O337" s="10">
        <v>0</v>
      </c>
      <c r="P337" s="10">
        <v>0</v>
      </c>
      <c r="Q337" s="14">
        <v>0</v>
      </c>
      <c r="R337" s="14">
        <v>0</v>
      </c>
      <c r="S337" s="10">
        <v>0.3</v>
      </c>
      <c r="T337" s="10">
        <v>1</v>
      </c>
      <c r="U337" s="14">
        <v>0</v>
      </c>
      <c r="V337" s="10"/>
      <c r="W337" s="11">
        <v>1</v>
      </c>
      <c r="X337" s="11">
        <v>0</v>
      </c>
      <c r="Y337" s="11">
        <v>0</v>
      </c>
      <c r="Z337" s="11">
        <v>1</v>
      </c>
      <c r="AA337" s="11">
        <f>MasterTable[[#This Row],[Landings
Night]]+MasterTable[[#This Row],[Landings
Day]]</f>
        <v>1</v>
      </c>
      <c r="AB337" s="10">
        <v>0</v>
      </c>
      <c r="AC337" s="10">
        <v>0</v>
      </c>
      <c r="AD337" s="11">
        <v>0</v>
      </c>
      <c r="AE337" s="21">
        <f>SUM(MasterTable[[#This Row],[ILS]:[PAR]])</f>
        <v>0</v>
      </c>
      <c r="AL337" s="11"/>
      <c r="AR337" s="140" t="str">
        <f>_xlfn.XLOOKUP(MasterTable[[#This Row],[Aircraft ID]],Aircraft!A:A,Aircraft!H:H)</f>
        <v>Airplane Single Engine Land</v>
      </c>
      <c r="AS337" s="8" t="b">
        <f>OR((SUM(MasterTable[[#This Row],[ILS]:[PAR]]) = MasterTable[[#This Row],[APPR]]))</f>
        <v>1</v>
      </c>
      <c r="AT337" s="8" t="b">
        <f>NOT(ISBLANK(MasterTable[[#This Row],[Total
Time]]))</f>
        <v>1</v>
      </c>
    </row>
    <row r="338" spans="4:46" ht="28.8" x14ac:dyDescent="0.3">
      <c r="D338" s="22">
        <v>44776</v>
      </c>
      <c r="E338" s="8" t="s">
        <v>174</v>
      </c>
      <c r="F338" s="8" t="s">
        <v>206</v>
      </c>
      <c r="G338" s="8" t="s">
        <v>207</v>
      </c>
      <c r="I338" s="10">
        <v>0.4</v>
      </c>
      <c r="J338" s="10">
        <v>0.4</v>
      </c>
      <c r="L338" s="10">
        <v>0</v>
      </c>
      <c r="M338" s="13">
        <v>0</v>
      </c>
      <c r="N338" s="13"/>
      <c r="O338" s="10">
        <v>0</v>
      </c>
      <c r="P338" s="10">
        <v>0</v>
      </c>
      <c r="Q338" s="14">
        <v>0</v>
      </c>
      <c r="R338" s="14">
        <v>0</v>
      </c>
      <c r="S338" s="10">
        <v>0</v>
      </c>
      <c r="T338" s="10">
        <v>0</v>
      </c>
      <c r="U338" s="14">
        <v>0</v>
      </c>
      <c r="V338" s="10"/>
      <c r="W338" s="11">
        <v>1</v>
      </c>
      <c r="X338" s="11">
        <v>1</v>
      </c>
      <c r="Y338" s="11">
        <v>0</v>
      </c>
      <c r="Z338" s="11">
        <v>0</v>
      </c>
      <c r="AA338" s="11">
        <f>MasterTable[[#This Row],[Landings
Night]]+MasterTable[[#This Row],[Landings
Day]]</f>
        <v>1</v>
      </c>
      <c r="AB338" s="10">
        <v>0</v>
      </c>
      <c r="AC338" s="10">
        <v>0</v>
      </c>
      <c r="AD338" s="11">
        <v>0</v>
      </c>
      <c r="AE338" s="21">
        <f>SUM(MasterTable[[#This Row],[ILS]:[PAR]])</f>
        <v>0</v>
      </c>
      <c r="AL338" s="11"/>
      <c r="AR338" s="140" t="str">
        <f>_xlfn.XLOOKUP(MasterTable[[#This Row],[Aircraft ID]],Aircraft!A:A,Aircraft!H:H)</f>
        <v>Airplane Single Engine Land</v>
      </c>
      <c r="AS338" s="8" t="b">
        <f>OR((SUM(MasterTable[[#This Row],[ILS]:[PAR]]) = MasterTable[[#This Row],[APPR]]))</f>
        <v>1</v>
      </c>
      <c r="AT338" s="8" t="b">
        <f>NOT(ISBLANK(MasterTable[[#This Row],[Total
Time]]))</f>
        <v>1</v>
      </c>
    </row>
    <row r="339" spans="4:46" ht="28.8" x14ac:dyDescent="0.3">
      <c r="D339" s="22">
        <v>44776</v>
      </c>
      <c r="E339" s="8" t="s">
        <v>174</v>
      </c>
      <c r="F339" s="8" t="s">
        <v>207</v>
      </c>
      <c r="G339" s="8" t="s">
        <v>204</v>
      </c>
      <c r="I339" s="10">
        <v>1.2</v>
      </c>
      <c r="J339" s="10">
        <v>1.2</v>
      </c>
      <c r="L339" s="10">
        <v>0</v>
      </c>
      <c r="M339" s="13">
        <v>0</v>
      </c>
      <c r="N339" s="13"/>
      <c r="O339" s="10">
        <v>0</v>
      </c>
      <c r="P339" s="10">
        <v>0</v>
      </c>
      <c r="Q339" s="14">
        <v>0</v>
      </c>
      <c r="R339" s="14">
        <v>0</v>
      </c>
      <c r="S339" s="10">
        <v>0</v>
      </c>
      <c r="T339" s="10">
        <v>1.2</v>
      </c>
      <c r="U339" s="14">
        <v>0</v>
      </c>
      <c r="V339" s="10"/>
      <c r="W339" s="11">
        <v>1</v>
      </c>
      <c r="X339" s="11">
        <v>1</v>
      </c>
      <c r="Y339" s="11">
        <v>0</v>
      </c>
      <c r="Z339" s="11">
        <v>0</v>
      </c>
      <c r="AA339" s="11">
        <f>MasterTable[[#This Row],[Landings
Night]]+MasterTable[[#This Row],[Landings
Day]]</f>
        <v>1</v>
      </c>
      <c r="AB339" s="10">
        <v>0</v>
      </c>
      <c r="AC339" s="10">
        <v>0</v>
      </c>
      <c r="AD339" s="11">
        <v>0</v>
      </c>
      <c r="AE339" s="21">
        <f>SUM(MasterTable[[#This Row],[ILS]:[PAR]])</f>
        <v>0</v>
      </c>
      <c r="AL339" s="11"/>
      <c r="AR339" s="140" t="str">
        <f>_xlfn.XLOOKUP(MasterTable[[#This Row],[Aircraft ID]],Aircraft!A:A,Aircraft!H:H)</f>
        <v>Airplane Single Engine Land</v>
      </c>
      <c r="AS339" s="8" t="b">
        <f>OR((SUM(MasterTable[[#This Row],[ILS]:[PAR]]) = MasterTable[[#This Row],[APPR]]))</f>
        <v>1</v>
      </c>
      <c r="AT339" s="8" t="b">
        <f>NOT(ISBLANK(MasterTable[[#This Row],[Total
Time]]))</f>
        <v>1</v>
      </c>
    </row>
    <row r="340" spans="4:46" ht="28.8" x14ac:dyDescent="0.3">
      <c r="D340" s="22">
        <v>44773</v>
      </c>
      <c r="E340" s="8" t="s">
        <v>139</v>
      </c>
      <c r="F340" s="8" t="s">
        <v>206</v>
      </c>
      <c r="G340" s="8" t="s">
        <v>206</v>
      </c>
      <c r="I340" s="10">
        <v>0.4</v>
      </c>
      <c r="J340" s="10">
        <v>0.4</v>
      </c>
      <c r="L340" s="10">
        <v>0</v>
      </c>
      <c r="M340" s="13">
        <v>0</v>
      </c>
      <c r="N340" s="13"/>
      <c r="O340" s="10">
        <v>0</v>
      </c>
      <c r="P340" s="10">
        <v>0</v>
      </c>
      <c r="Q340" s="14">
        <v>0</v>
      </c>
      <c r="R340" s="14">
        <v>0</v>
      </c>
      <c r="S340" s="10">
        <v>0</v>
      </c>
      <c r="T340" s="10">
        <v>0</v>
      </c>
      <c r="U340" s="14">
        <v>0</v>
      </c>
      <c r="V340" s="10"/>
      <c r="W340" s="11">
        <v>1</v>
      </c>
      <c r="X340" s="11">
        <v>1</v>
      </c>
      <c r="Y340" s="11">
        <v>0</v>
      </c>
      <c r="Z340" s="11">
        <v>0</v>
      </c>
      <c r="AA340" s="11">
        <f>MasterTable[[#This Row],[Landings
Night]]+MasterTable[[#This Row],[Landings
Day]]</f>
        <v>1</v>
      </c>
      <c r="AB340" s="10">
        <v>0</v>
      </c>
      <c r="AC340" s="10">
        <v>0</v>
      </c>
      <c r="AD340" s="11">
        <v>0</v>
      </c>
      <c r="AE340" s="21">
        <f>SUM(MasterTable[[#This Row],[ILS]:[PAR]])</f>
        <v>0</v>
      </c>
      <c r="AL340" s="11"/>
      <c r="AR340" s="140" t="str">
        <f>_xlfn.XLOOKUP(MasterTable[[#This Row],[Aircraft ID]],Aircraft!A:A,Aircraft!H:H)</f>
        <v>Airplane Single Engine Land</v>
      </c>
      <c r="AS340" s="8" t="b">
        <f>OR((SUM(MasterTable[[#This Row],[ILS]:[PAR]]) = MasterTable[[#This Row],[APPR]]))</f>
        <v>1</v>
      </c>
      <c r="AT340" s="8" t="b">
        <f>NOT(ISBLANK(MasterTable[[#This Row],[Total
Time]]))</f>
        <v>1</v>
      </c>
    </row>
    <row r="341" spans="4:46" ht="28.8" x14ac:dyDescent="0.3">
      <c r="D341" s="22">
        <v>44766</v>
      </c>
      <c r="E341" s="8" t="s">
        <v>174</v>
      </c>
      <c r="F341" s="8" t="s">
        <v>202</v>
      </c>
      <c r="G341" s="8" t="s">
        <v>206</v>
      </c>
      <c r="I341" s="10">
        <v>2</v>
      </c>
      <c r="J341" s="10">
        <v>2</v>
      </c>
      <c r="L341" s="10">
        <v>0</v>
      </c>
      <c r="M341" s="13">
        <v>0</v>
      </c>
      <c r="N341" s="13"/>
      <c r="O341" s="10">
        <v>0</v>
      </c>
      <c r="P341" s="10">
        <v>0</v>
      </c>
      <c r="Q341" s="14">
        <v>0</v>
      </c>
      <c r="R341" s="14">
        <v>0</v>
      </c>
      <c r="S341" s="10">
        <v>0</v>
      </c>
      <c r="T341" s="10">
        <v>2</v>
      </c>
      <c r="U341" s="14">
        <v>0</v>
      </c>
      <c r="V341" s="10"/>
      <c r="W341" s="11">
        <v>1</v>
      </c>
      <c r="X341" s="11">
        <v>1</v>
      </c>
      <c r="Y341" s="11">
        <v>0</v>
      </c>
      <c r="Z341" s="11">
        <v>0</v>
      </c>
      <c r="AA341" s="11">
        <f>MasterTable[[#This Row],[Landings
Night]]+MasterTable[[#This Row],[Landings
Day]]</f>
        <v>1</v>
      </c>
      <c r="AB341" s="10">
        <v>0</v>
      </c>
      <c r="AC341" s="10">
        <v>0</v>
      </c>
      <c r="AD341" s="11">
        <v>0</v>
      </c>
      <c r="AE341" s="21">
        <f>SUM(MasterTable[[#This Row],[ILS]:[PAR]])</f>
        <v>0</v>
      </c>
      <c r="AL341" s="11"/>
      <c r="AR341" s="140" t="str">
        <f>_xlfn.XLOOKUP(MasterTable[[#This Row],[Aircraft ID]],Aircraft!A:A,Aircraft!H:H)</f>
        <v>Airplane Single Engine Land</v>
      </c>
      <c r="AS341" s="8" t="b">
        <f>OR((SUM(MasterTable[[#This Row],[ILS]:[PAR]]) = MasterTable[[#This Row],[APPR]]))</f>
        <v>1</v>
      </c>
      <c r="AT341" s="8" t="b">
        <f>NOT(ISBLANK(MasterTable[[#This Row],[Total
Time]]))</f>
        <v>1</v>
      </c>
    </row>
    <row r="342" spans="4:46" ht="28.8" x14ac:dyDescent="0.3">
      <c r="D342" s="22">
        <v>44763</v>
      </c>
      <c r="E342" s="8" t="s">
        <v>174</v>
      </c>
      <c r="F342" s="8" t="s">
        <v>207</v>
      </c>
      <c r="G342" s="8" t="s">
        <v>202</v>
      </c>
      <c r="I342" s="10">
        <v>2.4</v>
      </c>
      <c r="J342" s="10">
        <v>2.4</v>
      </c>
      <c r="L342" s="10">
        <v>0</v>
      </c>
      <c r="M342" s="13">
        <v>0</v>
      </c>
      <c r="N342" s="13"/>
      <c r="O342" s="10">
        <v>0</v>
      </c>
      <c r="P342" s="10">
        <v>0</v>
      </c>
      <c r="Q342" s="14">
        <v>0</v>
      </c>
      <c r="R342" s="14">
        <v>0</v>
      </c>
      <c r="S342" s="10">
        <v>0</v>
      </c>
      <c r="T342" s="10">
        <v>2.4</v>
      </c>
      <c r="U342" s="14">
        <v>0</v>
      </c>
      <c r="V342" s="10"/>
      <c r="W342" s="11">
        <v>1</v>
      </c>
      <c r="X342" s="11">
        <v>1</v>
      </c>
      <c r="Y342" s="11">
        <v>0</v>
      </c>
      <c r="Z342" s="11">
        <v>0</v>
      </c>
      <c r="AA342" s="11">
        <f>MasterTable[[#This Row],[Landings
Night]]+MasterTable[[#This Row],[Landings
Day]]</f>
        <v>1</v>
      </c>
      <c r="AB342" s="10">
        <v>0</v>
      </c>
      <c r="AC342" s="10">
        <v>0</v>
      </c>
      <c r="AD342" s="11">
        <v>0</v>
      </c>
      <c r="AE342" s="21">
        <f>SUM(MasterTable[[#This Row],[ILS]:[PAR]])</f>
        <v>0</v>
      </c>
      <c r="AL342" s="11"/>
      <c r="AR342" s="140" t="str">
        <f>_xlfn.XLOOKUP(MasterTable[[#This Row],[Aircraft ID]],Aircraft!A:A,Aircraft!H:H)</f>
        <v>Airplane Single Engine Land</v>
      </c>
      <c r="AS342" s="8" t="b">
        <f>OR((SUM(MasterTable[[#This Row],[ILS]:[PAR]]) = MasterTable[[#This Row],[APPR]]))</f>
        <v>1</v>
      </c>
      <c r="AT342" s="8" t="b">
        <f>NOT(ISBLANK(MasterTable[[#This Row],[Total
Time]]))</f>
        <v>1</v>
      </c>
    </row>
    <row r="343" spans="4:46" ht="28.8" x14ac:dyDescent="0.3">
      <c r="D343" s="22">
        <v>44763</v>
      </c>
      <c r="E343" s="8" t="s">
        <v>174</v>
      </c>
      <c r="F343" s="8" t="s">
        <v>206</v>
      </c>
      <c r="G343" s="8" t="s">
        <v>207</v>
      </c>
      <c r="I343" s="10">
        <v>0.5</v>
      </c>
      <c r="J343" s="10">
        <v>0.5</v>
      </c>
      <c r="L343" s="10">
        <v>0</v>
      </c>
      <c r="M343" s="13">
        <v>0</v>
      </c>
      <c r="N343" s="13"/>
      <c r="O343" s="10">
        <v>0</v>
      </c>
      <c r="P343" s="10">
        <v>0</v>
      </c>
      <c r="Q343" s="14">
        <v>0</v>
      </c>
      <c r="R343" s="14">
        <v>0</v>
      </c>
      <c r="S343" s="10">
        <v>0</v>
      </c>
      <c r="T343" s="10">
        <v>0</v>
      </c>
      <c r="U343" s="14">
        <v>0</v>
      </c>
      <c r="V343" s="10"/>
      <c r="W343" s="11">
        <v>2</v>
      </c>
      <c r="X343" s="11">
        <v>2</v>
      </c>
      <c r="Y343" s="11">
        <v>0</v>
      </c>
      <c r="Z343" s="11">
        <v>0</v>
      </c>
      <c r="AA343" s="11">
        <f>MasterTable[[#This Row],[Landings
Night]]+MasterTable[[#This Row],[Landings
Day]]</f>
        <v>2</v>
      </c>
      <c r="AB343" s="10">
        <v>0</v>
      </c>
      <c r="AC343" s="10">
        <v>0</v>
      </c>
      <c r="AD343" s="11">
        <v>0</v>
      </c>
      <c r="AE343" s="21">
        <f>SUM(MasterTable[[#This Row],[ILS]:[PAR]])</f>
        <v>0</v>
      </c>
      <c r="AL343" s="11"/>
      <c r="AR343" s="140" t="str">
        <f>_xlfn.XLOOKUP(MasterTable[[#This Row],[Aircraft ID]],Aircraft!A:A,Aircraft!H:H)</f>
        <v>Airplane Single Engine Land</v>
      </c>
      <c r="AS343" s="8" t="b">
        <f>OR((SUM(MasterTable[[#This Row],[ILS]:[PAR]]) = MasterTable[[#This Row],[APPR]]))</f>
        <v>1</v>
      </c>
      <c r="AT343" s="8" t="b">
        <f>NOT(ISBLANK(MasterTable[[#This Row],[Total
Time]]))</f>
        <v>1</v>
      </c>
    </row>
    <row r="344" spans="4:46" ht="28.8" x14ac:dyDescent="0.3">
      <c r="D344" s="22">
        <v>44758</v>
      </c>
      <c r="E344" s="8" t="s">
        <v>174</v>
      </c>
      <c r="F344" s="8" t="s">
        <v>233</v>
      </c>
      <c r="G344" s="8" t="s">
        <v>206</v>
      </c>
      <c r="I344" s="10">
        <v>1.2</v>
      </c>
      <c r="J344" s="10">
        <v>1.2</v>
      </c>
      <c r="L344" s="10">
        <v>0</v>
      </c>
      <c r="M344" s="13">
        <v>0</v>
      </c>
      <c r="N344" s="13"/>
      <c r="O344" s="10">
        <v>0</v>
      </c>
      <c r="P344" s="10">
        <v>0</v>
      </c>
      <c r="Q344" s="14">
        <v>0</v>
      </c>
      <c r="R344" s="14">
        <v>0</v>
      </c>
      <c r="S344" s="10">
        <v>0</v>
      </c>
      <c r="T344" s="10">
        <v>1.2</v>
      </c>
      <c r="U344" s="14">
        <v>0</v>
      </c>
      <c r="V344" s="10"/>
      <c r="W344" s="11">
        <v>1</v>
      </c>
      <c r="X344" s="11">
        <v>1</v>
      </c>
      <c r="Y344" s="11">
        <v>0</v>
      </c>
      <c r="Z344" s="11">
        <v>0</v>
      </c>
      <c r="AA344" s="11">
        <f>MasterTable[[#This Row],[Landings
Night]]+MasterTable[[#This Row],[Landings
Day]]</f>
        <v>1</v>
      </c>
      <c r="AB344" s="10">
        <v>0</v>
      </c>
      <c r="AC344" s="10">
        <v>0</v>
      </c>
      <c r="AD344" s="11">
        <v>0</v>
      </c>
      <c r="AE344" s="21">
        <f>SUM(MasterTable[[#This Row],[ILS]:[PAR]])</f>
        <v>0</v>
      </c>
      <c r="AL344" s="11"/>
      <c r="AR344" s="140" t="str">
        <f>_xlfn.XLOOKUP(MasterTable[[#This Row],[Aircraft ID]],Aircraft!A:A,Aircraft!H:H)</f>
        <v>Airplane Single Engine Land</v>
      </c>
      <c r="AS344" s="8" t="b">
        <f>OR((SUM(MasterTable[[#This Row],[ILS]:[PAR]]) = MasterTable[[#This Row],[APPR]]))</f>
        <v>1</v>
      </c>
      <c r="AT344" s="8" t="b">
        <f>NOT(ISBLANK(MasterTable[[#This Row],[Total
Time]]))</f>
        <v>1</v>
      </c>
    </row>
    <row r="345" spans="4:46" ht="28.8" x14ac:dyDescent="0.3">
      <c r="D345" s="22">
        <v>44758</v>
      </c>
      <c r="E345" s="8" t="s">
        <v>174</v>
      </c>
      <c r="F345" s="8" t="s">
        <v>219</v>
      </c>
      <c r="G345" s="8" t="s">
        <v>233</v>
      </c>
      <c r="I345" s="10">
        <v>1</v>
      </c>
      <c r="J345" s="10">
        <v>1</v>
      </c>
      <c r="L345" s="10">
        <v>0</v>
      </c>
      <c r="M345" s="13">
        <v>0</v>
      </c>
      <c r="N345" s="13"/>
      <c r="O345" s="10">
        <v>0</v>
      </c>
      <c r="P345" s="10">
        <v>0</v>
      </c>
      <c r="Q345" s="14">
        <v>0</v>
      </c>
      <c r="R345" s="14">
        <v>0</v>
      </c>
      <c r="S345" s="10">
        <v>0</v>
      </c>
      <c r="T345" s="10">
        <v>1</v>
      </c>
      <c r="U345" s="14">
        <v>0</v>
      </c>
      <c r="V345" s="10"/>
      <c r="W345" s="11">
        <v>1</v>
      </c>
      <c r="X345" s="11">
        <v>1</v>
      </c>
      <c r="Y345" s="11">
        <v>0</v>
      </c>
      <c r="Z345" s="11">
        <v>0</v>
      </c>
      <c r="AA345" s="11">
        <f>MasterTable[[#This Row],[Landings
Night]]+MasterTable[[#This Row],[Landings
Day]]</f>
        <v>1</v>
      </c>
      <c r="AB345" s="10">
        <v>0</v>
      </c>
      <c r="AC345" s="10">
        <v>0</v>
      </c>
      <c r="AD345" s="11">
        <v>0</v>
      </c>
      <c r="AE345" s="21">
        <f>SUM(MasterTable[[#This Row],[ILS]:[PAR]])</f>
        <v>0</v>
      </c>
      <c r="AL345" s="11"/>
      <c r="AR345" s="140" t="str">
        <f>_xlfn.XLOOKUP(MasterTable[[#This Row],[Aircraft ID]],Aircraft!A:A,Aircraft!H:H)</f>
        <v>Airplane Single Engine Land</v>
      </c>
      <c r="AS345" s="8" t="b">
        <f>OR((SUM(MasterTable[[#This Row],[ILS]:[PAR]]) = MasterTable[[#This Row],[APPR]]))</f>
        <v>1</v>
      </c>
      <c r="AT345" s="8" t="b">
        <f>NOT(ISBLANK(MasterTable[[#This Row],[Total
Time]]))</f>
        <v>1</v>
      </c>
    </row>
    <row r="346" spans="4:46" ht="28.8" x14ac:dyDescent="0.3">
      <c r="D346" s="22">
        <v>44757</v>
      </c>
      <c r="E346" s="8" t="s">
        <v>174</v>
      </c>
      <c r="F346" s="8" t="s">
        <v>206</v>
      </c>
      <c r="G346" s="8" t="s">
        <v>219</v>
      </c>
      <c r="I346" s="10">
        <v>2.1</v>
      </c>
      <c r="J346" s="10">
        <v>2.1</v>
      </c>
      <c r="L346" s="10">
        <v>0</v>
      </c>
      <c r="M346" s="13">
        <v>0</v>
      </c>
      <c r="N346" s="13"/>
      <c r="O346" s="10">
        <v>0</v>
      </c>
      <c r="P346" s="10">
        <v>0</v>
      </c>
      <c r="Q346" s="14">
        <v>0</v>
      </c>
      <c r="R346" s="14">
        <v>0</v>
      </c>
      <c r="S346" s="10">
        <v>0</v>
      </c>
      <c r="T346" s="10">
        <v>2.1</v>
      </c>
      <c r="U346" s="14">
        <v>0</v>
      </c>
      <c r="V346" s="10"/>
      <c r="W346" s="11">
        <v>1</v>
      </c>
      <c r="X346" s="11">
        <v>1</v>
      </c>
      <c r="Y346" s="11">
        <v>0</v>
      </c>
      <c r="Z346" s="11">
        <v>0</v>
      </c>
      <c r="AA346" s="11">
        <f>MasterTable[[#This Row],[Landings
Night]]+MasterTable[[#This Row],[Landings
Day]]</f>
        <v>1</v>
      </c>
      <c r="AB346" s="10">
        <v>0</v>
      </c>
      <c r="AC346" s="10">
        <v>0</v>
      </c>
      <c r="AD346" s="11">
        <v>0</v>
      </c>
      <c r="AE346" s="21">
        <f>SUM(MasterTable[[#This Row],[ILS]:[PAR]])</f>
        <v>0</v>
      </c>
      <c r="AL346" s="11"/>
      <c r="AR346" s="140" t="str">
        <f>_xlfn.XLOOKUP(MasterTable[[#This Row],[Aircraft ID]],Aircraft!A:A,Aircraft!H:H)</f>
        <v>Airplane Single Engine Land</v>
      </c>
      <c r="AS346" s="8" t="b">
        <f>OR((SUM(MasterTable[[#This Row],[ILS]:[PAR]]) = MasterTable[[#This Row],[APPR]]))</f>
        <v>1</v>
      </c>
      <c r="AT346" s="8" t="b">
        <f>NOT(ISBLANK(MasterTable[[#This Row],[Total
Time]]))</f>
        <v>1</v>
      </c>
    </row>
    <row r="347" spans="4:46" ht="28.8" x14ac:dyDescent="0.3">
      <c r="D347" s="22">
        <v>44752</v>
      </c>
      <c r="E347" s="8" t="s">
        <v>174</v>
      </c>
      <c r="F347" s="8" t="s">
        <v>202</v>
      </c>
      <c r="G347" s="8" t="s">
        <v>206</v>
      </c>
      <c r="I347" s="10">
        <v>2</v>
      </c>
      <c r="J347" s="10">
        <v>2</v>
      </c>
      <c r="L347" s="10">
        <v>0</v>
      </c>
      <c r="M347" s="13">
        <v>0</v>
      </c>
      <c r="N347" s="13"/>
      <c r="O347" s="10">
        <v>0</v>
      </c>
      <c r="P347" s="10">
        <v>0</v>
      </c>
      <c r="Q347" s="14">
        <v>0</v>
      </c>
      <c r="R347" s="14">
        <v>0</v>
      </c>
      <c r="S347" s="10">
        <v>0</v>
      </c>
      <c r="T347" s="10">
        <v>2</v>
      </c>
      <c r="U347" s="14">
        <v>0</v>
      </c>
      <c r="V347" s="10"/>
      <c r="W347" s="11">
        <v>1</v>
      </c>
      <c r="X347" s="11">
        <v>1</v>
      </c>
      <c r="Y347" s="11">
        <v>0</v>
      </c>
      <c r="Z347" s="11">
        <v>0</v>
      </c>
      <c r="AA347" s="11">
        <f>MasterTable[[#This Row],[Landings
Night]]+MasterTable[[#This Row],[Landings
Day]]</f>
        <v>1</v>
      </c>
      <c r="AB347" s="10">
        <v>0</v>
      </c>
      <c r="AC347" s="10">
        <v>0</v>
      </c>
      <c r="AD347" s="11">
        <v>0</v>
      </c>
      <c r="AE347" s="21">
        <f>SUM(MasterTable[[#This Row],[ILS]:[PAR]])</f>
        <v>0</v>
      </c>
      <c r="AL347" s="11"/>
      <c r="AR347" s="140" t="str">
        <f>_xlfn.XLOOKUP(MasterTable[[#This Row],[Aircraft ID]],Aircraft!A:A,Aircraft!H:H)</f>
        <v>Airplane Single Engine Land</v>
      </c>
      <c r="AS347" s="8" t="b">
        <f>OR((SUM(MasterTable[[#This Row],[ILS]:[PAR]]) = MasterTable[[#This Row],[APPR]]))</f>
        <v>1</v>
      </c>
      <c r="AT347" s="8" t="b">
        <f>NOT(ISBLANK(MasterTable[[#This Row],[Total
Time]]))</f>
        <v>1</v>
      </c>
    </row>
    <row r="348" spans="4:46" ht="28.8" x14ac:dyDescent="0.3">
      <c r="D348" s="22">
        <v>44750</v>
      </c>
      <c r="E348" s="8" t="s">
        <v>101</v>
      </c>
      <c r="F348" s="8" t="s">
        <v>234</v>
      </c>
      <c r="G348" s="8" t="s">
        <v>234</v>
      </c>
      <c r="I348" s="10">
        <v>1.2</v>
      </c>
      <c r="J348" s="10">
        <v>1.2</v>
      </c>
      <c r="L348" s="10">
        <v>0</v>
      </c>
      <c r="M348" s="13">
        <v>0</v>
      </c>
      <c r="N348" s="13"/>
      <c r="O348" s="10">
        <v>0</v>
      </c>
      <c r="Q348" s="14">
        <v>0</v>
      </c>
      <c r="R348" s="14">
        <v>0</v>
      </c>
      <c r="S348" s="10">
        <v>0</v>
      </c>
      <c r="T348" s="10">
        <v>0</v>
      </c>
      <c r="U348" s="14">
        <v>0</v>
      </c>
      <c r="V348" s="10"/>
      <c r="W348" s="11">
        <v>3</v>
      </c>
      <c r="X348" s="11">
        <v>3</v>
      </c>
      <c r="Y348" s="11">
        <v>0</v>
      </c>
      <c r="Z348" s="11">
        <v>0</v>
      </c>
      <c r="AA348" s="11">
        <f>MasterTable[[#This Row],[Landings
Night]]+MasterTable[[#This Row],[Landings
Day]]</f>
        <v>3</v>
      </c>
      <c r="AB348" s="10">
        <v>0</v>
      </c>
      <c r="AC348" s="10">
        <v>0</v>
      </c>
      <c r="AD348" s="11">
        <v>0</v>
      </c>
      <c r="AE348" s="21">
        <f>SUM(MasterTable[[#This Row],[ILS]:[PAR]])</f>
        <v>0</v>
      </c>
      <c r="AL348" s="11"/>
      <c r="AN348" s="27" t="b">
        <v>1</v>
      </c>
      <c r="AP348" s="27" t="s">
        <v>410</v>
      </c>
      <c r="AR348" s="140" t="str">
        <f>_xlfn.XLOOKUP(MasterTable[[#This Row],[Aircraft ID]],Aircraft!A:A,Aircraft!H:H)</f>
        <v>Airplane Single Engine Sea</v>
      </c>
      <c r="AS348" s="8" t="b">
        <f>OR((SUM(MasterTable[[#This Row],[ILS]:[PAR]]) = MasterTable[[#This Row],[APPR]]))</f>
        <v>1</v>
      </c>
      <c r="AT348" s="8" t="b">
        <f>NOT(ISBLANK(MasterTable[[#This Row],[Total
Time]]))</f>
        <v>1</v>
      </c>
    </row>
    <row r="349" spans="4:46" ht="28.8" x14ac:dyDescent="0.3">
      <c r="D349" s="22">
        <v>44749</v>
      </c>
      <c r="E349" s="8" t="s">
        <v>101</v>
      </c>
      <c r="F349" s="8" t="s">
        <v>234</v>
      </c>
      <c r="G349" s="8" t="s">
        <v>234</v>
      </c>
      <c r="I349" s="10">
        <v>1.4</v>
      </c>
      <c r="J349" s="10">
        <v>0</v>
      </c>
      <c r="L349" s="10">
        <v>0</v>
      </c>
      <c r="M349" s="13">
        <v>0</v>
      </c>
      <c r="N349" s="13"/>
      <c r="O349" s="10">
        <v>0</v>
      </c>
      <c r="P349" s="10">
        <v>1.4</v>
      </c>
      <c r="Q349" s="14">
        <v>0</v>
      </c>
      <c r="R349" s="14">
        <v>0</v>
      </c>
      <c r="S349" s="10">
        <v>0</v>
      </c>
      <c r="T349" s="10">
        <v>0</v>
      </c>
      <c r="U349" s="14">
        <v>0</v>
      </c>
      <c r="V349" s="10"/>
      <c r="W349" s="11">
        <v>1</v>
      </c>
      <c r="X349" s="11">
        <v>1</v>
      </c>
      <c r="Y349" s="11">
        <v>0</v>
      </c>
      <c r="Z349" s="11">
        <v>0</v>
      </c>
      <c r="AA349" s="11">
        <f>MasterTable[[#This Row],[Landings
Night]]+MasterTable[[#This Row],[Landings
Day]]</f>
        <v>1</v>
      </c>
      <c r="AB349" s="10">
        <v>0</v>
      </c>
      <c r="AC349" s="10">
        <v>0</v>
      </c>
      <c r="AD349" s="11">
        <v>0</v>
      </c>
      <c r="AE349" s="21">
        <f>SUM(MasterTable[[#This Row],[ILS]:[PAR]])</f>
        <v>0</v>
      </c>
      <c r="AL349" s="11"/>
      <c r="AR349" s="140" t="str">
        <f>_xlfn.XLOOKUP(MasterTable[[#This Row],[Aircraft ID]],Aircraft!A:A,Aircraft!H:H)</f>
        <v>Airplane Single Engine Sea</v>
      </c>
      <c r="AS349" s="8" t="b">
        <f>OR((SUM(MasterTable[[#This Row],[ILS]:[PAR]]) = MasterTable[[#This Row],[APPR]]))</f>
        <v>1</v>
      </c>
      <c r="AT349" s="8" t="b">
        <f>NOT(ISBLANK(MasterTable[[#This Row],[Total
Time]]))</f>
        <v>1</v>
      </c>
    </row>
    <row r="350" spans="4:46" ht="28.8" x14ac:dyDescent="0.3">
      <c r="D350" s="22">
        <v>44749</v>
      </c>
      <c r="E350" s="8" t="s">
        <v>101</v>
      </c>
      <c r="F350" s="8" t="s">
        <v>234</v>
      </c>
      <c r="G350" s="8" t="s">
        <v>234</v>
      </c>
      <c r="I350" s="10">
        <v>1.3</v>
      </c>
      <c r="J350" s="10">
        <v>0</v>
      </c>
      <c r="L350" s="10">
        <v>0</v>
      </c>
      <c r="M350" s="13">
        <v>0</v>
      </c>
      <c r="N350" s="13"/>
      <c r="O350" s="10">
        <v>0</v>
      </c>
      <c r="P350" s="10">
        <v>1.3</v>
      </c>
      <c r="Q350" s="14">
        <v>0</v>
      </c>
      <c r="R350" s="14">
        <v>0</v>
      </c>
      <c r="S350" s="10">
        <v>0</v>
      </c>
      <c r="T350" s="10">
        <v>0</v>
      </c>
      <c r="U350" s="14">
        <v>0</v>
      </c>
      <c r="V350" s="10"/>
      <c r="W350" s="11">
        <v>5</v>
      </c>
      <c r="X350" s="11">
        <v>5</v>
      </c>
      <c r="Y350" s="11">
        <v>0</v>
      </c>
      <c r="Z350" s="11">
        <v>0</v>
      </c>
      <c r="AA350" s="11">
        <f>MasterTable[[#This Row],[Landings
Night]]+MasterTable[[#This Row],[Landings
Day]]</f>
        <v>5</v>
      </c>
      <c r="AB350" s="10">
        <v>0</v>
      </c>
      <c r="AC350" s="10">
        <v>0</v>
      </c>
      <c r="AD350" s="11">
        <v>0</v>
      </c>
      <c r="AE350" s="21">
        <f>SUM(MasterTable[[#This Row],[ILS]:[PAR]])</f>
        <v>0</v>
      </c>
      <c r="AL350" s="11"/>
      <c r="AR350" s="140" t="str">
        <f>_xlfn.XLOOKUP(MasterTable[[#This Row],[Aircraft ID]],Aircraft!A:A,Aircraft!H:H)</f>
        <v>Airplane Single Engine Sea</v>
      </c>
      <c r="AS350" s="8" t="b">
        <f>OR((SUM(MasterTable[[#This Row],[ILS]:[PAR]]) = MasterTable[[#This Row],[APPR]]))</f>
        <v>1</v>
      </c>
      <c r="AT350" s="8" t="b">
        <f>NOT(ISBLANK(MasterTable[[#This Row],[Total
Time]]))</f>
        <v>1</v>
      </c>
    </row>
    <row r="351" spans="4:46" ht="28.8" x14ac:dyDescent="0.3">
      <c r="D351" s="22">
        <v>44748</v>
      </c>
      <c r="E351" s="8" t="s">
        <v>101</v>
      </c>
      <c r="F351" s="8" t="s">
        <v>234</v>
      </c>
      <c r="G351" s="8" t="s">
        <v>234</v>
      </c>
      <c r="I351" s="10">
        <v>0.9</v>
      </c>
      <c r="J351" s="10">
        <v>0</v>
      </c>
      <c r="L351" s="10">
        <v>0</v>
      </c>
      <c r="M351" s="13">
        <v>0</v>
      </c>
      <c r="N351" s="13"/>
      <c r="O351" s="10">
        <v>0</v>
      </c>
      <c r="P351" s="10">
        <v>0.9</v>
      </c>
      <c r="Q351" s="14">
        <v>0</v>
      </c>
      <c r="R351" s="14">
        <v>0</v>
      </c>
      <c r="S351" s="10">
        <v>0</v>
      </c>
      <c r="T351" s="10">
        <v>0</v>
      </c>
      <c r="U351" s="14">
        <v>0</v>
      </c>
      <c r="V351" s="10"/>
      <c r="W351" s="11">
        <v>6</v>
      </c>
      <c r="X351" s="11">
        <v>6</v>
      </c>
      <c r="Y351" s="11">
        <v>0</v>
      </c>
      <c r="Z351" s="11">
        <v>0</v>
      </c>
      <c r="AA351" s="11">
        <f>MasterTable[[#This Row],[Landings
Night]]+MasterTable[[#This Row],[Landings
Day]]</f>
        <v>6</v>
      </c>
      <c r="AB351" s="10">
        <v>0</v>
      </c>
      <c r="AC351" s="10">
        <v>0</v>
      </c>
      <c r="AD351" s="11">
        <v>0</v>
      </c>
      <c r="AE351" s="21">
        <f>SUM(MasterTable[[#This Row],[ILS]:[PAR]])</f>
        <v>0</v>
      </c>
      <c r="AL351" s="11"/>
      <c r="AR351" s="140" t="str">
        <f>_xlfn.XLOOKUP(MasterTable[[#This Row],[Aircraft ID]],Aircraft!A:A,Aircraft!H:H)</f>
        <v>Airplane Single Engine Sea</v>
      </c>
      <c r="AS351" s="8" t="b">
        <f>OR((SUM(MasterTable[[#This Row],[ILS]:[PAR]]) = MasterTable[[#This Row],[APPR]]))</f>
        <v>1</v>
      </c>
      <c r="AT351" s="8" t="b">
        <f>NOT(ISBLANK(MasterTable[[#This Row],[Total
Time]]))</f>
        <v>1</v>
      </c>
    </row>
    <row r="352" spans="4:46" ht="28.8" x14ac:dyDescent="0.3">
      <c r="D352" s="22">
        <v>44748</v>
      </c>
      <c r="E352" s="8" t="s">
        <v>104</v>
      </c>
      <c r="F352" s="8" t="s">
        <v>234</v>
      </c>
      <c r="G352" s="8" t="s">
        <v>234</v>
      </c>
      <c r="I352" s="10">
        <v>1.3</v>
      </c>
      <c r="L352" s="10">
        <v>0</v>
      </c>
      <c r="M352" s="13">
        <v>0</v>
      </c>
      <c r="N352" s="13"/>
      <c r="O352" s="10">
        <v>0</v>
      </c>
      <c r="P352" s="10">
        <v>1.3</v>
      </c>
      <c r="Q352" s="14">
        <v>0</v>
      </c>
      <c r="R352" s="14">
        <v>0</v>
      </c>
      <c r="S352" s="10">
        <v>0</v>
      </c>
      <c r="T352" s="10">
        <v>0</v>
      </c>
      <c r="U352" s="14">
        <v>0</v>
      </c>
      <c r="V352" s="10">
        <v>0.4</v>
      </c>
      <c r="W352" s="11">
        <v>2</v>
      </c>
      <c r="X352" s="11">
        <v>2</v>
      </c>
      <c r="Y352" s="11">
        <v>0</v>
      </c>
      <c r="Z352" s="11">
        <v>0</v>
      </c>
      <c r="AA352" s="11">
        <f>MasterTable[[#This Row],[Landings
Night]]+MasterTable[[#This Row],[Landings
Day]]</f>
        <v>2</v>
      </c>
      <c r="AB352" s="10">
        <v>0</v>
      </c>
      <c r="AC352" s="10">
        <v>0</v>
      </c>
      <c r="AD352" s="11">
        <v>0</v>
      </c>
      <c r="AE352" s="21">
        <f>SUM(MasterTable[[#This Row],[ILS]:[PAR]])</f>
        <v>0</v>
      </c>
      <c r="AL352" s="11"/>
      <c r="AR352" s="140" t="str">
        <f>_xlfn.XLOOKUP(MasterTable[[#This Row],[Aircraft ID]],Aircraft!A:A,Aircraft!H:H)</f>
        <v>Airplane Single Engine Sea</v>
      </c>
      <c r="AS352" s="8" t="b">
        <f>OR((SUM(MasterTable[[#This Row],[ILS]:[PAR]]) = MasterTable[[#This Row],[APPR]]))</f>
        <v>1</v>
      </c>
      <c r="AT352" s="8" t="b">
        <f>NOT(ISBLANK(MasterTable[[#This Row],[Total
Time]]))</f>
        <v>1</v>
      </c>
    </row>
    <row r="353" spans="4:46" ht="28.8" x14ac:dyDescent="0.3">
      <c r="D353" s="22">
        <v>44747</v>
      </c>
      <c r="E353" s="8" t="s">
        <v>101</v>
      </c>
      <c r="F353" s="8" t="s">
        <v>234</v>
      </c>
      <c r="G353" s="8" t="s">
        <v>234</v>
      </c>
      <c r="I353" s="10">
        <v>1.7</v>
      </c>
      <c r="J353" s="10">
        <v>0</v>
      </c>
      <c r="L353" s="10">
        <v>0</v>
      </c>
      <c r="M353" s="13">
        <v>0</v>
      </c>
      <c r="N353" s="13"/>
      <c r="O353" s="10">
        <v>0</v>
      </c>
      <c r="P353" s="10">
        <v>1.7</v>
      </c>
      <c r="Q353" s="14">
        <v>0</v>
      </c>
      <c r="R353" s="14">
        <v>0</v>
      </c>
      <c r="S353" s="10">
        <v>0</v>
      </c>
      <c r="T353" s="10">
        <v>0</v>
      </c>
      <c r="U353" s="14">
        <v>0</v>
      </c>
      <c r="V353" s="10"/>
      <c r="W353" s="11">
        <v>5</v>
      </c>
      <c r="X353" s="11">
        <v>5</v>
      </c>
      <c r="Y353" s="11">
        <v>0</v>
      </c>
      <c r="Z353" s="11">
        <v>0</v>
      </c>
      <c r="AA353" s="11">
        <f>MasterTable[[#This Row],[Landings
Night]]+MasterTable[[#This Row],[Landings
Day]]</f>
        <v>5</v>
      </c>
      <c r="AB353" s="10">
        <v>0</v>
      </c>
      <c r="AC353" s="10">
        <v>0</v>
      </c>
      <c r="AD353" s="11">
        <v>0</v>
      </c>
      <c r="AE353" s="21">
        <f>SUM(MasterTable[[#This Row],[ILS]:[PAR]])</f>
        <v>0</v>
      </c>
      <c r="AL353" s="11"/>
      <c r="AR353" s="140" t="str">
        <f>_xlfn.XLOOKUP(MasterTable[[#This Row],[Aircraft ID]],Aircraft!A:A,Aircraft!H:H)</f>
        <v>Airplane Single Engine Sea</v>
      </c>
      <c r="AS353" s="8" t="b">
        <f>OR((SUM(MasterTable[[#This Row],[ILS]:[PAR]]) = MasterTable[[#This Row],[APPR]]))</f>
        <v>1</v>
      </c>
      <c r="AT353" s="8" t="b">
        <f>NOT(ISBLANK(MasterTable[[#This Row],[Total
Time]]))</f>
        <v>1</v>
      </c>
    </row>
    <row r="354" spans="4:46" ht="28.8" x14ac:dyDescent="0.3">
      <c r="D354" s="22">
        <v>44747</v>
      </c>
      <c r="E354" s="8" t="s">
        <v>101</v>
      </c>
      <c r="F354" s="8" t="s">
        <v>234</v>
      </c>
      <c r="G354" s="8" t="s">
        <v>234</v>
      </c>
      <c r="I354" s="10">
        <v>1.2</v>
      </c>
      <c r="J354" s="10">
        <v>0</v>
      </c>
      <c r="L354" s="10">
        <v>0</v>
      </c>
      <c r="M354" s="13">
        <v>0</v>
      </c>
      <c r="N354" s="13"/>
      <c r="O354" s="10">
        <v>0</v>
      </c>
      <c r="P354" s="10">
        <v>1.2</v>
      </c>
      <c r="Q354" s="14">
        <v>0</v>
      </c>
      <c r="R354" s="14">
        <v>0</v>
      </c>
      <c r="S354" s="10">
        <v>0</v>
      </c>
      <c r="T354" s="10">
        <v>0</v>
      </c>
      <c r="U354" s="14">
        <v>0</v>
      </c>
      <c r="V354" s="10"/>
      <c r="W354" s="11">
        <v>6</v>
      </c>
      <c r="X354" s="11">
        <v>6</v>
      </c>
      <c r="Y354" s="11">
        <v>0</v>
      </c>
      <c r="Z354" s="11">
        <v>0</v>
      </c>
      <c r="AA354" s="11">
        <f>MasterTable[[#This Row],[Landings
Night]]+MasterTable[[#This Row],[Landings
Day]]</f>
        <v>6</v>
      </c>
      <c r="AB354" s="10">
        <v>0</v>
      </c>
      <c r="AC354" s="10">
        <v>0</v>
      </c>
      <c r="AD354" s="11">
        <v>0</v>
      </c>
      <c r="AE354" s="21">
        <f>SUM(MasterTable[[#This Row],[ILS]:[PAR]])</f>
        <v>0</v>
      </c>
      <c r="AL354" s="11"/>
      <c r="AR354" s="140" t="str">
        <f>_xlfn.XLOOKUP(MasterTable[[#This Row],[Aircraft ID]],Aircraft!A:A,Aircraft!H:H)</f>
        <v>Airplane Single Engine Sea</v>
      </c>
      <c r="AS354" s="8" t="b">
        <f>OR((SUM(MasterTable[[#This Row],[ILS]:[PAR]]) = MasterTable[[#This Row],[APPR]]))</f>
        <v>1</v>
      </c>
      <c r="AT354" s="8" t="b">
        <f>NOT(ISBLANK(MasterTable[[#This Row],[Total
Time]]))</f>
        <v>1</v>
      </c>
    </row>
    <row r="355" spans="4:46" ht="28.8" x14ac:dyDescent="0.3">
      <c r="D355" s="22">
        <v>44746</v>
      </c>
      <c r="E355" s="8" t="s">
        <v>101</v>
      </c>
      <c r="F355" s="8" t="s">
        <v>234</v>
      </c>
      <c r="G355" s="8" t="s">
        <v>234</v>
      </c>
      <c r="I355" s="10">
        <v>1.2</v>
      </c>
      <c r="L355" s="10">
        <v>0</v>
      </c>
      <c r="M355" s="13">
        <v>0</v>
      </c>
      <c r="N355" s="13"/>
      <c r="O355" s="10">
        <v>0</v>
      </c>
      <c r="P355" s="10">
        <v>1.2</v>
      </c>
      <c r="Q355" s="14">
        <v>0</v>
      </c>
      <c r="R355" s="14">
        <v>0</v>
      </c>
      <c r="S355" s="10">
        <v>0</v>
      </c>
      <c r="T355" s="10">
        <v>0</v>
      </c>
      <c r="U355" s="14">
        <v>0</v>
      </c>
      <c r="V355" s="10">
        <v>0.6</v>
      </c>
      <c r="W355" s="11">
        <v>2</v>
      </c>
      <c r="X355" s="11">
        <v>2</v>
      </c>
      <c r="Y355" s="11">
        <v>0</v>
      </c>
      <c r="Z355" s="11">
        <v>0</v>
      </c>
      <c r="AA355" s="11">
        <f>MasterTable[[#This Row],[Landings
Night]]+MasterTable[[#This Row],[Landings
Day]]</f>
        <v>2</v>
      </c>
      <c r="AB355" s="10">
        <v>0</v>
      </c>
      <c r="AC355" s="10">
        <v>0</v>
      </c>
      <c r="AD355" s="11">
        <v>0</v>
      </c>
      <c r="AE355" s="21">
        <f>SUM(MasterTable[[#This Row],[ILS]:[PAR]])</f>
        <v>0</v>
      </c>
      <c r="AL355" s="11"/>
      <c r="AR355" s="140" t="str">
        <f>_xlfn.XLOOKUP(MasterTable[[#This Row],[Aircraft ID]],Aircraft!A:A,Aircraft!H:H)</f>
        <v>Airplane Single Engine Sea</v>
      </c>
      <c r="AS355" s="8" t="b">
        <f>OR((SUM(MasterTable[[#This Row],[ILS]:[PAR]]) = MasterTable[[#This Row],[APPR]]))</f>
        <v>1</v>
      </c>
      <c r="AT355" s="8" t="b">
        <f>NOT(ISBLANK(MasterTable[[#This Row],[Total
Time]]))</f>
        <v>1</v>
      </c>
    </row>
    <row r="356" spans="4:46" ht="28.8" x14ac:dyDescent="0.3">
      <c r="D356" s="22">
        <v>44746</v>
      </c>
      <c r="E356" s="8" t="s">
        <v>101</v>
      </c>
      <c r="F356" s="8" t="s">
        <v>234</v>
      </c>
      <c r="G356" s="8" t="s">
        <v>234</v>
      </c>
      <c r="I356" s="10">
        <v>1.2</v>
      </c>
      <c r="L356" s="10">
        <v>0</v>
      </c>
      <c r="M356" s="13">
        <v>0</v>
      </c>
      <c r="N356" s="13"/>
      <c r="O356" s="10">
        <v>0</v>
      </c>
      <c r="P356" s="10">
        <v>1.2</v>
      </c>
      <c r="Q356" s="14">
        <v>0</v>
      </c>
      <c r="R356" s="14">
        <v>0</v>
      </c>
      <c r="S356" s="10">
        <v>0</v>
      </c>
      <c r="T356" s="10">
        <v>0</v>
      </c>
      <c r="U356" s="14">
        <v>0</v>
      </c>
      <c r="V356" s="10"/>
      <c r="W356" s="11">
        <v>5</v>
      </c>
      <c r="X356" s="11">
        <v>5</v>
      </c>
      <c r="Y356" s="11">
        <v>0</v>
      </c>
      <c r="Z356" s="11">
        <v>0</v>
      </c>
      <c r="AA356" s="11">
        <f>MasterTable[[#This Row],[Landings
Night]]+MasterTable[[#This Row],[Landings
Day]]</f>
        <v>5</v>
      </c>
      <c r="AB356" s="10">
        <v>0</v>
      </c>
      <c r="AC356" s="10">
        <v>0</v>
      </c>
      <c r="AD356" s="11">
        <v>0</v>
      </c>
      <c r="AE356" s="21">
        <f>SUM(MasterTable[[#This Row],[ILS]:[PAR]])</f>
        <v>0</v>
      </c>
      <c r="AL356" s="11"/>
      <c r="AR356" s="140" t="str">
        <f>_xlfn.XLOOKUP(MasterTable[[#This Row],[Aircraft ID]],Aircraft!A:A,Aircraft!H:H)</f>
        <v>Airplane Single Engine Sea</v>
      </c>
      <c r="AS356" s="8" t="b">
        <f>OR((SUM(MasterTable[[#This Row],[ILS]:[PAR]]) = MasterTable[[#This Row],[APPR]]))</f>
        <v>1</v>
      </c>
      <c r="AT356" s="8" t="b">
        <f>NOT(ISBLANK(MasterTable[[#This Row],[Total
Time]]))</f>
        <v>1</v>
      </c>
    </row>
    <row r="357" spans="4:46" ht="28.8" x14ac:dyDescent="0.3">
      <c r="D357" s="22">
        <v>44744</v>
      </c>
      <c r="E357" s="8" t="s">
        <v>174</v>
      </c>
      <c r="F357" s="8" t="s">
        <v>206</v>
      </c>
      <c r="G357" s="8" t="s">
        <v>202</v>
      </c>
      <c r="I357" s="10">
        <v>2</v>
      </c>
      <c r="J357" s="10">
        <v>2</v>
      </c>
      <c r="L357" s="10">
        <v>0</v>
      </c>
      <c r="M357" s="13">
        <v>0</v>
      </c>
      <c r="N357" s="13"/>
      <c r="O357" s="10">
        <v>0</v>
      </c>
      <c r="P357" s="10">
        <v>0</v>
      </c>
      <c r="Q357" s="14">
        <v>0</v>
      </c>
      <c r="R357" s="14">
        <v>0</v>
      </c>
      <c r="S357" s="10">
        <v>0</v>
      </c>
      <c r="T357" s="10">
        <v>2</v>
      </c>
      <c r="U357" s="14">
        <v>0</v>
      </c>
      <c r="V357" s="10"/>
      <c r="W357" s="11">
        <v>1</v>
      </c>
      <c r="X357" s="11">
        <v>1</v>
      </c>
      <c r="Y357" s="11">
        <v>0</v>
      </c>
      <c r="Z357" s="11">
        <v>0</v>
      </c>
      <c r="AA357" s="11">
        <f>MasterTable[[#This Row],[Landings
Night]]+MasterTable[[#This Row],[Landings
Day]]</f>
        <v>1</v>
      </c>
      <c r="AB357" s="10">
        <v>0</v>
      </c>
      <c r="AC357" s="10">
        <v>0.2</v>
      </c>
      <c r="AD357" s="11">
        <v>0</v>
      </c>
      <c r="AE357" s="21">
        <f>SUM(MasterTable[[#This Row],[ILS]:[PAR]])</f>
        <v>1</v>
      </c>
      <c r="AF357" s="11">
        <v>1</v>
      </c>
      <c r="AL357" s="11">
        <v>1</v>
      </c>
      <c r="AR357" s="140" t="str">
        <f>_xlfn.XLOOKUP(MasterTable[[#This Row],[Aircraft ID]],Aircraft!A:A,Aircraft!H:H)</f>
        <v>Airplane Single Engine Land</v>
      </c>
      <c r="AS357" s="8" t="b">
        <f>OR((SUM(MasterTable[[#This Row],[ILS]:[PAR]]) = MasterTable[[#This Row],[APPR]]))</f>
        <v>1</v>
      </c>
      <c r="AT357" s="8" t="b">
        <f>NOT(ISBLANK(MasterTable[[#This Row],[Total
Time]]))</f>
        <v>1</v>
      </c>
    </row>
    <row r="358" spans="4:46" ht="28.8" x14ac:dyDescent="0.3">
      <c r="D358" s="22">
        <v>44743</v>
      </c>
      <c r="E358" s="8" t="s">
        <v>174</v>
      </c>
      <c r="F358" s="8" t="s">
        <v>206</v>
      </c>
      <c r="G358" s="8" t="s">
        <v>206</v>
      </c>
      <c r="I358" s="10">
        <v>0.5</v>
      </c>
      <c r="J358" s="10">
        <v>0.5</v>
      </c>
      <c r="L358" s="10">
        <v>0</v>
      </c>
      <c r="M358" s="13">
        <v>0</v>
      </c>
      <c r="N358" s="13"/>
      <c r="O358" s="10">
        <v>0</v>
      </c>
      <c r="P358" s="10">
        <v>0</v>
      </c>
      <c r="Q358" s="14">
        <v>0</v>
      </c>
      <c r="R358" s="14">
        <v>0</v>
      </c>
      <c r="S358" s="10">
        <v>0</v>
      </c>
      <c r="T358" s="10">
        <v>0</v>
      </c>
      <c r="U358" s="14">
        <v>0</v>
      </c>
      <c r="V358" s="10"/>
      <c r="W358" s="11">
        <v>1</v>
      </c>
      <c r="X358" s="11">
        <v>1</v>
      </c>
      <c r="Y358" s="11">
        <v>0</v>
      </c>
      <c r="Z358" s="11">
        <v>0</v>
      </c>
      <c r="AA358" s="11">
        <f>MasterTable[[#This Row],[Landings
Night]]+MasterTable[[#This Row],[Landings
Day]]</f>
        <v>1</v>
      </c>
      <c r="AB358" s="10">
        <v>0</v>
      </c>
      <c r="AC358" s="10">
        <v>0</v>
      </c>
      <c r="AD358" s="11">
        <v>0</v>
      </c>
      <c r="AE358" s="21">
        <f>SUM(MasterTable[[#This Row],[ILS]:[PAR]])</f>
        <v>0</v>
      </c>
      <c r="AL358" s="11"/>
      <c r="AR358" s="140" t="str">
        <f>_xlfn.XLOOKUP(MasterTable[[#This Row],[Aircraft ID]],Aircraft!A:A,Aircraft!H:H)</f>
        <v>Airplane Single Engine Land</v>
      </c>
      <c r="AS358" s="8" t="b">
        <f>OR((SUM(MasterTable[[#This Row],[ILS]:[PAR]]) = MasterTable[[#This Row],[APPR]]))</f>
        <v>1</v>
      </c>
      <c r="AT358" s="8" t="b">
        <f>NOT(ISBLANK(MasterTable[[#This Row],[Total
Time]]))</f>
        <v>1</v>
      </c>
    </row>
    <row r="359" spans="4:46" ht="28.8" x14ac:dyDescent="0.3">
      <c r="D359" s="22">
        <v>44737</v>
      </c>
      <c r="E359" s="8" t="s">
        <v>174</v>
      </c>
      <c r="F359" s="8" t="s">
        <v>204</v>
      </c>
      <c r="G359" s="8" t="s">
        <v>206</v>
      </c>
      <c r="I359" s="10">
        <v>1.1000000000000001</v>
      </c>
      <c r="J359" s="10">
        <v>1.1000000000000001</v>
      </c>
      <c r="L359" s="10">
        <v>0</v>
      </c>
      <c r="M359" s="13">
        <v>0</v>
      </c>
      <c r="N359" s="13"/>
      <c r="O359" s="10">
        <v>0</v>
      </c>
      <c r="P359" s="10">
        <v>0</v>
      </c>
      <c r="Q359" s="14">
        <v>0</v>
      </c>
      <c r="R359" s="14">
        <v>0</v>
      </c>
      <c r="S359" s="10">
        <v>0.5</v>
      </c>
      <c r="T359" s="10">
        <v>1.1000000000000001</v>
      </c>
      <c r="U359" s="14">
        <v>0</v>
      </c>
      <c r="V359" s="10"/>
      <c r="W359" s="11">
        <v>1</v>
      </c>
      <c r="X359" s="11">
        <v>0</v>
      </c>
      <c r="Y359" s="11">
        <v>0</v>
      </c>
      <c r="Z359" s="11">
        <v>1</v>
      </c>
      <c r="AA359" s="11">
        <f>MasterTable[[#This Row],[Landings
Night]]+MasterTable[[#This Row],[Landings
Day]]</f>
        <v>1</v>
      </c>
      <c r="AB359" s="10">
        <v>0</v>
      </c>
      <c r="AC359" s="10">
        <v>0</v>
      </c>
      <c r="AD359" s="11">
        <v>0</v>
      </c>
      <c r="AE359" s="21">
        <f>SUM(MasterTable[[#This Row],[ILS]:[PAR]])</f>
        <v>0</v>
      </c>
      <c r="AL359" s="11"/>
      <c r="AR359" s="140" t="str">
        <f>_xlfn.XLOOKUP(MasterTable[[#This Row],[Aircraft ID]],Aircraft!A:A,Aircraft!H:H)</f>
        <v>Airplane Single Engine Land</v>
      </c>
      <c r="AS359" s="8" t="b">
        <f>OR((SUM(MasterTable[[#This Row],[ILS]:[PAR]]) = MasterTable[[#This Row],[APPR]]))</f>
        <v>1</v>
      </c>
      <c r="AT359" s="8" t="b">
        <f>NOT(ISBLANK(MasterTable[[#This Row],[Total
Time]]))</f>
        <v>1</v>
      </c>
    </row>
    <row r="360" spans="4:46" ht="28.8" x14ac:dyDescent="0.3">
      <c r="D360" s="22">
        <v>44737</v>
      </c>
      <c r="E360" s="8" t="s">
        <v>174</v>
      </c>
      <c r="F360" s="8" t="s">
        <v>214</v>
      </c>
      <c r="G360" s="8" t="s">
        <v>204</v>
      </c>
      <c r="I360" s="10">
        <v>0.4</v>
      </c>
      <c r="J360" s="10">
        <v>0.4</v>
      </c>
      <c r="L360" s="10">
        <v>0</v>
      </c>
      <c r="M360" s="13">
        <v>0</v>
      </c>
      <c r="N360" s="13"/>
      <c r="O360" s="10">
        <v>0</v>
      </c>
      <c r="P360" s="10">
        <v>0</v>
      </c>
      <c r="Q360" s="14">
        <v>0</v>
      </c>
      <c r="R360" s="14">
        <v>0</v>
      </c>
      <c r="S360" s="10">
        <v>0</v>
      </c>
      <c r="T360" s="10">
        <v>0</v>
      </c>
      <c r="U360" s="14">
        <v>0</v>
      </c>
      <c r="V360" s="10"/>
      <c r="W360" s="11">
        <v>1</v>
      </c>
      <c r="X360" s="11">
        <v>1</v>
      </c>
      <c r="Y360" s="11">
        <v>0</v>
      </c>
      <c r="Z360" s="11">
        <v>0</v>
      </c>
      <c r="AA360" s="11">
        <f>MasterTable[[#This Row],[Landings
Night]]+MasterTable[[#This Row],[Landings
Day]]</f>
        <v>1</v>
      </c>
      <c r="AB360" s="10">
        <v>0</v>
      </c>
      <c r="AC360" s="10">
        <v>0</v>
      </c>
      <c r="AD360" s="11">
        <v>0</v>
      </c>
      <c r="AE360" s="21">
        <f>SUM(MasterTable[[#This Row],[ILS]:[PAR]])</f>
        <v>0</v>
      </c>
      <c r="AL360" s="11"/>
      <c r="AR360" s="140" t="str">
        <f>_xlfn.XLOOKUP(MasterTable[[#This Row],[Aircraft ID]],Aircraft!A:A,Aircraft!H:H)</f>
        <v>Airplane Single Engine Land</v>
      </c>
      <c r="AS360" s="8" t="b">
        <f>OR((SUM(MasterTable[[#This Row],[ILS]:[PAR]]) = MasterTable[[#This Row],[APPR]]))</f>
        <v>1</v>
      </c>
      <c r="AT360" s="8" t="b">
        <f>NOT(ISBLANK(MasterTable[[#This Row],[Total
Time]]))</f>
        <v>1</v>
      </c>
    </row>
    <row r="361" spans="4:46" ht="28.8" x14ac:dyDescent="0.3">
      <c r="D361" s="22">
        <v>44737</v>
      </c>
      <c r="E361" s="8" t="s">
        <v>174</v>
      </c>
      <c r="F361" s="8" t="s">
        <v>206</v>
      </c>
      <c r="G361" s="8" t="s">
        <v>214</v>
      </c>
      <c r="I361" s="10">
        <v>1.4</v>
      </c>
      <c r="J361" s="10">
        <v>1.4</v>
      </c>
      <c r="L361" s="10">
        <v>0</v>
      </c>
      <c r="M361" s="13">
        <v>0</v>
      </c>
      <c r="N361" s="13"/>
      <c r="O361" s="10">
        <v>0</v>
      </c>
      <c r="P361" s="10">
        <v>0</v>
      </c>
      <c r="Q361" s="14">
        <v>0</v>
      </c>
      <c r="R361" s="14">
        <v>0</v>
      </c>
      <c r="S361" s="10">
        <v>1.4</v>
      </c>
      <c r="T361" s="10">
        <v>1.4</v>
      </c>
      <c r="U361" s="14">
        <v>0</v>
      </c>
      <c r="V361" s="10"/>
      <c r="W361" s="11">
        <v>0</v>
      </c>
      <c r="X361" s="11">
        <v>0</v>
      </c>
      <c r="Y361" s="11">
        <v>1</v>
      </c>
      <c r="Z361" s="11">
        <v>1</v>
      </c>
      <c r="AA361" s="11">
        <f>MasterTable[[#This Row],[Landings
Night]]+MasterTable[[#This Row],[Landings
Day]]</f>
        <v>1</v>
      </c>
      <c r="AB361" s="10">
        <v>0</v>
      </c>
      <c r="AC361" s="10">
        <v>0</v>
      </c>
      <c r="AD361" s="11">
        <v>0</v>
      </c>
      <c r="AE361" s="21">
        <f>SUM(MasterTable[[#This Row],[ILS]:[PAR]])</f>
        <v>0</v>
      </c>
      <c r="AL361" s="11"/>
      <c r="AR361" s="140" t="str">
        <f>_xlfn.XLOOKUP(MasterTable[[#This Row],[Aircraft ID]],Aircraft!A:A,Aircraft!H:H)</f>
        <v>Airplane Single Engine Land</v>
      </c>
      <c r="AS361" s="8" t="b">
        <f>OR((SUM(MasterTable[[#This Row],[ILS]:[PAR]]) = MasterTable[[#This Row],[APPR]]))</f>
        <v>1</v>
      </c>
      <c r="AT361" s="8" t="b">
        <f>NOT(ISBLANK(MasterTable[[#This Row],[Total
Time]]))</f>
        <v>1</v>
      </c>
    </row>
    <row r="362" spans="4:46" ht="28.8" x14ac:dyDescent="0.3">
      <c r="D362" s="22">
        <v>44727</v>
      </c>
      <c r="E362" s="8" t="s">
        <v>139</v>
      </c>
      <c r="F362" s="8" t="s">
        <v>235</v>
      </c>
      <c r="G362" s="8" t="s">
        <v>206</v>
      </c>
      <c r="I362" s="10">
        <v>0.6</v>
      </c>
      <c r="J362" s="10">
        <v>0.6</v>
      </c>
      <c r="L362" s="10">
        <v>0</v>
      </c>
      <c r="M362" s="13">
        <v>0</v>
      </c>
      <c r="N362" s="13"/>
      <c r="O362" s="10">
        <v>0</v>
      </c>
      <c r="P362" s="10">
        <v>0</v>
      </c>
      <c r="Q362" s="14">
        <v>0</v>
      </c>
      <c r="R362" s="14">
        <v>0</v>
      </c>
      <c r="S362" s="10">
        <v>0</v>
      </c>
      <c r="T362" s="10">
        <v>0</v>
      </c>
      <c r="U362" s="14">
        <v>0</v>
      </c>
      <c r="V362" s="10"/>
      <c r="W362" s="11">
        <v>1</v>
      </c>
      <c r="X362" s="11">
        <v>1</v>
      </c>
      <c r="Y362" s="11">
        <v>0</v>
      </c>
      <c r="Z362" s="11">
        <v>0</v>
      </c>
      <c r="AA362" s="11">
        <f>MasterTable[[#This Row],[Landings
Night]]+MasterTable[[#This Row],[Landings
Day]]</f>
        <v>1</v>
      </c>
      <c r="AB362" s="10">
        <v>0</v>
      </c>
      <c r="AC362" s="10">
        <v>0</v>
      </c>
      <c r="AD362" s="11">
        <v>0</v>
      </c>
      <c r="AE362" s="21">
        <f>SUM(MasterTable[[#This Row],[ILS]:[PAR]])</f>
        <v>0</v>
      </c>
      <c r="AL362" s="11"/>
      <c r="AR362" s="140" t="str">
        <f>_xlfn.XLOOKUP(MasterTable[[#This Row],[Aircraft ID]],Aircraft!A:A,Aircraft!H:H)</f>
        <v>Airplane Single Engine Land</v>
      </c>
      <c r="AS362" s="8" t="b">
        <f>OR((SUM(MasterTable[[#This Row],[ILS]:[PAR]]) = MasterTable[[#This Row],[APPR]]))</f>
        <v>1</v>
      </c>
      <c r="AT362" s="8" t="b">
        <f>NOT(ISBLANK(MasterTable[[#This Row],[Total
Time]]))</f>
        <v>1</v>
      </c>
    </row>
    <row r="363" spans="4:46" ht="28.8" x14ac:dyDescent="0.3">
      <c r="D363" s="22">
        <v>44722</v>
      </c>
      <c r="E363" s="8" t="s">
        <v>139</v>
      </c>
      <c r="F363" s="8" t="s">
        <v>236</v>
      </c>
      <c r="G363" s="8" t="s">
        <v>235</v>
      </c>
      <c r="I363" s="10">
        <v>0.7</v>
      </c>
      <c r="J363" s="10">
        <v>0.7</v>
      </c>
      <c r="L363" s="10">
        <v>0</v>
      </c>
      <c r="M363" s="13">
        <v>0</v>
      </c>
      <c r="N363" s="13"/>
      <c r="O363" s="10">
        <v>0</v>
      </c>
      <c r="P363" s="10">
        <v>0</v>
      </c>
      <c r="Q363" s="14">
        <v>0</v>
      </c>
      <c r="R363" s="14">
        <v>0</v>
      </c>
      <c r="S363" s="10">
        <v>0</v>
      </c>
      <c r="T363" s="10">
        <v>0.7</v>
      </c>
      <c r="U363" s="14">
        <v>0</v>
      </c>
      <c r="V363" s="10"/>
      <c r="W363" s="11">
        <v>1</v>
      </c>
      <c r="X363" s="11">
        <v>1</v>
      </c>
      <c r="Y363" s="11">
        <v>0</v>
      </c>
      <c r="Z363" s="11">
        <v>0</v>
      </c>
      <c r="AA363" s="11">
        <f>MasterTable[[#This Row],[Landings
Night]]+MasterTable[[#This Row],[Landings
Day]]</f>
        <v>1</v>
      </c>
      <c r="AB363" s="10">
        <v>0</v>
      </c>
      <c r="AC363" s="10">
        <v>0</v>
      </c>
      <c r="AD363" s="11">
        <v>0</v>
      </c>
      <c r="AE363" s="21">
        <f>SUM(MasterTable[[#This Row],[ILS]:[PAR]])</f>
        <v>0</v>
      </c>
      <c r="AL363" s="11"/>
      <c r="AM363" s="8" t="s">
        <v>532</v>
      </c>
      <c r="AR363" s="140" t="str">
        <f>_xlfn.XLOOKUP(MasterTable[[#This Row],[Aircraft ID]],Aircraft!A:A,Aircraft!H:H)</f>
        <v>Airplane Single Engine Land</v>
      </c>
      <c r="AS363" s="8" t="b">
        <f>OR((SUM(MasterTable[[#This Row],[ILS]:[PAR]]) = MasterTable[[#This Row],[APPR]]))</f>
        <v>1</v>
      </c>
      <c r="AT363" s="8" t="b">
        <f>NOT(ISBLANK(MasterTable[[#This Row],[Total
Time]]))</f>
        <v>1</v>
      </c>
    </row>
    <row r="364" spans="4:46" ht="28.8" x14ac:dyDescent="0.3">
      <c r="D364" s="22">
        <v>44722</v>
      </c>
      <c r="E364" s="8" t="s">
        <v>139</v>
      </c>
      <c r="F364" s="8" t="s">
        <v>221</v>
      </c>
      <c r="G364" s="8" t="s">
        <v>236</v>
      </c>
      <c r="I364" s="10">
        <v>1.3</v>
      </c>
      <c r="J364" s="10">
        <v>1.3</v>
      </c>
      <c r="L364" s="10">
        <v>0</v>
      </c>
      <c r="M364" s="13">
        <v>0</v>
      </c>
      <c r="N364" s="13"/>
      <c r="O364" s="10">
        <v>0</v>
      </c>
      <c r="P364" s="10">
        <v>0</v>
      </c>
      <c r="Q364" s="14">
        <v>0</v>
      </c>
      <c r="R364" s="14">
        <v>0</v>
      </c>
      <c r="S364" s="10">
        <v>0</v>
      </c>
      <c r="T364" s="10">
        <v>1.3</v>
      </c>
      <c r="U364" s="14">
        <v>0</v>
      </c>
      <c r="V364" s="10"/>
      <c r="W364" s="11">
        <v>1</v>
      </c>
      <c r="X364" s="11">
        <v>1</v>
      </c>
      <c r="Y364" s="11">
        <v>0</v>
      </c>
      <c r="Z364" s="11">
        <v>0</v>
      </c>
      <c r="AA364" s="11">
        <f>MasterTable[[#This Row],[Landings
Night]]+MasterTable[[#This Row],[Landings
Day]]</f>
        <v>1</v>
      </c>
      <c r="AB364" s="10">
        <v>0</v>
      </c>
      <c r="AC364" s="10">
        <v>0</v>
      </c>
      <c r="AD364" s="11">
        <v>0</v>
      </c>
      <c r="AE364" s="21">
        <f>SUM(MasterTable[[#This Row],[ILS]:[PAR]])</f>
        <v>0</v>
      </c>
      <c r="AL364" s="11"/>
      <c r="AR364" s="140" t="str">
        <f>_xlfn.XLOOKUP(MasterTable[[#This Row],[Aircraft ID]],Aircraft!A:A,Aircraft!H:H)</f>
        <v>Airplane Single Engine Land</v>
      </c>
      <c r="AS364" s="8" t="b">
        <f>OR((SUM(MasterTable[[#This Row],[ILS]:[PAR]]) = MasterTable[[#This Row],[APPR]]))</f>
        <v>1</v>
      </c>
      <c r="AT364" s="8" t="b">
        <f>NOT(ISBLANK(MasterTable[[#This Row],[Total
Time]]))</f>
        <v>1</v>
      </c>
    </row>
    <row r="365" spans="4:46" ht="28.8" x14ac:dyDescent="0.3">
      <c r="D365" s="22">
        <v>44722</v>
      </c>
      <c r="E365" s="8" t="s">
        <v>139</v>
      </c>
      <c r="F365" s="8" t="s">
        <v>221</v>
      </c>
      <c r="G365" s="8" t="s">
        <v>221</v>
      </c>
      <c r="I365" s="10">
        <v>1.8</v>
      </c>
      <c r="J365" s="10">
        <v>1.8</v>
      </c>
      <c r="L365" s="10">
        <v>0</v>
      </c>
      <c r="M365" s="13">
        <v>0</v>
      </c>
      <c r="N365" s="13"/>
      <c r="O365" s="10">
        <v>0</v>
      </c>
      <c r="P365" s="10">
        <v>0</v>
      </c>
      <c r="Q365" s="14">
        <v>0</v>
      </c>
      <c r="R365" s="14">
        <v>0</v>
      </c>
      <c r="S365" s="10">
        <v>0</v>
      </c>
      <c r="T365" s="10">
        <v>0</v>
      </c>
      <c r="U365" s="14">
        <v>0</v>
      </c>
      <c r="V365" s="10">
        <v>0.5</v>
      </c>
      <c r="W365" s="11">
        <v>6</v>
      </c>
      <c r="X365" s="11">
        <v>6</v>
      </c>
      <c r="Y365" s="11">
        <v>0</v>
      </c>
      <c r="Z365" s="11">
        <v>0</v>
      </c>
      <c r="AA365" s="11">
        <f>MasterTable[[#This Row],[Landings
Night]]+MasterTable[[#This Row],[Landings
Day]]</f>
        <v>6</v>
      </c>
      <c r="AB365" s="10">
        <v>0</v>
      </c>
      <c r="AC365" s="10">
        <v>0</v>
      </c>
      <c r="AD365" s="11">
        <v>0</v>
      </c>
      <c r="AE365" s="21">
        <f>SUM(MasterTable[[#This Row],[ILS]:[PAR]])</f>
        <v>0</v>
      </c>
      <c r="AL365" s="11"/>
      <c r="AR365" s="140" t="str">
        <f>_xlfn.XLOOKUP(MasterTable[[#This Row],[Aircraft ID]],Aircraft!A:A,Aircraft!H:H)</f>
        <v>Airplane Single Engine Land</v>
      </c>
      <c r="AS365" s="8" t="b">
        <f>OR((SUM(MasterTable[[#This Row],[ILS]:[PAR]]) = MasterTable[[#This Row],[APPR]]))</f>
        <v>1</v>
      </c>
      <c r="AT365" s="8" t="b">
        <f>NOT(ISBLANK(MasterTable[[#This Row],[Total
Time]]))</f>
        <v>1</v>
      </c>
    </row>
    <row r="366" spans="4:46" ht="28.8" x14ac:dyDescent="0.3">
      <c r="D366" s="22">
        <v>44721</v>
      </c>
      <c r="E366" s="8" t="s">
        <v>139</v>
      </c>
      <c r="F366" s="8" t="s">
        <v>221</v>
      </c>
      <c r="G366" s="8" t="s">
        <v>221</v>
      </c>
      <c r="I366" s="10">
        <v>1.2</v>
      </c>
      <c r="J366" s="10">
        <v>1.2</v>
      </c>
      <c r="L366" s="10">
        <v>0</v>
      </c>
      <c r="M366" s="13">
        <v>0</v>
      </c>
      <c r="N366" s="13"/>
      <c r="O366" s="10">
        <v>0</v>
      </c>
      <c r="P366" s="10">
        <v>0</v>
      </c>
      <c r="Q366" s="14">
        <v>0</v>
      </c>
      <c r="R366" s="14">
        <v>0</v>
      </c>
      <c r="S366" s="10">
        <v>0</v>
      </c>
      <c r="T366" s="10">
        <v>0</v>
      </c>
      <c r="U366" s="14">
        <v>0</v>
      </c>
      <c r="V366" s="10">
        <v>0.6</v>
      </c>
      <c r="W366" s="11">
        <v>4</v>
      </c>
      <c r="X366" s="11">
        <v>4</v>
      </c>
      <c r="Y366" s="11">
        <v>0</v>
      </c>
      <c r="Z366" s="11">
        <v>0</v>
      </c>
      <c r="AA366" s="11">
        <f>MasterTable[[#This Row],[Landings
Night]]+MasterTable[[#This Row],[Landings
Day]]</f>
        <v>4</v>
      </c>
      <c r="AB366" s="10">
        <v>0</v>
      </c>
      <c r="AC366" s="10">
        <v>0</v>
      </c>
      <c r="AD366" s="11">
        <v>0</v>
      </c>
      <c r="AE366" s="21">
        <f>SUM(MasterTable[[#This Row],[ILS]:[PAR]])</f>
        <v>0</v>
      </c>
      <c r="AL366" s="11"/>
      <c r="AR366" s="140" t="str">
        <f>_xlfn.XLOOKUP(MasterTable[[#This Row],[Aircraft ID]],Aircraft!A:A,Aircraft!H:H)</f>
        <v>Airplane Single Engine Land</v>
      </c>
      <c r="AS366" s="8" t="b">
        <f>OR((SUM(MasterTable[[#This Row],[ILS]:[PAR]]) = MasterTable[[#This Row],[APPR]]))</f>
        <v>1</v>
      </c>
      <c r="AT366" s="8" t="b">
        <f>NOT(ISBLANK(MasterTable[[#This Row],[Total
Time]]))</f>
        <v>1</v>
      </c>
    </row>
    <row r="367" spans="4:46" ht="28.8" x14ac:dyDescent="0.3">
      <c r="D367" s="22">
        <v>44720</v>
      </c>
      <c r="E367" s="8" t="s">
        <v>139</v>
      </c>
      <c r="F367" s="8" t="s">
        <v>221</v>
      </c>
      <c r="G367" s="8" t="s">
        <v>221</v>
      </c>
      <c r="I367" s="10">
        <v>0.6</v>
      </c>
      <c r="J367" s="10">
        <v>0.6</v>
      </c>
      <c r="L367" s="10">
        <v>0</v>
      </c>
      <c r="M367" s="13">
        <v>0</v>
      </c>
      <c r="N367" s="13"/>
      <c r="O367" s="10">
        <v>0</v>
      </c>
      <c r="P367" s="10">
        <v>0</v>
      </c>
      <c r="Q367" s="14">
        <v>0</v>
      </c>
      <c r="R367" s="14">
        <v>0</v>
      </c>
      <c r="S367" s="10">
        <v>0</v>
      </c>
      <c r="T367" s="10">
        <v>0</v>
      </c>
      <c r="U367" s="14">
        <v>0</v>
      </c>
      <c r="V367" s="10"/>
      <c r="W367" s="11">
        <v>1</v>
      </c>
      <c r="X367" s="11">
        <v>1</v>
      </c>
      <c r="Y367" s="11">
        <v>0</v>
      </c>
      <c r="Z367" s="11">
        <v>0</v>
      </c>
      <c r="AA367" s="11">
        <f>MasterTable[[#This Row],[Landings
Night]]+MasterTable[[#This Row],[Landings
Day]]</f>
        <v>1</v>
      </c>
      <c r="AB367" s="10">
        <v>0</v>
      </c>
      <c r="AC367" s="10">
        <v>0</v>
      </c>
      <c r="AD367" s="11">
        <v>0</v>
      </c>
      <c r="AE367" s="21">
        <f>SUM(MasterTable[[#This Row],[ILS]:[PAR]])</f>
        <v>0</v>
      </c>
      <c r="AL367" s="11"/>
      <c r="AR367" s="140" t="str">
        <f>_xlfn.XLOOKUP(MasterTable[[#This Row],[Aircraft ID]],Aircraft!A:A,Aircraft!H:H)</f>
        <v>Airplane Single Engine Land</v>
      </c>
      <c r="AS367" s="8" t="b">
        <f>OR((SUM(MasterTable[[#This Row],[ILS]:[PAR]]) = MasterTable[[#This Row],[APPR]]))</f>
        <v>1</v>
      </c>
      <c r="AT367" s="8" t="b">
        <f>NOT(ISBLANK(MasterTable[[#This Row],[Total
Time]]))</f>
        <v>1</v>
      </c>
    </row>
    <row r="368" spans="4:46" ht="28.8" x14ac:dyDescent="0.3">
      <c r="D368" s="22">
        <v>44719</v>
      </c>
      <c r="E368" s="8" t="s">
        <v>139</v>
      </c>
      <c r="F368" s="8" t="s">
        <v>237</v>
      </c>
      <c r="G368" s="8" t="s">
        <v>221</v>
      </c>
      <c r="I368" s="10">
        <v>0.4</v>
      </c>
      <c r="J368" s="10">
        <v>0.4</v>
      </c>
      <c r="L368" s="10">
        <v>0</v>
      </c>
      <c r="M368" s="13">
        <v>0</v>
      </c>
      <c r="N368" s="13"/>
      <c r="O368" s="10">
        <v>0</v>
      </c>
      <c r="P368" s="10">
        <v>0</v>
      </c>
      <c r="Q368" s="14">
        <v>0</v>
      </c>
      <c r="R368" s="14">
        <v>0</v>
      </c>
      <c r="S368" s="10">
        <v>0</v>
      </c>
      <c r="T368" s="10">
        <v>0.4</v>
      </c>
      <c r="U368" s="14">
        <v>0</v>
      </c>
      <c r="V368" s="10">
        <v>0.4</v>
      </c>
      <c r="W368" s="11">
        <v>1</v>
      </c>
      <c r="X368" s="11">
        <v>1</v>
      </c>
      <c r="Y368" s="11">
        <v>0</v>
      </c>
      <c r="Z368" s="11">
        <v>0</v>
      </c>
      <c r="AA368" s="11">
        <f>MasterTable[[#This Row],[Landings
Night]]+MasterTable[[#This Row],[Landings
Day]]</f>
        <v>1</v>
      </c>
      <c r="AB368" s="10">
        <v>0</v>
      </c>
      <c r="AC368" s="10">
        <v>0</v>
      </c>
      <c r="AD368" s="11">
        <v>0</v>
      </c>
      <c r="AE368" s="21">
        <f>SUM(MasterTable[[#This Row],[ILS]:[PAR]])</f>
        <v>0</v>
      </c>
      <c r="AL368" s="11"/>
      <c r="AR368" s="140" t="str">
        <f>_xlfn.XLOOKUP(MasterTable[[#This Row],[Aircraft ID]],Aircraft!A:A,Aircraft!H:H)</f>
        <v>Airplane Single Engine Land</v>
      </c>
      <c r="AS368" s="8" t="b">
        <f>OR((SUM(MasterTable[[#This Row],[ILS]:[PAR]]) = MasterTable[[#This Row],[APPR]]))</f>
        <v>1</v>
      </c>
      <c r="AT368" s="8" t="b">
        <f>NOT(ISBLANK(MasterTable[[#This Row],[Total
Time]]))</f>
        <v>1</v>
      </c>
    </row>
    <row r="369" spans="4:46" ht="28.8" x14ac:dyDescent="0.3">
      <c r="D369" s="22">
        <v>44719</v>
      </c>
      <c r="E369" s="8" t="s">
        <v>139</v>
      </c>
      <c r="F369" s="8" t="s">
        <v>236</v>
      </c>
      <c r="G369" s="8" t="s">
        <v>237</v>
      </c>
      <c r="I369" s="10">
        <v>1</v>
      </c>
      <c r="J369" s="10">
        <v>1</v>
      </c>
      <c r="L369" s="10">
        <v>0</v>
      </c>
      <c r="M369" s="13">
        <v>0</v>
      </c>
      <c r="N369" s="13"/>
      <c r="O369" s="10">
        <v>0</v>
      </c>
      <c r="P369" s="10">
        <v>0</v>
      </c>
      <c r="Q369" s="14">
        <v>0</v>
      </c>
      <c r="R369" s="14">
        <v>0</v>
      </c>
      <c r="S369" s="10">
        <v>0</v>
      </c>
      <c r="T369" s="10">
        <v>1</v>
      </c>
      <c r="U369" s="14">
        <v>0</v>
      </c>
      <c r="V369" s="10">
        <v>1</v>
      </c>
      <c r="W369" s="11">
        <v>1</v>
      </c>
      <c r="X369" s="11">
        <v>1</v>
      </c>
      <c r="Y369" s="11">
        <v>0</v>
      </c>
      <c r="Z369" s="11">
        <v>0</v>
      </c>
      <c r="AA369" s="11">
        <f>MasterTable[[#This Row],[Landings
Night]]+MasterTable[[#This Row],[Landings
Day]]</f>
        <v>1</v>
      </c>
      <c r="AB369" s="10">
        <v>0</v>
      </c>
      <c r="AC369" s="10">
        <v>0</v>
      </c>
      <c r="AD369" s="11">
        <v>0</v>
      </c>
      <c r="AE369" s="21">
        <f>SUM(MasterTable[[#This Row],[ILS]:[PAR]])</f>
        <v>0</v>
      </c>
      <c r="AL369" s="11"/>
      <c r="AR369" s="140" t="str">
        <f>_xlfn.XLOOKUP(MasterTable[[#This Row],[Aircraft ID]],Aircraft!A:A,Aircraft!H:H)</f>
        <v>Airplane Single Engine Land</v>
      </c>
      <c r="AS369" s="8" t="b">
        <f>OR((SUM(MasterTable[[#This Row],[ILS]:[PAR]]) = MasterTable[[#This Row],[APPR]]))</f>
        <v>1</v>
      </c>
      <c r="AT369" s="8" t="b">
        <f>NOT(ISBLANK(MasterTable[[#This Row],[Total
Time]]))</f>
        <v>1</v>
      </c>
    </row>
    <row r="370" spans="4:46" ht="28.8" x14ac:dyDescent="0.3">
      <c r="D370" s="22">
        <v>44719</v>
      </c>
      <c r="E370" s="8" t="s">
        <v>139</v>
      </c>
      <c r="F370" s="8" t="s">
        <v>206</v>
      </c>
      <c r="G370" s="8" t="s">
        <v>236</v>
      </c>
      <c r="H370" s="8" t="s">
        <v>238</v>
      </c>
      <c r="I370" s="10">
        <v>1.5</v>
      </c>
      <c r="J370" s="10">
        <v>1.5</v>
      </c>
      <c r="L370" s="10">
        <v>0</v>
      </c>
      <c r="M370" s="13">
        <v>0</v>
      </c>
      <c r="N370" s="13"/>
      <c r="O370" s="10">
        <v>0</v>
      </c>
      <c r="P370" s="10">
        <v>0</v>
      </c>
      <c r="Q370" s="14">
        <v>0</v>
      </c>
      <c r="R370" s="14">
        <v>0</v>
      </c>
      <c r="S370" s="10">
        <v>0</v>
      </c>
      <c r="T370" s="10">
        <v>1.5</v>
      </c>
      <c r="U370" s="14">
        <v>0</v>
      </c>
      <c r="V370" s="10">
        <v>1.5</v>
      </c>
      <c r="W370" s="11">
        <v>2</v>
      </c>
      <c r="X370" s="11">
        <v>2</v>
      </c>
      <c r="Y370" s="11">
        <v>0</v>
      </c>
      <c r="Z370" s="11">
        <v>0</v>
      </c>
      <c r="AA370" s="11">
        <f>MasterTable[[#This Row],[Landings
Night]]+MasterTable[[#This Row],[Landings
Day]]</f>
        <v>2</v>
      </c>
      <c r="AB370" s="10">
        <v>0</v>
      </c>
      <c r="AC370" s="10">
        <v>0</v>
      </c>
      <c r="AD370" s="11">
        <v>0</v>
      </c>
      <c r="AE370" s="21">
        <f>SUM(MasterTable[[#This Row],[ILS]:[PAR]])</f>
        <v>0</v>
      </c>
      <c r="AL370" s="11"/>
      <c r="AR370" s="140" t="str">
        <f>_xlfn.XLOOKUP(MasterTable[[#This Row],[Aircraft ID]],Aircraft!A:A,Aircraft!H:H)</f>
        <v>Airplane Single Engine Land</v>
      </c>
      <c r="AS370" s="8" t="b">
        <f>OR((SUM(MasterTable[[#This Row],[ILS]:[PAR]]) = MasterTable[[#This Row],[APPR]]))</f>
        <v>1</v>
      </c>
      <c r="AT370" s="8" t="b">
        <f>NOT(ISBLANK(MasterTable[[#This Row],[Total
Time]]))</f>
        <v>1</v>
      </c>
    </row>
    <row r="371" spans="4:46" ht="28.8" x14ac:dyDescent="0.3">
      <c r="D371" s="22">
        <v>44717</v>
      </c>
      <c r="E371" s="8" t="s">
        <v>139</v>
      </c>
      <c r="F371" s="8" t="s">
        <v>206</v>
      </c>
      <c r="G371" s="8" t="s">
        <v>206</v>
      </c>
      <c r="I371" s="10">
        <v>0.6</v>
      </c>
      <c r="J371" s="10">
        <v>0.6</v>
      </c>
      <c r="L371" s="10">
        <v>0</v>
      </c>
      <c r="M371" s="13">
        <v>0</v>
      </c>
      <c r="N371" s="13"/>
      <c r="O371" s="10">
        <v>0</v>
      </c>
      <c r="P371" s="10">
        <v>0</v>
      </c>
      <c r="Q371" s="14">
        <v>0</v>
      </c>
      <c r="R371" s="14">
        <v>0</v>
      </c>
      <c r="S371" s="10">
        <v>0</v>
      </c>
      <c r="T371" s="10">
        <v>0</v>
      </c>
      <c r="U371" s="14">
        <v>0</v>
      </c>
      <c r="V371" s="10"/>
      <c r="W371" s="11">
        <v>1</v>
      </c>
      <c r="X371" s="11">
        <v>1</v>
      </c>
      <c r="Y371" s="11">
        <v>0</v>
      </c>
      <c r="Z371" s="11">
        <v>0</v>
      </c>
      <c r="AA371" s="11">
        <f>MasterTable[[#This Row],[Landings
Night]]+MasterTable[[#This Row],[Landings
Day]]</f>
        <v>1</v>
      </c>
      <c r="AB371" s="10">
        <v>0</v>
      </c>
      <c r="AC371" s="10">
        <v>0</v>
      </c>
      <c r="AD371" s="11">
        <v>0</v>
      </c>
      <c r="AE371" s="21">
        <f>SUM(MasterTable[[#This Row],[ILS]:[PAR]])</f>
        <v>0</v>
      </c>
      <c r="AL371" s="11"/>
      <c r="AR371" s="140" t="str">
        <f>_xlfn.XLOOKUP(MasterTable[[#This Row],[Aircraft ID]],Aircraft!A:A,Aircraft!H:H)</f>
        <v>Airplane Single Engine Land</v>
      </c>
      <c r="AS371" s="8" t="b">
        <f>OR((SUM(MasterTable[[#This Row],[ILS]:[PAR]]) = MasterTable[[#This Row],[APPR]]))</f>
        <v>1</v>
      </c>
      <c r="AT371" s="8" t="b">
        <f>NOT(ISBLANK(MasterTable[[#This Row],[Total
Time]]))</f>
        <v>1</v>
      </c>
    </row>
    <row r="372" spans="4:46" ht="28.8" x14ac:dyDescent="0.3">
      <c r="D372" s="22">
        <v>44713</v>
      </c>
      <c r="E372" s="8" t="s">
        <v>139</v>
      </c>
      <c r="F372" s="8" t="s">
        <v>206</v>
      </c>
      <c r="G372" s="8" t="s">
        <v>206</v>
      </c>
      <c r="I372" s="10">
        <v>0.9</v>
      </c>
      <c r="J372" s="10">
        <v>0.9</v>
      </c>
      <c r="L372" s="10">
        <v>0</v>
      </c>
      <c r="M372" s="13">
        <v>0</v>
      </c>
      <c r="N372" s="13"/>
      <c r="O372" s="10">
        <v>0</v>
      </c>
      <c r="P372" s="10">
        <v>0</v>
      </c>
      <c r="Q372" s="14">
        <v>0</v>
      </c>
      <c r="R372" s="14">
        <v>0</v>
      </c>
      <c r="T372" s="10">
        <v>0</v>
      </c>
      <c r="U372" s="14">
        <v>0</v>
      </c>
      <c r="V372" s="10"/>
      <c r="W372" s="11">
        <v>1</v>
      </c>
      <c r="X372" s="11">
        <v>1</v>
      </c>
      <c r="Y372" s="11">
        <v>0</v>
      </c>
      <c r="Z372" s="11">
        <v>0</v>
      </c>
      <c r="AA372" s="11">
        <f>MasterTable[[#This Row],[Landings
Night]]+MasterTable[[#This Row],[Landings
Day]]</f>
        <v>1</v>
      </c>
      <c r="AB372" s="10">
        <v>0</v>
      </c>
      <c r="AC372" s="10">
        <v>0</v>
      </c>
      <c r="AD372" s="11">
        <v>0</v>
      </c>
      <c r="AE372" s="21">
        <f>SUM(MasterTable[[#This Row],[ILS]:[PAR]])</f>
        <v>0</v>
      </c>
      <c r="AL372" s="11"/>
      <c r="AR372" s="140" t="str">
        <f>_xlfn.XLOOKUP(MasterTable[[#This Row],[Aircraft ID]],Aircraft!A:A,Aircraft!H:H)</f>
        <v>Airplane Single Engine Land</v>
      </c>
      <c r="AS372" s="8" t="b">
        <f>OR((SUM(MasterTable[[#This Row],[ILS]:[PAR]]) = MasterTable[[#This Row],[APPR]]))</f>
        <v>1</v>
      </c>
      <c r="AT372" s="8" t="b">
        <f>NOT(ISBLANK(MasterTable[[#This Row],[Total
Time]]))</f>
        <v>1</v>
      </c>
    </row>
    <row r="373" spans="4:46" ht="28.8" x14ac:dyDescent="0.3">
      <c r="D373" s="22">
        <v>44712</v>
      </c>
      <c r="E373" s="8" t="s">
        <v>139</v>
      </c>
      <c r="F373" s="8" t="s">
        <v>206</v>
      </c>
      <c r="G373" s="8" t="s">
        <v>206</v>
      </c>
      <c r="I373" s="10">
        <v>1.4</v>
      </c>
      <c r="J373" s="10">
        <v>1.4</v>
      </c>
      <c r="L373" s="10">
        <v>0</v>
      </c>
      <c r="M373" s="13">
        <v>0</v>
      </c>
      <c r="N373" s="13"/>
      <c r="O373" s="10">
        <v>0</v>
      </c>
      <c r="P373" s="10">
        <v>0</v>
      </c>
      <c r="Q373" s="14">
        <v>0</v>
      </c>
      <c r="R373" s="14">
        <v>0</v>
      </c>
      <c r="S373" s="10">
        <v>0</v>
      </c>
      <c r="T373" s="10">
        <v>0</v>
      </c>
      <c r="U373" s="14">
        <v>0</v>
      </c>
      <c r="V373" s="10"/>
      <c r="W373" s="11">
        <v>3</v>
      </c>
      <c r="X373" s="11">
        <v>3</v>
      </c>
      <c r="Y373" s="11">
        <v>0</v>
      </c>
      <c r="Z373" s="11">
        <v>0</v>
      </c>
      <c r="AA373" s="11">
        <f>MasterTable[[#This Row],[Landings
Night]]+MasterTable[[#This Row],[Landings
Day]]</f>
        <v>3</v>
      </c>
      <c r="AB373" s="10">
        <v>0</v>
      </c>
      <c r="AC373" s="10">
        <v>0</v>
      </c>
      <c r="AD373" s="11">
        <v>0</v>
      </c>
      <c r="AE373" s="21">
        <f>SUM(MasterTable[[#This Row],[ILS]:[PAR]])</f>
        <v>0</v>
      </c>
      <c r="AL373" s="11"/>
      <c r="AR373" s="140" t="str">
        <f>_xlfn.XLOOKUP(MasterTable[[#This Row],[Aircraft ID]],Aircraft!A:A,Aircraft!H:H)</f>
        <v>Airplane Single Engine Land</v>
      </c>
      <c r="AS373" s="8" t="b">
        <f>OR((SUM(MasterTable[[#This Row],[ILS]:[PAR]]) = MasterTable[[#This Row],[APPR]]))</f>
        <v>1</v>
      </c>
      <c r="AT373" s="8" t="b">
        <f>NOT(ISBLANK(MasterTable[[#This Row],[Total
Time]]))</f>
        <v>1</v>
      </c>
    </row>
    <row r="374" spans="4:46" ht="28.8" x14ac:dyDescent="0.3">
      <c r="D374" s="22">
        <v>44709</v>
      </c>
      <c r="E374" s="8" t="s">
        <v>174</v>
      </c>
      <c r="F374" s="8" t="s">
        <v>206</v>
      </c>
      <c r="G374" s="8" t="s">
        <v>206</v>
      </c>
      <c r="I374" s="10">
        <v>1.2</v>
      </c>
      <c r="J374" s="10">
        <v>1.2</v>
      </c>
      <c r="L374" s="10">
        <v>0</v>
      </c>
      <c r="M374" s="13">
        <v>0</v>
      </c>
      <c r="N374" s="13"/>
      <c r="O374" s="10">
        <v>0</v>
      </c>
      <c r="P374" s="10">
        <v>0</v>
      </c>
      <c r="Q374" s="14">
        <v>0</v>
      </c>
      <c r="R374" s="14">
        <v>0</v>
      </c>
      <c r="S374" s="10">
        <v>0</v>
      </c>
      <c r="T374" s="10">
        <v>0</v>
      </c>
      <c r="U374" s="14">
        <v>0</v>
      </c>
      <c r="V374" s="10"/>
      <c r="W374" s="11">
        <v>6</v>
      </c>
      <c r="X374" s="11">
        <v>6</v>
      </c>
      <c r="Y374" s="11">
        <v>0</v>
      </c>
      <c r="Z374" s="11">
        <v>0</v>
      </c>
      <c r="AA374" s="11">
        <f>MasterTable[[#This Row],[Landings
Night]]+MasterTable[[#This Row],[Landings
Day]]</f>
        <v>6</v>
      </c>
      <c r="AB374" s="10">
        <v>0</v>
      </c>
      <c r="AC374" s="10">
        <v>0</v>
      </c>
      <c r="AD374" s="11">
        <v>0</v>
      </c>
      <c r="AE374" s="21">
        <f>SUM(MasterTable[[#This Row],[ILS]:[PAR]])</f>
        <v>0</v>
      </c>
      <c r="AL374" s="11"/>
      <c r="AR374" s="140" t="str">
        <f>_xlfn.XLOOKUP(MasterTable[[#This Row],[Aircraft ID]],Aircraft!A:A,Aircraft!H:H)</f>
        <v>Airplane Single Engine Land</v>
      </c>
      <c r="AS374" s="8" t="b">
        <f>OR((SUM(MasterTable[[#This Row],[ILS]:[PAR]]) = MasterTable[[#This Row],[APPR]]))</f>
        <v>1</v>
      </c>
      <c r="AT374" s="8" t="b">
        <f>NOT(ISBLANK(MasterTable[[#This Row],[Total
Time]]))</f>
        <v>1</v>
      </c>
    </row>
    <row r="375" spans="4:46" ht="28.8" x14ac:dyDescent="0.3">
      <c r="D375" s="22">
        <v>44708</v>
      </c>
      <c r="E375" s="8" t="s">
        <v>174</v>
      </c>
      <c r="F375" s="8" t="s">
        <v>206</v>
      </c>
      <c r="G375" s="8" t="s">
        <v>206</v>
      </c>
      <c r="I375" s="10">
        <v>1.1000000000000001</v>
      </c>
      <c r="J375" s="10">
        <v>1.1000000000000001</v>
      </c>
      <c r="L375" s="10">
        <v>0</v>
      </c>
      <c r="M375" s="13">
        <v>0</v>
      </c>
      <c r="N375" s="13"/>
      <c r="O375" s="10">
        <v>0</v>
      </c>
      <c r="P375" s="10">
        <v>0</v>
      </c>
      <c r="Q375" s="14">
        <v>0</v>
      </c>
      <c r="R375" s="14">
        <v>0</v>
      </c>
      <c r="S375" s="10">
        <v>0</v>
      </c>
      <c r="T375" s="10">
        <v>0</v>
      </c>
      <c r="U375" s="14">
        <v>0</v>
      </c>
      <c r="V375" s="10"/>
      <c r="W375" s="11">
        <v>7</v>
      </c>
      <c r="X375" s="11">
        <v>7</v>
      </c>
      <c r="Y375" s="11">
        <v>0</v>
      </c>
      <c r="Z375" s="11">
        <v>0</v>
      </c>
      <c r="AA375" s="11">
        <f>MasterTable[[#This Row],[Landings
Night]]+MasterTable[[#This Row],[Landings
Day]]</f>
        <v>7</v>
      </c>
      <c r="AB375" s="10">
        <v>0</v>
      </c>
      <c r="AC375" s="10">
        <v>0</v>
      </c>
      <c r="AD375" s="11">
        <v>0</v>
      </c>
      <c r="AE375" s="21">
        <f>SUM(MasterTable[[#This Row],[ILS]:[PAR]])</f>
        <v>0</v>
      </c>
      <c r="AL375" s="11"/>
      <c r="AR375" s="140" t="str">
        <f>_xlfn.XLOOKUP(MasterTable[[#This Row],[Aircraft ID]],Aircraft!A:A,Aircraft!H:H)</f>
        <v>Airplane Single Engine Land</v>
      </c>
      <c r="AS375" s="8" t="b">
        <f>OR((SUM(MasterTable[[#This Row],[ILS]:[PAR]]) = MasterTable[[#This Row],[APPR]]))</f>
        <v>1</v>
      </c>
      <c r="AT375" s="8" t="b">
        <f>NOT(ISBLANK(MasterTable[[#This Row],[Total
Time]]))</f>
        <v>1</v>
      </c>
    </row>
    <row r="376" spans="4:46" ht="28.8" x14ac:dyDescent="0.3">
      <c r="D376" s="22">
        <v>44706</v>
      </c>
      <c r="E376" s="8" t="s">
        <v>174</v>
      </c>
      <c r="F376" s="8" t="s">
        <v>206</v>
      </c>
      <c r="G376" s="8" t="s">
        <v>206</v>
      </c>
      <c r="I376" s="10">
        <v>0.6</v>
      </c>
      <c r="J376" s="10">
        <v>0.6</v>
      </c>
      <c r="L376" s="10">
        <v>0</v>
      </c>
      <c r="M376" s="13">
        <v>0</v>
      </c>
      <c r="N376" s="13"/>
      <c r="O376" s="10">
        <v>0</v>
      </c>
      <c r="P376" s="10">
        <v>0</v>
      </c>
      <c r="Q376" s="14">
        <v>0</v>
      </c>
      <c r="R376" s="14">
        <v>0</v>
      </c>
      <c r="S376" s="10">
        <v>0</v>
      </c>
      <c r="T376" s="10">
        <v>0</v>
      </c>
      <c r="U376" s="14">
        <v>0</v>
      </c>
      <c r="V376" s="10"/>
      <c r="W376" s="11">
        <v>7</v>
      </c>
      <c r="X376" s="11">
        <v>7</v>
      </c>
      <c r="Y376" s="11">
        <v>0</v>
      </c>
      <c r="Z376" s="11">
        <v>0</v>
      </c>
      <c r="AA376" s="11">
        <f>MasterTable[[#This Row],[Landings
Night]]+MasterTable[[#This Row],[Landings
Day]]</f>
        <v>7</v>
      </c>
      <c r="AB376" s="10">
        <v>0</v>
      </c>
      <c r="AC376" s="10">
        <v>0</v>
      </c>
      <c r="AD376" s="11">
        <v>0</v>
      </c>
      <c r="AE376" s="21">
        <f>SUM(MasterTable[[#This Row],[ILS]:[PAR]])</f>
        <v>0</v>
      </c>
      <c r="AL376" s="11"/>
      <c r="AR376" s="140" t="str">
        <f>_xlfn.XLOOKUP(MasterTable[[#This Row],[Aircraft ID]],Aircraft!A:A,Aircraft!H:H)</f>
        <v>Airplane Single Engine Land</v>
      </c>
      <c r="AS376" s="8" t="b">
        <f>OR((SUM(MasterTable[[#This Row],[ILS]:[PAR]]) = MasterTable[[#This Row],[APPR]]))</f>
        <v>1</v>
      </c>
      <c r="AT376" s="8" t="b">
        <f>NOT(ISBLANK(MasterTable[[#This Row],[Total
Time]]))</f>
        <v>1</v>
      </c>
    </row>
    <row r="377" spans="4:46" ht="28.8" x14ac:dyDescent="0.3">
      <c r="D377" s="22">
        <v>44705</v>
      </c>
      <c r="E377" s="8" t="s">
        <v>174</v>
      </c>
      <c r="F377" s="8" t="s">
        <v>207</v>
      </c>
      <c r="G377" s="8" t="s">
        <v>206</v>
      </c>
      <c r="I377" s="10">
        <v>1.1000000000000001</v>
      </c>
      <c r="J377" s="10">
        <v>1.1000000000000001</v>
      </c>
      <c r="L377" s="10">
        <v>0</v>
      </c>
      <c r="M377" s="13">
        <v>0</v>
      </c>
      <c r="N377" s="13"/>
      <c r="O377" s="10">
        <v>0</v>
      </c>
      <c r="P377" s="10">
        <v>0</v>
      </c>
      <c r="Q377" s="14">
        <v>0</v>
      </c>
      <c r="R377" s="14">
        <v>0</v>
      </c>
      <c r="S377" s="10">
        <v>0</v>
      </c>
      <c r="T377" s="10">
        <v>0</v>
      </c>
      <c r="U377" s="14">
        <v>0</v>
      </c>
      <c r="V377" s="10"/>
      <c r="W377" s="11">
        <v>6</v>
      </c>
      <c r="X377" s="11">
        <v>6</v>
      </c>
      <c r="Y377" s="11">
        <v>0</v>
      </c>
      <c r="Z377" s="11">
        <v>0</v>
      </c>
      <c r="AA377" s="11">
        <f>MasterTable[[#This Row],[Landings
Night]]+MasterTable[[#This Row],[Landings
Day]]</f>
        <v>6</v>
      </c>
      <c r="AB377" s="10">
        <v>0</v>
      </c>
      <c r="AC377" s="10">
        <v>0</v>
      </c>
      <c r="AD377" s="11">
        <v>0</v>
      </c>
      <c r="AE377" s="21">
        <f>SUM(MasterTable[[#This Row],[ILS]:[PAR]])</f>
        <v>0</v>
      </c>
      <c r="AL377" s="11"/>
      <c r="AR377" s="140" t="str">
        <f>_xlfn.XLOOKUP(MasterTable[[#This Row],[Aircraft ID]],Aircraft!A:A,Aircraft!H:H)</f>
        <v>Airplane Single Engine Land</v>
      </c>
      <c r="AS377" s="8" t="b">
        <f>OR((SUM(MasterTable[[#This Row],[ILS]:[PAR]]) = MasterTable[[#This Row],[APPR]]))</f>
        <v>1</v>
      </c>
      <c r="AT377" s="8" t="b">
        <f>NOT(ISBLANK(MasterTable[[#This Row],[Total
Time]]))</f>
        <v>1</v>
      </c>
    </row>
    <row r="378" spans="4:46" ht="28.8" x14ac:dyDescent="0.3">
      <c r="D378" s="22">
        <v>44705</v>
      </c>
      <c r="E378" s="8" t="s">
        <v>174</v>
      </c>
      <c r="F378" s="8" t="s">
        <v>206</v>
      </c>
      <c r="G378" s="8" t="s">
        <v>207</v>
      </c>
      <c r="I378" s="10">
        <v>0.4</v>
      </c>
      <c r="J378" s="10">
        <v>0.4</v>
      </c>
      <c r="L378" s="10">
        <v>0</v>
      </c>
      <c r="M378" s="13">
        <v>0</v>
      </c>
      <c r="N378" s="13"/>
      <c r="O378" s="10">
        <v>0</v>
      </c>
      <c r="P378" s="10">
        <v>0</v>
      </c>
      <c r="Q378" s="14">
        <v>0</v>
      </c>
      <c r="R378" s="14">
        <v>0</v>
      </c>
      <c r="S378" s="10">
        <v>0</v>
      </c>
      <c r="T378" s="10">
        <v>0</v>
      </c>
      <c r="U378" s="14">
        <v>0</v>
      </c>
      <c r="V378" s="10"/>
      <c r="W378" s="11">
        <v>1</v>
      </c>
      <c r="X378" s="11">
        <v>1</v>
      </c>
      <c r="Y378" s="11">
        <v>0</v>
      </c>
      <c r="Z378" s="11">
        <v>0</v>
      </c>
      <c r="AA378" s="11">
        <f>MasterTable[[#This Row],[Landings
Night]]+MasterTable[[#This Row],[Landings
Day]]</f>
        <v>1</v>
      </c>
      <c r="AB378" s="10">
        <v>0</v>
      </c>
      <c r="AC378" s="10">
        <v>0</v>
      </c>
      <c r="AD378" s="11">
        <v>0</v>
      </c>
      <c r="AE378" s="21">
        <f>SUM(MasterTable[[#This Row],[ILS]:[PAR]])</f>
        <v>0</v>
      </c>
      <c r="AL378" s="11"/>
      <c r="AR378" s="140" t="str">
        <f>_xlfn.XLOOKUP(MasterTable[[#This Row],[Aircraft ID]],Aircraft!A:A,Aircraft!H:H)</f>
        <v>Airplane Single Engine Land</v>
      </c>
      <c r="AS378" s="8" t="b">
        <f>OR((SUM(MasterTable[[#This Row],[ILS]:[PAR]]) = MasterTable[[#This Row],[APPR]]))</f>
        <v>1</v>
      </c>
      <c r="AT378" s="8" t="b">
        <f>NOT(ISBLANK(MasterTable[[#This Row],[Total
Time]]))</f>
        <v>1</v>
      </c>
    </row>
    <row r="379" spans="4:46" ht="28.8" x14ac:dyDescent="0.3">
      <c r="D379" s="22">
        <v>44703</v>
      </c>
      <c r="E379" s="8" t="s">
        <v>139</v>
      </c>
      <c r="F379" s="8" t="s">
        <v>206</v>
      </c>
      <c r="G379" s="8" t="s">
        <v>206</v>
      </c>
      <c r="I379" s="10">
        <v>1.4</v>
      </c>
      <c r="J379" s="10">
        <v>1.4</v>
      </c>
      <c r="L379" s="10">
        <v>0</v>
      </c>
      <c r="M379" s="13">
        <v>0</v>
      </c>
      <c r="N379" s="13"/>
      <c r="O379" s="10">
        <v>0</v>
      </c>
      <c r="P379" s="10">
        <v>0</v>
      </c>
      <c r="Q379" s="14">
        <v>0</v>
      </c>
      <c r="R379" s="14">
        <v>0</v>
      </c>
      <c r="S379" s="10">
        <v>0</v>
      </c>
      <c r="T379" s="10">
        <v>0</v>
      </c>
      <c r="U379" s="14">
        <v>0</v>
      </c>
      <c r="V379" s="10"/>
      <c r="W379" s="11">
        <v>5</v>
      </c>
      <c r="X379" s="11">
        <v>5</v>
      </c>
      <c r="Y379" s="11">
        <v>0</v>
      </c>
      <c r="Z379" s="11">
        <v>0</v>
      </c>
      <c r="AA379" s="11">
        <f>MasterTable[[#This Row],[Landings
Night]]+MasterTable[[#This Row],[Landings
Day]]</f>
        <v>5</v>
      </c>
      <c r="AB379" s="10">
        <v>0</v>
      </c>
      <c r="AC379" s="10">
        <v>0</v>
      </c>
      <c r="AD379" s="11">
        <v>0</v>
      </c>
      <c r="AE379" s="21">
        <f>SUM(MasterTable[[#This Row],[ILS]:[PAR]])</f>
        <v>0</v>
      </c>
      <c r="AL379" s="11"/>
      <c r="AR379" s="140" t="str">
        <f>_xlfn.XLOOKUP(MasterTable[[#This Row],[Aircraft ID]],Aircraft!A:A,Aircraft!H:H)</f>
        <v>Airplane Single Engine Land</v>
      </c>
      <c r="AS379" s="8" t="b">
        <f>OR((SUM(MasterTable[[#This Row],[ILS]:[PAR]]) = MasterTable[[#This Row],[APPR]]))</f>
        <v>1</v>
      </c>
      <c r="AT379" s="8" t="b">
        <f>NOT(ISBLANK(MasterTable[[#This Row],[Total
Time]]))</f>
        <v>1</v>
      </c>
    </row>
    <row r="380" spans="4:46" ht="28.8" x14ac:dyDescent="0.3">
      <c r="D380" s="22">
        <v>44702</v>
      </c>
      <c r="E380" s="8" t="s">
        <v>139</v>
      </c>
      <c r="F380" s="8" t="s">
        <v>206</v>
      </c>
      <c r="G380" s="8" t="s">
        <v>206</v>
      </c>
      <c r="I380" s="10">
        <v>0.4</v>
      </c>
      <c r="J380" s="10">
        <v>0.4</v>
      </c>
      <c r="L380" s="10">
        <v>0</v>
      </c>
      <c r="M380" s="13">
        <v>0</v>
      </c>
      <c r="N380" s="13"/>
      <c r="O380" s="10">
        <v>0</v>
      </c>
      <c r="P380" s="10">
        <v>0</v>
      </c>
      <c r="Q380" s="14">
        <v>0</v>
      </c>
      <c r="R380" s="14">
        <v>0</v>
      </c>
      <c r="S380" s="10">
        <v>0</v>
      </c>
      <c r="T380" s="10">
        <v>0</v>
      </c>
      <c r="U380" s="14">
        <v>0</v>
      </c>
      <c r="V380" s="10"/>
      <c r="W380" s="11">
        <v>1</v>
      </c>
      <c r="X380" s="11">
        <v>1</v>
      </c>
      <c r="Y380" s="11">
        <v>0</v>
      </c>
      <c r="Z380" s="11">
        <v>0</v>
      </c>
      <c r="AA380" s="11">
        <f>MasterTable[[#This Row],[Landings
Night]]+MasterTable[[#This Row],[Landings
Day]]</f>
        <v>1</v>
      </c>
      <c r="AB380" s="10">
        <v>0</v>
      </c>
      <c r="AC380" s="10">
        <v>0</v>
      </c>
      <c r="AD380" s="11">
        <v>0</v>
      </c>
      <c r="AE380" s="21">
        <f>SUM(MasterTable[[#This Row],[ILS]:[PAR]])</f>
        <v>0</v>
      </c>
      <c r="AL380" s="11"/>
      <c r="AR380" s="140" t="str">
        <f>_xlfn.XLOOKUP(MasterTable[[#This Row],[Aircraft ID]],Aircraft!A:A,Aircraft!H:H)</f>
        <v>Airplane Single Engine Land</v>
      </c>
      <c r="AS380" s="8" t="b">
        <f>OR((SUM(MasterTable[[#This Row],[ILS]:[PAR]]) = MasterTable[[#This Row],[APPR]]))</f>
        <v>1</v>
      </c>
      <c r="AT380" s="8" t="b">
        <f>NOT(ISBLANK(MasterTable[[#This Row],[Total
Time]]))</f>
        <v>1</v>
      </c>
    </row>
    <row r="381" spans="4:46" ht="28.8" x14ac:dyDescent="0.3">
      <c r="D381" s="22">
        <v>44702</v>
      </c>
      <c r="E381" s="8" t="s">
        <v>139</v>
      </c>
      <c r="F381" s="8" t="s">
        <v>206</v>
      </c>
      <c r="G381" s="8" t="s">
        <v>207</v>
      </c>
      <c r="I381" s="10">
        <v>1.1000000000000001</v>
      </c>
      <c r="J381" s="10">
        <v>1.1000000000000001</v>
      </c>
      <c r="L381" s="10">
        <v>0</v>
      </c>
      <c r="M381" s="13">
        <v>0</v>
      </c>
      <c r="N381" s="13"/>
      <c r="O381" s="10">
        <v>0</v>
      </c>
      <c r="P381" s="10">
        <v>0</v>
      </c>
      <c r="Q381" s="14">
        <v>0</v>
      </c>
      <c r="R381" s="14">
        <v>0</v>
      </c>
      <c r="S381" s="10">
        <v>0</v>
      </c>
      <c r="T381" s="10">
        <v>0</v>
      </c>
      <c r="U381" s="14">
        <v>0</v>
      </c>
      <c r="V381" s="10"/>
      <c r="W381" s="11">
        <v>10</v>
      </c>
      <c r="X381" s="11">
        <v>10</v>
      </c>
      <c r="Y381" s="11">
        <v>0</v>
      </c>
      <c r="Z381" s="11">
        <v>0</v>
      </c>
      <c r="AA381" s="11">
        <f>MasterTable[[#This Row],[Landings
Night]]+MasterTable[[#This Row],[Landings
Day]]</f>
        <v>10</v>
      </c>
      <c r="AB381" s="10">
        <v>0</v>
      </c>
      <c r="AC381" s="10">
        <v>0</v>
      </c>
      <c r="AD381" s="11">
        <v>0</v>
      </c>
      <c r="AE381" s="21">
        <f>SUM(MasterTable[[#This Row],[ILS]:[PAR]])</f>
        <v>0</v>
      </c>
      <c r="AL381" s="11"/>
      <c r="AR381" s="140" t="str">
        <f>_xlfn.XLOOKUP(MasterTable[[#This Row],[Aircraft ID]],Aircraft!A:A,Aircraft!H:H)</f>
        <v>Airplane Single Engine Land</v>
      </c>
      <c r="AS381" s="8" t="b">
        <f>OR((SUM(MasterTable[[#This Row],[ILS]:[PAR]]) = MasterTable[[#This Row],[APPR]]))</f>
        <v>1</v>
      </c>
      <c r="AT381" s="8" t="b">
        <f>NOT(ISBLANK(MasterTable[[#This Row],[Total
Time]]))</f>
        <v>1</v>
      </c>
    </row>
    <row r="382" spans="4:46" ht="28.8" x14ac:dyDescent="0.3">
      <c r="D382" s="22">
        <v>44696</v>
      </c>
      <c r="E382" s="8" t="s">
        <v>139</v>
      </c>
      <c r="F382" s="8" t="s">
        <v>206</v>
      </c>
      <c r="G382" s="8" t="s">
        <v>206</v>
      </c>
      <c r="I382" s="10">
        <v>0.4</v>
      </c>
      <c r="J382" s="10">
        <v>0.4</v>
      </c>
      <c r="L382" s="10">
        <v>0</v>
      </c>
      <c r="M382" s="13">
        <v>0</v>
      </c>
      <c r="N382" s="13"/>
      <c r="O382" s="10">
        <v>0</v>
      </c>
      <c r="P382" s="10">
        <v>0</v>
      </c>
      <c r="Q382" s="14">
        <v>0</v>
      </c>
      <c r="R382" s="14">
        <v>0</v>
      </c>
      <c r="S382" s="10">
        <v>0</v>
      </c>
      <c r="T382" s="10">
        <v>0</v>
      </c>
      <c r="U382" s="14">
        <v>0</v>
      </c>
      <c r="V382" s="10"/>
      <c r="W382" s="11">
        <v>1</v>
      </c>
      <c r="X382" s="11">
        <v>1</v>
      </c>
      <c r="Y382" s="11">
        <v>0</v>
      </c>
      <c r="Z382" s="11">
        <v>0</v>
      </c>
      <c r="AA382" s="11">
        <f>MasterTable[[#This Row],[Landings
Night]]+MasterTable[[#This Row],[Landings
Day]]</f>
        <v>1</v>
      </c>
      <c r="AB382" s="10">
        <v>0</v>
      </c>
      <c r="AC382" s="10">
        <v>0</v>
      </c>
      <c r="AD382" s="11">
        <v>0</v>
      </c>
      <c r="AE382" s="21">
        <f>SUM(MasterTable[[#This Row],[ILS]:[PAR]])</f>
        <v>0</v>
      </c>
      <c r="AL382" s="11"/>
      <c r="AR382" s="140" t="str">
        <f>_xlfn.XLOOKUP(MasterTable[[#This Row],[Aircraft ID]],Aircraft!A:A,Aircraft!H:H)</f>
        <v>Airplane Single Engine Land</v>
      </c>
      <c r="AS382" s="8" t="b">
        <f>OR((SUM(MasterTable[[#This Row],[ILS]:[PAR]]) = MasterTable[[#This Row],[APPR]]))</f>
        <v>1</v>
      </c>
      <c r="AT382" s="8" t="b">
        <f>NOT(ISBLANK(MasterTable[[#This Row],[Total
Time]]))</f>
        <v>1</v>
      </c>
    </row>
    <row r="383" spans="4:46" ht="28.8" x14ac:dyDescent="0.3">
      <c r="D383" s="22">
        <v>44695</v>
      </c>
      <c r="E383" s="8" t="s">
        <v>139</v>
      </c>
      <c r="F383" s="8" t="s">
        <v>239</v>
      </c>
      <c r="G383" s="8" t="s">
        <v>206</v>
      </c>
      <c r="I383" s="10">
        <v>0.4</v>
      </c>
      <c r="J383" s="10">
        <v>0.4</v>
      </c>
      <c r="L383" s="10">
        <v>0</v>
      </c>
      <c r="M383" s="13">
        <v>0</v>
      </c>
      <c r="N383" s="13"/>
      <c r="O383" s="10">
        <v>0</v>
      </c>
      <c r="P383" s="10">
        <v>0</v>
      </c>
      <c r="Q383" s="14">
        <v>0</v>
      </c>
      <c r="R383" s="14">
        <v>0</v>
      </c>
      <c r="S383" s="10">
        <v>0</v>
      </c>
      <c r="T383" s="10">
        <v>0</v>
      </c>
      <c r="U383" s="14">
        <v>0</v>
      </c>
      <c r="V383" s="10"/>
      <c r="W383" s="11">
        <v>1</v>
      </c>
      <c r="X383" s="11">
        <v>1</v>
      </c>
      <c r="Y383" s="11">
        <v>0</v>
      </c>
      <c r="Z383" s="11">
        <v>0</v>
      </c>
      <c r="AA383" s="11">
        <f>MasterTable[[#This Row],[Landings
Night]]+MasterTable[[#This Row],[Landings
Day]]</f>
        <v>1</v>
      </c>
      <c r="AB383" s="10">
        <v>0</v>
      </c>
      <c r="AC383" s="10">
        <v>0</v>
      </c>
      <c r="AD383" s="11">
        <v>0</v>
      </c>
      <c r="AE383" s="21">
        <f>SUM(MasterTable[[#This Row],[ILS]:[PAR]])</f>
        <v>0</v>
      </c>
      <c r="AL383" s="11"/>
      <c r="AR383" s="140" t="str">
        <f>_xlfn.XLOOKUP(MasterTable[[#This Row],[Aircraft ID]],Aircraft!A:A,Aircraft!H:H)</f>
        <v>Airplane Single Engine Land</v>
      </c>
      <c r="AS383" s="8" t="b">
        <f>OR((SUM(MasterTable[[#This Row],[ILS]:[PAR]]) = MasterTable[[#This Row],[APPR]]))</f>
        <v>1</v>
      </c>
      <c r="AT383" s="8" t="b">
        <f>NOT(ISBLANK(MasterTable[[#This Row],[Total
Time]]))</f>
        <v>1</v>
      </c>
    </row>
    <row r="384" spans="4:46" ht="28.8" x14ac:dyDescent="0.3">
      <c r="D384" s="22">
        <v>44695</v>
      </c>
      <c r="E384" s="8" t="s">
        <v>139</v>
      </c>
      <c r="F384" s="8" t="s">
        <v>204</v>
      </c>
      <c r="G384" s="8" t="s">
        <v>239</v>
      </c>
      <c r="I384" s="10">
        <v>0.6</v>
      </c>
      <c r="J384" s="10">
        <v>0.6</v>
      </c>
      <c r="L384" s="10">
        <v>0</v>
      </c>
      <c r="M384" s="13">
        <v>0</v>
      </c>
      <c r="N384" s="13"/>
      <c r="O384" s="10">
        <v>0</v>
      </c>
      <c r="P384" s="10">
        <v>0</v>
      </c>
      <c r="Q384" s="14">
        <v>0</v>
      </c>
      <c r="R384" s="14">
        <v>0</v>
      </c>
      <c r="S384" s="10">
        <v>0</v>
      </c>
      <c r="T384" s="10">
        <v>0</v>
      </c>
      <c r="U384" s="14">
        <v>0</v>
      </c>
      <c r="V384" s="10"/>
      <c r="W384" s="11">
        <v>1</v>
      </c>
      <c r="X384" s="11">
        <v>1</v>
      </c>
      <c r="Y384" s="11">
        <v>0</v>
      </c>
      <c r="Z384" s="11">
        <v>0</v>
      </c>
      <c r="AA384" s="11">
        <f>MasterTable[[#This Row],[Landings
Night]]+MasterTable[[#This Row],[Landings
Day]]</f>
        <v>1</v>
      </c>
      <c r="AB384" s="10">
        <v>0</v>
      </c>
      <c r="AC384" s="10">
        <v>0</v>
      </c>
      <c r="AD384" s="11">
        <v>0</v>
      </c>
      <c r="AE384" s="21">
        <f>SUM(MasterTable[[#This Row],[ILS]:[PAR]])</f>
        <v>0</v>
      </c>
      <c r="AL384" s="11"/>
      <c r="AR384" s="140" t="str">
        <f>_xlfn.XLOOKUP(MasterTable[[#This Row],[Aircraft ID]],Aircraft!A:A,Aircraft!H:H)</f>
        <v>Airplane Single Engine Land</v>
      </c>
      <c r="AS384" s="8" t="b">
        <f>OR((SUM(MasterTable[[#This Row],[ILS]:[PAR]]) = MasterTable[[#This Row],[APPR]]))</f>
        <v>1</v>
      </c>
      <c r="AT384" s="8" t="b">
        <f>NOT(ISBLANK(MasterTable[[#This Row],[Total
Time]]))</f>
        <v>1</v>
      </c>
    </row>
    <row r="385" spans="4:46" ht="28.8" x14ac:dyDescent="0.3">
      <c r="D385" s="22">
        <v>44695</v>
      </c>
      <c r="E385" s="8" t="s">
        <v>139</v>
      </c>
      <c r="F385" s="8" t="s">
        <v>204</v>
      </c>
      <c r="G385" s="8" t="s">
        <v>204</v>
      </c>
      <c r="I385" s="10">
        <v>1</v>
      </c>
      <c r="J385" s="10">
        <v>1</v>
      </c>
      <c r="L385" s="10">
        <v>0</v>
      </c>
      <c r="M385" s="13">
        <v>0</v>
      </c>
      <c r="N385" s="13"/>
      <c r="O385" s="10">
        <v>0</v>
      </c>
      <c r="P385" s="10">
        <v>0</v>
      </c>
      <c r="Q385" s="14">
        <v>0</v>
      </c>
      <c r="R385" s="14">
        <v>0</v>
      </c>
      <c r="S385" s="10">
        <v>0</v>
      </c>
      <c r="T385" s="10">
        <v>0</v>
      </c>
      <c r="U385" s="14">
        <v>0</v>
      </c>
      <c r="V385" s="10">
        <v>1</v>
      </c>
      <c r="W385" s="11">
        <v>1</v>
      </c>
      <c r="X385" s="11">
        <v>1</v>
      </c>
      <c r="Y385" s="11">
        <v>0</v>
      </c>
      <c r="Z385" s="11">
        <v>0</v>
      </c>
      <c r="AA385" s="11">
        <f>MasterTable[[#This Row],[Landings
Night]]+MasterTable[[#This Row],[Landings
Day]]</f>
        <v>1</v>
      </c>
      <c r="AB385" s="10">
        <v>0</v>
      </c>
      <c r="AC385" s="10">
        <v>0</v>
      </c>
      <c r="AD385" s="11">
        <v>0</v>
      </c>
      <c r="AE385" s="21">
        <f>SUM(MasterTable[[#This Row],[ILS]:[PAR]])</f>
        <v>0</v>
      </c>
      <c r="AL385" s="11"/>
      <c r="AR385" s="140" t="str">
        <f>_xlfn.XLOOKUP(MasterTable[[#This Row],[Aircraft ID]],Aircraft!A:A,Aircraft!H:H)</f>
        <v>Airplane Single Engine Land</v>
      </c>
      <c r="AS385" s="8" t="b">
        <f>OR((SUM(MasterTable[[#This Row],[ILS]:[PAR]]) = MasterTable[[#This Row],[APPR]]))</f>
        <v>1</v>
      </c>
      <c r="AT385" s="8" t="b">
        <f>NOT(ISBLANK(MasterTable[[#This Row],[Total
Time]]))</f>
        <v>1</v>
      </c>
    </row>
    <row r="386" spans="4:46" ht="28.8" x14ac:dyDescent="0.3">
      <c r="D386" s="22">
        <v>44695</v>
      </c>
      <c r="E386" s="8" t="s">
        <v>139</v>
      </c>
      <c r="F386" s="8" t="s">
        <v>240</v>
      </c>
      <c r="G386" s="8" t="s">
        <v>204</v>
      </c>
      <c r="I386" s="10">
        <v>0.6</v>
      </c>
      <c r="J386" s="10">
        <v>0.6</v>
      </c>
      <c r="L386" s="10">
        <v>0</v>
      </c>
      <c r="M386" s="13">
        <v>0</v>
      </c>
      <c r="N386" s="13"/>
      <c r="O386" s="10">
        <v>0</v>
      </c>
      <c r="P386" s="10">
        <v>0</v>
      </c>
      <c r="Q386" s="14">
        <v>0</v>
      </c>
      <c r="R386" s="14">
        <v>0</v>
      </c>
      <c r="S386" s="10">
        <v>0</v>
      </c>
      <c r="T386" s="10">
        <v>0</v>
      </c>
      <c r="U386" s="14">
        <v>0</v>
      </c>
      <c r="V386" s="10"/>
      <c r="W386" s="11">
        <v>1</v>
      </c>
      <c r="X386" s="11">
        <v>1</v>
      </c>
      <c r="Y386" s="11">
        <v>0</v>
      </c>
      <c r="Z386" s="11">
        <v>0</v>
      </c>
      <c r="AA386" s="11">
        <f>MasterTable[[#This Row],[Landings
Night]]+MasterTable[[#This Row],[Landings
Day]]</f>
        <v>1</v>
      </c>
      <c r="AB386" s="10">
        <v>0</v>
      </c>
      <c r="AC386" s="10">
        <v>0</v>
      </c>
      <c r="AD386" s="11">
        <v>0</v>
      </c>
      <c r="AE386" s="21">
        <f>SUM(MasterTable[[#This Row],[ILS]:[PAR]])</f>
        <v>0</v>
      </c>
      <c r="AL386" s="11"/>
      <c r="AR386" s="140" t="str">
        <f>_xlfn.XLOOKUP(MasterTable[[#This Row],[Aircraft ID]],Aircraft!A:A,Aircraft!H:H)</f>
        <v>Airplane Single Engine Land</v>
      </c>
      <c r="AS386" s="8" t="b">
        <f>OR((SUM(MasterTable[[#This Row],[ILS]:[PAR]]) = MasterTable[[#This Row],[APPR]]))</f>
        <v>1</v>
      </c>
      <c r="AT386" s="8" t="b">
        <f>NOT(ISBLANK(MasterTable[[#This Row],[Total
Time]]))</f>
        <v>1</v>
      </c>
    </row>
    <row r="387" spans="4:46" ht="28.8" x14ac:dyDescent="0.3">
      <c r="D387" s="22">
        <v>44695</v>
      </c>
      <c r="E387" s="8" t="s">
        <v>139</v>
      </c>
      <c r="F387" s="8" t="s">
        <v>206</v>
      </c>
      <c r="G387" s="8" t="s">
        <v>240</v>
      </c>
      <c r="I387" s="10">
        <v>0.4</v>
      </c>
      <c r="J387" s="10">
        <v>0.4</v>
      </c>
      <c r="L387" s="10">
        <v>0</v>
      </c>
      <c r="M387" s="13">
        <v>0</v>
      </c>
      <c r="N387" s="13"/>
      <c r="O387" s="10">
        <v>0</v>
      </c>
      <c r="P387" s="10">
        <v>0</v>
      </c>
      <c r="Q387" s="14">
        <v>0</v>
      </c>
      <c r="R387" s="14">
        <v>0</v>
      </c>
      <c r="S387" s="10">
        <v>0</v>
      </c>
      <c r="T387" s="10">
        <v>0</v>
      </c>
      <c r="U387" s="14">
        <v>0</v>
      </c>
      <c r="V387" s="10"/>
      <c r="W387" s="11">
        <v>1</v>
      </c>
      <c r="X387" s="11">
        <v>1</v>
      </c>
      <c r="Y387" s="11">
        <v>0</v>
      </c>
      <c r="Z387" s="11">
        <v>0</v>
      </c>
      <c r="AA387" s="11">
        <f>MasterTable[[#This Row],[Landings
Night]]+MasterTable[[#This Row],[Landings
Day]]</f>
        <v>1</v>
      </c>
      <c r="AB387" s="10">
        <v>0</v>
      </c>
      <c r="AC387" s="10">
        <v>0</v>
      </c>
      <c r="AD387" s="11">
        <v>0</v>
      </c>
      <c r="AE387" s="21">
        <f>SUM(MasterTable[[#This Row],[ILS]:[PAR]])</f>
        <v>0</v>
      </c>
      <c r="AL387" s="11"/>
      <c r="AR387" s="140" t="str">
        <f>_xlfn.XLOOKUP(MasterTable[[#This Row],[Aircraft ID]],Aircraft!A:A,Aircraft!H:H)</f>
        <v>Airplane Single Engine Land</v>
      </c>
      <c r="AS387" s="8" t="b">
        <f>OR((SUM(MasterTable[[#This Row],[ILS]:[PAR]]) = MasterTable[[#This Row],[APPR]]))</f>
        <v>1</v>
      </c>
      <c r="AT387" s="8" t="b">
        <f>NOT(ISBLANK(MasterTable[[#This Row],[Total
Time]]))</f>
        <v>1</v>
      </c>
    </row>
    <row r="388" spans="4:46" ht="28.8" x14ac:dyDescent="0.3">
      <c r="D388" s="22">
        <v>44694</v>
      </c>
      <c r="E388" s="8" t="s">
        <v>139</v>
      </c>
      <c r="F388" s="8" t="s">
        <v>206</v>
      </c>
      <c r="G388" s="8" t="s">
        <v>206</v>
      </c>
      <c r="I388" s="10">
        <v>0.8</v>
      </c>
      <c r="J388" s="10">
        <v>0.8</v>
      </c>
      <c r="L388" s="10">
        <v>0</v>
      </c>
      <c r="M388" s="13">
        <v>0</v>
      </c>
      <c r="N388" s="13"/>
      <c r="O388" s="10">
        <v>0</v>
      </c>
      <c r="P388" s="10">
        <v>0</v>
      </c>
      <c r="Q388" s="14">
        <v>0</v>
      </c>
      <c r="R388" s="14">
        <v>0</v>
      </c>
      <c r="S388" s="10">
        <v>0</v>
      </c>
      <c r="T388" s="10">
        <v>0</v>
      </c>
      <c r="U388" s="14">
        <v>0</v>
      </c>
      <c r="V388" s="10">
        <v>0.8</v>
      </c>
      <c r="W388" s="11">
        <v>1</v>
      </c>
      <c r="X388" s="11">
        <v>1</v>
      </c>
      <c r="Y388" s="11">
        <v>0</v>
      </c>
      <c r="Z388" s="11">
        <v>0</v>
      </c>
      <c r="AA388" s="11">
        <f>MasterTable[[#This Row],[Landings
Night]]+MasterTable[[#This Row],[Landings
Day]]</f>
        <v>1</v>
      </c>
      <c r="AB388" s="10">
        <v>0</v>
      </c>
      <c r="AC388" s="10">
        <v>0</v>
      </c>
      <c r="AD388" s="11">
        <v>0</v>
      </c>
      <c r="AE388" s="21">
        <f>SUM(MasterTable[[#This Row],[ILS]:[PAR]])</f>
        <v>0</v>
      </c>
      <c r="AL388" s="11"/>
      <c r="AR388" s="140" t="str">
        <f>_xlfn.XLOOKUP(MasterTable[[#This Row],[Aircraft ID]],Aircraft!A:A,Aircraft!H:H)</f>
        <v>Airplane Single Engine Land</v>
      </c>
      <c r="AS388" s="8" t="b">
        <f>OR((SUM(MasterTable[[#This Row],[ILS]:[PAR]]) = MasterTable[[#This Row],[APPR]]))</f>
        <v>1</v>
      </c>
      <c r="AT388" s="8" t="b">
        <f>NOT(ISBLANK(MasterTable[[#This Row],[Total
Time]]))</f>
        <v>1</v>
      </c>
    </row>
    <row r="389" spans="4:46" ht="28.8" x14ac:dyDescent="0.3">
      <c r="D389" s="22">
        <v>44694</v>
      </c>
      <c r="E389" s="8" t="s">
        <v>139</v>
      </c>
      <c r="F389" s="8" t="s">
        <v>206</v>
      </c>
      <c r="G389" s="8" t="s">
        <v>207</v>
      </c>
      <c r="I389" s="10">
        <v>0.9</v>
      </c>
      <c r="J389" s="10">
        <v>0.9</v>
      </c>
      <c r="L389" s="10">
        <v>0</v>
      </c>
      <c r="M389" s="13">
        <v>0</v>
      </c>
      <c r="N389" s="13"/>
      <c r="O389" s="10">
        <v>0</v>
      </c>
      <c r="P389" s="10">
        <v>0</v>
      </c>
      <c r="Q389" s="14">
        <v>0</v>
      </c>
      <c r="R389" s="14">
        <v>0</v>
      </c>
      <c r="S389" s="10">
        <v>0</v>
      </c>
      <c r="T389" s="10">
        <v>0</v>
      </c>
      <c r="U389" s="14">
        <v>0</v>
      </c>
      <c r="V389" s="10"/>
      <c r="W389" s="11">
        <v>5</v>
      </c>
      <c r="X389" s="11">
        <v>5</v>
      </c>
      <c r="Y389" s="11">
        <v>0</v>
      </c>
      <c r="Z389" s="11">
        <v>0</v>
      </c>
      <c r="AA389" s="11">
        <f>MasterTable[[#This Row],[Landings
Night]]+MasterTable[[#This Row],[Landings
Day]]</f>
        <v>5</v>
      </c>
      <c r="AB389" s="10">
        <v>0</v>
      </c>
      <c r="AC389" s="10">
        <v>0</v>
      </c>
      <c r="AD389" s="11">
        <v>0</v>
      </c>
      <c r="AE389" s="21">
        <f>SUM(MasterTable[[#This Row],[ILS]:[PAR]])</f>
        <v>0</v>
      </c>
      <c r="AL389" s="11"/>
      <c r="AR389" s="140" t="str">
        <f>_xlfn.XLOOKUP(MasterTable[[#This Row],[Aircraft ID]],Aircraft!A:A,Aircraft!H:H)</f>
        <v>Airplane Single Engine Land</v>
      </c>
      <c r="AS389" s="8" t="b">
        <f>OR((SUM(MasterTable[[#This Row],[ILS]:[PAR]]) = MasterTable[[#This Row],[APPR]]))</f>
        <v>1</v>
      </c>
      <c r="AT389" s="8" t="b">
        <f>NOT(ISBLANK(MasterTable[[#This Row],[Total
Time]]))</f>
        <v>1</v>
      </c>
    </row>
    <row r="390" spans="4:46" ht="28.8" x14ac:dyDescent="0.3">
      <c r="D390" s="22">
        <v>44694</v>
      </c>
      <c r="E390" s="8" t="s">
        <v>139</v>
      </c>
      <c r="F390" s="8" t="s">
        <v>206</v>
      </c>
      <c r="G390" s="8" t="s">
        <v>206</v>
      </c>
      <c r="I390" s="10">
        <v>0.9</v>
      </c>
      <c r="J390" s="10">
        <v>0.9</v>
      </c>
      <c r="L390" s="10">
        <v>0</v>
      </c>
      <c r="M390" s="13">
        <v>0</v>
      </c>
      <c r="N390" s="13"/>
      <c r="O390" s="10">
        <v>0</v>
      </c>
      <c r="P390" s="10">
        <v>0</v>
      </c>
      <c r="Q390" s="14">
        <v>0</v>
      </c>
      <c r="R390" s="14">
        <v>0</v>
      </c>
      <c r="S390" s="10">
        <v>0</v>
      </c>
      <c r="T390" s="10">
        <v>0</v>
      </c>
      <c r="U390" s="14">
        <v>0</v>
      </c>
      <c r="V390" s="10"/>
      <c r="W390" s="11">
        <v>1</v>
      </c>
      <c r="X390" s="11">
        <v>1</v>
      </c>
      <c r="Y390" s="11">
        <v>0</v>
      </c>
      <c r="Z390" s="11">
        <v>0</v>
      </c>
      <c r="AA390" s="11">
        <f>MasterTable[[#This Row],[Landings
Night]]+MasterTable[[#This Row],[Landings
Day]]</f>
        <v>1</v>
      </c>
      <c r="AB390" s="10">
        <v>0</v>
      </c>
      <c r="AC390" s="10">
        <v>0</v>
      </c>
      <c r="AD390" s="11">
        <v>0</v>
      </c>
      <c r="AE390" s="21">
        <f>SUM(MasterTable[[#This Row],[ILS]:[PAR]])</f>
        <v>0</v>
      </c>
      <c r="AL390" s="11"/>
      <c r="AR390" s="140" t="str">
        <f>_xlfn.XLOOKUP(MasterTable[[#This Row],[Aircraft ID]],Aircraft!A:A,Aircraft!H:H)</f>
        <v>Airplane Single Engine Land</v>
      </c>
      <c r="AS390" s="8" t="b">
        <f>OR((SUM(MasterTable[[#This Row],[ILS]:[PAR]]) = MasterTable[[#This Row],[APPR]]))</f>
        <v>1</v>
      </c>
      <c r="AT390" s="8" t="b">
        <f>NOT(ISBLANK(MasterTable[[#This Row],[Total
Time]]))</f>
        <v>1</v>
      </c>
    </row>
    <row r="391" spans="4:46" ht="28.8" x14ac:dyDescent="0.3">
      <c r="D391" s="22">
        <v>44684</v>
      </c>
      <c r="E391" s="8" t="s">
        <v>139</v>
      </c>
      <c r="F391" s="8" t="s">
        <v>207</v>
      </c>
      <c r="G391" s="8" t="s">
        <v>206</v>
      </c>
      <c r="I391" s="10">
        <v>0.7</v>
      </c>
      <c r="J391" s="10">
        <v>0.7</v>
      </c>
      <c r="L391" s="10">
        <v>0</v>
      </c>
      <c r="M391" s="13">
        <v>0</v>
      </c>
      <c r="N391" s="13"/>
      <c r="O391" s="10">
        <v>0</v>
      </c>
      <c r="P391" s="10">
        <v>0</v>
      </c>
      <c r="Q391" s="14">
        <v>0</v>
      </c>
      <c r="R391" s="14">
        <v>0</v>
      </c>
      <c r="S391" s="10">
        <v>0</v>
      </c>
      <c r="T391" s="10">
        <v>0</v>
      </c>
      <c r="U391" s="14">
        <v>0</v>
      </c>
      <c r="V391" s="10">
        <v>0.7</v>
      </c>
      <c r="W391" s="11">
        <v>2</v>
      </c>
      <c r="X391" s="11">
        <v>2</v>
      </c>
      <c r="Y391" s="11">
        <v>0</v>
      </c>
      <c r="Z391" s="11">
        <v>0</v>
      </c>
      <c r="AA391" s="11">
        <f>MasterTable[[#This Row],[Landings
Night]]+MasterTable[[#This Row],[Landings
Day]]</f>
        <v>2</v>
      </c>
      <c r="AB391" s="10">
        <v>0</v>
      </c>
      <c r="AC391" s="10">
        <v>0</v>
      </c>
      <c r="AD391" s="11">
        <v>0</v>
      </c>
      <c r="AE391" s="21">
        <f>SUM(MasterTable[[#This Row],[ILS]:[PAR]])</f>
        <v>0</v>
      </c>
      <c r="AL391" s="11"/>
      <c r="AR391" s="140" t="str">
        <f>_xlfn.XLOOKUP(MasterTable[[#This Row],[Aircraft ID]],Aircraft!A:A,Aircraft!H:H)</f>
        <v>Airplane Single Engine Land</v>
      </c>
      <c r="AS391" s="8" t="b">
        <f>OR((SUM(MasterTable[[#This Row],[ILS]:[PAR]]) = MasterTable[[#This Row],[APPR]]))</f>
        <v>1</v>
      </c>
      <c r="AT391" s="8" t="b">
        <f>NOT(ISBLANK(MasterTable[[#This Row],[Total
Time]]))</f>
        <v>1</v>
      </c>
    </row>
    <row r="392" spans="4:46" ht="28.8" x14ac:dyDescent="0.3">
      <c r="D392" s="22">
        <v>44684</v>
      </c>
      <c r="E392" s="8" t="s">
        <v>139</v>
      </c>
      <c r="F392" s="8" t="s">
        <v>206</v>
      </c>
      <c r="G392" s="8" t="s">
        <v>207</v>
      </c>
      <c r="I392" s="10">
        <v>0.6</v>
      </c>
      <c r="J392" s="10">
        <v>0.6</v>
      </c>
      <c r="L392" s="10">
        <v>0</v>
      </c>
      <c r="M392" s="13">
        <v>0</v>
      </c>
      <c r="N392" s="13"/>
      <c r="O392" s="10">
        <v>0</v>
      </c>
      <c r="P392" s="10">
        <v>0</v>
      </c>
      <c r="Q392" s="14">
        <v>0</v>
      </c>
      <c r="R392" s="14">
        <v>0</v>
      </c>
      <c r="S392" s="10">
        <v>0</v>
      </c>
      <c r="T392" s="10">
        <v>0</v>
      </c>
      <c r="U392" s="14">
        <v>0</v>
      </c>
      <c r="V392" s="10"/>
      <c r="W392" s="11">
        <v>1</v>
      </c>
      <c r="X392" s="11">
        <v>1</v>
      </c>
      <c r="Y392" s="11">
        <v>0</v>
      </c>
      <c r="Z392" s="11">
        <v>0</v>
      </c>
      <c r="AA392" s="11">
        <f>MasterTable[[#This Row],[Landings
Night]]+MasterTable[[#This Row],[Landings
Day]]</f>
        <v>1</v>
      </c>
      <c r="AB392" s="10">
        <v>0</v>
      </c>
      <c r="AC392" s="10">
        <v>0</v>
      </c>
      <c r="AD392" s="11">
        <v>0</v>
      </c>
      <c r="AE392" s="21">
        <f>SUM(MasterTable[[#This Row],[ILS]:[PAR]])</f>
        <v>0</v>
      </c>
      <c r="AL392" s="11"/>
      <c r="AR392" s="140" t="str">
        <f>_xlfn.XLOOKUP(MasterTable[[#This Row],[Aircraft ID]],Aircraft!A:A,Aircraft!H:H)</f>
        <v>Airplane Single Engine Land</v>
      </c>
      <c r="AS392" s="8" t="b">
        <f>OR((SUM(MasterTable[[#This Row],[ILS]:[PAR]]) = MasterTable[[#This Row],[APPR]]))</f>
        <v>1</v>
      </c>
      <c r="AT392" s="8" t="b">
        <f>NOT(ISBLANK(MasterTable[[#This Row],[Total
Time]]))</f>
        <v>1</v>
      </c>
    </row>
    <row r="393" spans="4:46" ht="28.8" x14ac:dyDescent="0.3">
      <c r="D393" s="22">
        <v>44676</v>
      </c>
      <c r="E393" s="8" t="s">
        <v>174</v>
      </c>
      <c r="F393" s="8" t="s">
        <v>222</v>
      </c>
      <c r="G393" s="8" t="s">
        <v>206</v>
      </c>
      <c r="I393" s="10">
        <v>0.8</v>
      </c>
      <c r="J393" s="10">
        <v>0.8</v>
      </c>
      <c r="L393" s="10">
        <v>0</v>
      </c>
      <c r="M393" s="13">
        <v>0</v>
      </c>
      <c r="N393" s="13"/>
      <c r="O393" s="10">
        <v>0</v>
      </c>
      <c r="P393" s="10">
        <v>0</v>
      </c>
      <c r="Q393" s="14">
        <v>0</v>
      </c>
      <c r="R393" s="14">
        <v>0</v>
      </c>
      <c r="S393" s="10">
        <v>0</v>
      </c>
      <c r="T393" s="10">
        <v>0</v>
      </c>
      <c r="U393" s="14">
        <v>0</v>
      </c>
      <c r="V393" s="10"/>
      <c r="W393" s="11">
        <v>2</v>
      </c>
      <c r="X393" s="11">
        <v>2</v>
      </c>
      <c r="Y393" s="11">
        <v>0</v>
      </c>
      <c r="Z393" s="11">
        <v>0</v>
      </c>
      <c r="AA393" s="11">
        <f>MasterTable[[#This Row],[Landings
Night]]+MasterTable[[#This Row],[Landings
Day]]</f>
        <v>2</v>
      </c>
      <c r="AB393" s="10">
        <v>0</v>
      </c>
      <c r="AC393" s="10">
        <v>0</v>
      </c>
      <c r="AD393" s="11">
        <v>0</v>
      </c>
      <c r="AE393" s="21">
        <f>SUM(MasterTable[[#This Row],[ILS]:[PAR]])</f>
        <v>0</v>
      </c>
      <c r="AL393" s="11"/>
      <c r="AR393" s="140" t="str">
        <f>_xlfn.XLOOKUP(MasterTable[[#This Row],[Aircraft ID]],Aircraft!A:A,Aircraft!H:H)</f>
        <v>Airplane Single Engine Land</v>
      </c>
      <c r="AS393" s="8" t="b">
        <f>OR((SUM(MasterTable[[#This Row],[ILS]:[PAR]]) = MasterTable[[#This Row],[APPR]]))</f>
        <v>1</v>
      </c>
      <c r="AT393" s="8" t="b">
        <f>NOT(ISBLANK(MasterTable[[#This Row],[Total
Time]]))</f>
        <v>1</v>
      </c>
    </row>
    <row r="394" spans="4:46" ht="28.8" x14ac:dyDescent="0.3">
      <c r="D394" s="22">
        <v>44674</v>
      </c>
      <c r="E394" s="8" t="s">
        <v>139</v>
      </c>
      <c r="F394" s="8" t="s">
        <v>206</v>
      </c>
      <c r="G394" s="8" t="s">
        <v>207</v>
      </c>
      <c r="I394" s="10">
        <v>1.2</v>
      </c>
      <c r="J394" s="10">
        <v>1.2</v>
      </c>
      <c r="L394" s="10">
        <v>0</v>
      </c>
      <c r="M394" s="13">
        <v>0</v>
      </c>
      <c r="N394" s="13"/>
      <c r="O394" s="10">
        <v>0</v>
      </c>
      <c r="P394" s="10">
        <v>0</v>
      </c>
      <c r="Q394" s="14">
        <v>0</v>
      </c>
      <c r="R394" s="14">
        <v>0</v>
      </c>
      <c r="S394" s="10">
        <v>0</v>
      </c>
      <c r="T394" s="10">
        <v>0</v>
      </c>
      <c r="U394" s="14">
        <v>0</v>
      </c>
      <c r="V394" s="10"/>
      <c r="W394" s="11">
        <v>10</v>
      </c>
      <c r="X394" s="11">
        <v>10</v>
      </c>
      <c r="Y394" s="11">
        <v>0</v>
      </c>
      <c r="Z394" s="11">
        <v>0</v>
      </c>
      <c r="AA394" s="11">
        <f>MasterTable[[#This Row],[Landings
Night]]+MasterTable[[#This Row],[Landings
Day]]</f>
        <v>10</v>
      </c>
      <c r="AB394" s="10">
        <v>0</v>
      </c>
      <c r="AC394" s="10">
        <v>0</v>
      </c>
      <c r="AD394" s="11">
        <v>0</v>
      </c>
      <c r="AE394" s="21">
        <f>SUM(MasterTable[[#This Row],[ILS]:[PAR]])</f>
        <v>0</v>
      </c>
      <c r="AL394" s="11"/>
      <c r="AR394" s="140" t="str">
        <f>_xlfn.XLOOKUP(MasterTable[[#This Row],[Aircraft ID]],Aircraft!A:A,Aircraft!H:H)</f>
        <v>Airplane Single Engine Land</v>
      </c>
      <c r="AS394" s="8" t="b">
        <f>OR((SUM(MasterTable[[#This Row],[ILS]:[PAR]]) = MasterTable[[#This Row],[APPR]]))</f>
        <v>1</v>
      </c>
      <c r="AT394" s="8" t="b">
        <f>NOT(ISBLANK(MasterTable[[#This Row],[Total
Time]]))</f>
        <v>1</v>
      </c>
    </row>
    <row r="395" spans="4:46" ht="28.8" x14ac:dyDescent="0.3">
      <c r="D395" s="22">
        <v>44668</v>
      </c>
      <c r="E395" s="8" t="s">
        <v>139</v>
      </c>
      <c r="F395" s="8" t="s">
        <v>204</v>
      </c>
      <c r="G395" s="8" t="s">
        <v>206</v>
      </c>
      <c r="I395" s="10">
        <v>1.1000000000000001</v>
      </c>
      <c r="J395" s="10">
        <v>1.1000000000000001</v>
      </c>
      <c r="L395" s="10">
        <v>0</v>
      </c>
      <c r="M395" s="13">
        <v>0</v>
      </c>
      <c r="N395" s="13"/>
      <c r="O395" s="10">
        <v>0</v>
      </c>
      <c r="P395" s="10">
        <v>0</v>
      </c>
      <c r="Q395" s="14">
        <v>0</v>
      </c>
      <c r="R395" s="14">
        <v>0</v>
      </c>
      <c r="S395" s="10">
        <v>0</v>
      </c>
      <c r="T395" s="10">
        <v>1.1000000000000001</v>
      </c>
      <c r="U395" s="14">
        <v>0</v>
      </c>
      <c r="V395" s="10"/>
      <c r="W395" s="11">
        <v>1</v>
      </c>
      <c r="X395" s="11">
        <v>1</v>
      </c>
      <c r="Y395" s="11">
        <v>0</v>
      </c>
      <c r="Z395" s="11">
        <v>0</v>
      </c>
      <c r="AA395" s="11">
        <f>MasterTable[[#This Row],[Landings
Night]]+MasterTable[[#This Row],[Landings
Day]]</f>
        <v>1</v>
      </c>
      <c r="AB395" s="10">
        <v>0</v>
      </c>
      <c r="AC395" s="10">
        <v>0</v>
      </c>
      <c r="AD395" s="11">
        <v>0</v>
      </c>
      <c r="AE395" s="21">
        <f>SUM(MasterTable[[#This Row],[ILS]:[PAR]])</f>
        <v>0</v>
      </c>
      <c r="AL395" s="11"/>
      <c r="AR395" s="140" t="str">
        <f>_xlfn.XLOOKUP(MasterTable[[#This Row],[Aircraft ID]],Aircraft!A:A,Aircraft!H:H)</f>
        <v>Airplane Single Engine Land</v>
      </c>
      <c r="AS395" s="8" t="b">
        <f>OR((SUM(MasterTable[[#This Row],[ILS]:[PAR]]) = MasterTable[[#This Row],[APPR]]))</f>
        <v>1</v>
      </c>
      <c r="AT395" s="8" t="b">
        <f>NOT(ISBLANK(MasterTable[[#This Row],[Total
Time]]))</f>
        <v>1</v>
      </c>
    </row>
    <row r="396" spans="4:46" ht="28.8" x14ac:dyDescent="0.3">
      <c r="D396" s="22">
        <v>44668</v>
      </c>
      <c r="E396" s="8" t="s">
        <v>139</v>
      </c>
      <c r="F396" s="8" t="s">
        <v>214</v>
      </c>
      <c r="G396" s="8" t="s">
        <v>204</v>
      </c>
      <c r="I396" s="10">
        <v>0.4</v>
      </c>
      <c r="J396" s="10">
        <v>0.4</v>
      </c>
      <c r="L396" s="10">
        <v>0</v>
      </c>
      <c r="M396" s="13">
        <v>0</v>
      </c>
      <c r="N396" s="13"/>
      <c r="O396" s="10">
        <v>0</v>
      </c>
      <c r="P396" s="10">
        <v>0</v>
      </c>
      <c r="Q396" s="14">
        <v>0</v>
      </c>
      <c r="R396" s="14">
        <v>0</v>
      </c>
      <c r="S396" s="10">
        <v>0</v>
      </c>
      <c r="T396" s="10">
        <v>0</v>
      </c>
      <c r="U396" s="14">
        <v>0</v>
      </c>
      <c r="V396" s="10"/>
      <c r="W396" s="11">
        <v>1</v>
      </c>
      <c r="X396" s="11">
        <v>1</v>
      </c>
      <c r="Y396" s="11">
        <v>0</v>
      </c>
      <c r="Z396" s="11">
        <v>0</v>
      </c>
      <c r="AA396" s="11">
        <f>MasterTable[[#This Row],[Landings
Night]]+MasterTable[[#This Row],[Landings
Day]]</f>
        <v>1</v>
      </c>
      <c r="AB396" s="10">
        <v>0</v>
      </c>
      <c r="AC396" s="10">
        <v>0</v>
      </c>
      <c r="AD396" s="11">
        <v>0</v>
      </c>
      <c r="AE396" s="21">
        <f>SUM(MasterTable[[#This Row],[ILS]:[PAR]])</f>
        <v>0</v>
      </c>
      <c r="AL396" s="11"/>
      <c r="AR396" s="140" t="str">
        <f>_xlfn.XLOOKUP(MasterTable[[#This Row],[Aircraft ID]],Aircraft!A:A,Aircraft!H:H)</f>
        <v>Airplane Single Engine Land</v>
      </c>
      <c r="AS396" s="8" t="b">
        <f>OR((SUM(MasterTable[[#This Row],[ILS]:[PAR]]) = MasterTable[[#This Row],[APPR]]))</f>
        <v>1</v>
      </c>
      <c r="AT396" s="8" t="b">
        <f>NOT(ISBLANK(MasterTable[[#This Row],[Total
Time]]))</f>
        <v>1</v>
      </c>
    </row>
    <row r="397" spans="4:46" ht="28.8" x14ac:dyDescent="0.3">
      <c r="D397" s="22">
        <v>44668</v>
      </c>
      <c r="E397" s="8" t="s">
        <v>139</v>
      </c>
      <c r="F397" s="8" t="s">
        <v>202</v>
      </c>
      <c r="G397" s="8" t="s">
        <v>214</v>
      </c>
      <c r="I397" s="10">
        <v>1</v>
      </c>
      <c r="J397" s="10">
        <v>1</v>
      </c>
      <c r="L397" s="10">
        <v>0</v>
      </c>
      <c r="M397" s="13">
        <v>0</v>
      </c>
      <c r="N397" s="13"/>
      <c r="O397" s="10">
        <v>0</v>
      </c>
      <c r="P397" s="10">
        <v>0</v>
      </c>
      <c r="Q397" s="14">
        <v>0</v>
      </c>
      <c r="R397" s="14">
        <v>0</v>
      </c>
      <c r="S397" s="10">
        <v>0</v>
      </c>
      <c r="T397" s="10">
        <v>1</v>
      </c>
      <c r="U397" s="14">
        <v>0</v>
      </c>
      <c r="V397" s="10"/>
      <c r="W397" s="11">
        <v>3</v>
      </c>
      <c r="X397" s="11">
        <v>3</v>
      </c>
      <c r="Y397" s="11">
        <v>0</v>
      </c>
      <c r="Z397" s="11">
        <v>0</v>
      </c>
      <c r="AA397" s="11">
        <f>MasterTable[[#This Row],[Landings
Night]]+MasterTable[[#This Row],[Landings
Day]]</f>
        <v>3</v>
      </c>
      <c r="AB397" s="10">
        <v>0</v>
      </c>
      <c r="AC397" s="10">
        <v>0</v>
      </c>
      <c r="AD397" s="11">
        <v>0</v>
      </c>
      <c r="AE397" s="21">
        <f>SUM(MasterTable[[#This Row],[ILS]:[PAR]])</f>
        <v>0</v>
      </c>
      <c r="AL397" s="11"/>
      <c r="AR397" s="140" t="str">
        <f>_xlfn.XLOOKUP(MasterTable[[#This Row],[Aircraft ID]],Aircraft!A:A,Aircraft!H:H)</f>
        <v>Airplane Single Engine Land</v>
      </c>
      <c r="AS397" s="8" t="b">
        <f>OR((SUM(MasterTable[[#This Row],[ILS]:[PAR]]) = MasterTable[[#This Row],[APPR]]))</f>
        <v>1</v>
      </c>
      <c r="AT397" s="8" t="b">
        <f>NOT(ISBLANK(MasterTable[[#This Row],[Total
Time]]))</f>
        <v>1</v>
      </c>
    </row>
    <row r="398" spans="4:46" ht="28.8" x14ac:dyDescent="0.3">
      <c r="D398" s="22">
        <v>44668</v>
      </c>
      <c r="E398" s="8" t="s">
        <v>139</v>
      </c>
      <c r="F398" s="8" t="s">
        <v>241</v>
      </c>
      <c r="G398" s="8" t="s">
        <v>202</v>
      </c>
      <c r="I398" s="10">
        <v>0.6</v>
      </c>
      <c r="J398" s="10">
        <v>0.6</v>
      </c>
      <c r="L398" s="10">
        <v>0</v>
      </c>
      <c r="M398" s="13">
        <v>0</v>
      </c>
      <c r="N398" s="13"/>
      <c r="O398" s="10">
        <v>0</v>
      </c>
      <c r="P398" s="10">
        <v>0</v>
      </c>
      <c r="Q398" s="14">
        <v>0</v>
      </c>
      <c r="R398" s="14">
        <v>0</v>
      </c>
      <c r="S398" s="10">
        <v>0</v>
      </c>
      <c r="T398" s="10">
        <v>0</v>
      </c>
      <c r="U398" s="14">
        <v>0</v>
      </c>
      <c r="V398" s="10"/>
      <c r="W398" s="11">
        <v>1</v>
      </c>
      <c r="X398" s="11">
        <v>1</v>
      </c>
      <c r="Y398" s="11">
        <v>0</v>
      </c>
      <c r="Z398" s="11">
        <v>0</v>
      </c>
      <c r="AA398" s="11">
        <f>MasterTable[[#This Row],[Landings
Night]]+MasterTable[[#This Row],[Landings
Day]]</f>
        <v>1</v>
      </c>
      <c r="AB398" s="10">
        <v>0</v>
      </c>
      <c r="AC398" s="10">
        <v>0</v>
      </c>
      <c r="AD398" s="11">
        <v>0</v>
      </c>
      <c r="AE398" s="21">
        <f>SUM(MasterTable[[#This Row],[ILS]:[PAR]])</f>
        <v>0</v>
      </c>
      <c r="AL398" s="11"/>
      <c r="AR398" s="140" t="str">
        <f>_xlfn.XLOOKUP(MasterTable[[#This Row],[Aircraft ID]],Aircraft!A:A,Aircraft!H:H)</f>
        <v>Airplane Single Engine Land</v>
      </c>
      <c r="AS398" s="8" t="b">
        <f>OR((SUM(MasterTable[[#This Row],[ILS]:[PAR]]) = MasterTable[[#This Row],[APPR]]))</f>
        <v>1</v>
      </c>
      <c r="AT398" s="8" t="b">
        <f>NOT(ISBLANK(MasterTable[[#This Row],[Total
Time]]))</f>
        <v>1</v>
      </c>
    </row>
    <row r="399" spans="4:46" ht="28.8" x14ac:dyDescent="0.3">
      <c r="D399" s="22">
        <v>44666</v>
      </c>
      <c r="E399" s="8" t="s">
        <v>97</v>
      </c>
      <c r="F399" s="8" t="s">
        <v>242</v>
      </c>
      <c r="G399" s="8" t="s">
        <v>242</v>
      </c>
      <c r="I399" s="10">
        <v>1</v>
      </c>
      <c r="J399" s="10">
        <v>1</v>
      </c>
      <c r="L399" s="10">
        <v>0</v>
      </c>
      <c r="M399" s="13">
        <v>0</v>
      </c>
      <c r="N399" s="13"/>
      <c r="O399" s="10">
        <v>0</v>
      </c>
      <c r="P399" s="10">
        <v>1</v>
      </c>
      <c r="Q399" s="14">
        <v>0</v>
      </c>
      <c r="R399" s="14">
        <v>0</v>
      </c>
      <c r="S399" s="10">
        <v>0</v>
      </c>
      <c r="T399" s="10">
        <v>0</v>
      </c>
      <c r="U399" s="14">
        <v>0</v>
      </c>
      <c r="V399" s="10"/>
      <c r="W399" s="11">
        <v>1</v>
      </c>
      <c r="X399" s="11">
        <v>1</v>
      </c>
      <c r="Y399" s="11">
        <v>0</v>
      </c>
      <c r="Z399" s="11">
        <v>0</v>
      </c>
      <c r="AA399" s="11">
        <f>MasterTable[[#This Row],[Landings
Night]]+MasterTable[[#This Row],[Landings
Day]]</f>
        <v>1</v>
      </c>
      <c r="AB399" s="10">
        <v>0</v>
      </c>
      <c r="AC399" s="10">
        <v>0</v>
      </c>
      <c r="AD399" s="11">
        <v>0</v>
      </c>
      <c r="AE399" s="21">
        <f>SUM(MasterTable[[#This Row],[ILS]:[PAR]])</f>
        <v>0</v>
      </c>
      <c r="AL399" s="11"/>
      <c r="AR399" s="140" t="str">
        <f>_xlfn.XLOOKUP(MasterTable[[#This Row],[Aircraft ID]],Aircraft!A:A,Aircraft!H:H)</f>
        <v>Airplane Single Engine Land</v>
      </c>
      <c r="AS399" s="8" t="b">
        <f>OR((SUM(MasterTable[[#This Row],[ILS]:[PAR]]) = MasterTable[[#This Row],[APPR]]))</f>
        <v>1</v>
      </c>
      <c r="AT399" s="8" t="b">
        <f>NOT(ISBLANK(MasterTable[[#This Row],[Total
Time]]))</f>
        <v>1</v>
      </c>
    </row>
    <row r="400" spans="4:46" ht="28.8" x14ac:dyDescent="0.3">
      <c r="D400" s="22">
        <v>44666</v>
      </c>
      <c r="E400" s="8" t="s">
        <v>97</v>
      </c>
      <c r="F400" s="8" t="s">
        <v>242</v>
      </c>
      <c r="G400" s="8" t="s">
        <v>242</v>
      </c>
      <c r="I400" s="10">
        <v>1.7</v>
      </c>
      <c r="J400" s="10">
        <v>1.7</v>
      </c>
      <c r="L400" s="10">
        <v>0</v>
      </c>
      <c r="M400" s="13">
        <v>0</v>
      </c>
      <c r="N400" s="13"/>
      <c r="O400" s="10">
        <v>0</v>
      </c>
      <c r="P400" s="10">
        <v>1.7</v>
      </c>
      <c r="Q400" s="14">
        <v>0</v>
      </c>
      <c r="R400" s="14">
        <v>0</v>
      </c>
      <c r="S400" s="10">
        <v>0</v>
      </c>
      <c r="T400" s="10">
        <v>0</v>
      </c>
      <c r="U400" s="14">
        <v>0</v>
      </c>
      <c r="V400" s="10"/>
      <c r="W400" s="11">
        <v>19</v>
      </c>
      <c r="X400" s="11">
        <v>19</v>
      </c>
      <c r="Y400" s="11">
        <v>0</v>
      </c>
      <c r="Z400" s="11">
        <v>0</v>
      </c>
      <c r="AA400" s="11">
        <f>MasterTable[[#This Row],[Landings
Night]]+MasterTable[[#This Row],[Landings
Day]]</f>
        <v>19</v>
      </c>
      <c r="AB400" s="10">
        <v>0</v>
      </c>
      <c r="AC400" s="10">
        <v>0</v>
      </c>
      <c r="AD400" s="11">
        <v>0</v>
      </c>
      <c r="AE400" s="21">
        <f>SUM(MasterTable[[#This Row],[ILS]:[PAR]])</f>
        <v>0</v>
      </c>
      <c r="AL400" s="11"/>
      <c r="AR400" s="140" t="str">
        <f>_xlfn.XLOOKUP(MasterTable[[#This Row],[Aircraft ID]],Aircraft!A:A,Aircraft!H:H)</f>
        <v>Airplane Single Engine Land</v>
      </c>
      <c r="AS400" s="8" t="b">
        <f>OR((SUM(MasterTable[[#This Row],[ILS]:[PAR]]) = MasterTable[[#This Row],[APPR]]))</f>
        <v>1</v>
      </c>
      <c r="AT400" s="8" t="b">
        <f>NOT(ISBLANK(MasterTable[[#This Row],[Total
Time]]))</f>
        <v>1</v>
      </c>
    </row>
    <row r="401" spans="4:46" ht="28.8" x14ac:dyDescent="0.3">
      <c r="D401" s="22">
        <v>44646</v>
      </c>
      <c r="E401" s="8" t="s">
        <v>174</v>
      </c>
      <c r="F401" s="8" t="s">
        <v>206</v>
      </c>
      <c r="G401" s="8" t="s">
        <v>222</v>
      </c>
      <c r="I401" s="10">
        <v>0.6</v>
      </c>
      <c r="J401" s="10">
        <v>0.6</v>
      </c>
      <c r="L401" s="10">
        <v>0</v>
      </c>
      <c r="M401" s="13">
        <v>0</v>
      </c>
      <c r="N401" s="13"/>
      <c r="O401" s="10">
        <v>0</v>
      </c>
      <c r="P401" s="10">
        <v>0</v>
      </c>
      <c r="Q401" s="14">
        <v>0</v>
      </c>
      <c r="R401" s="14">
        <v>0</v>
      </c>
      <c r="S401" s="10">
        <v>0</v>
      </c>
      <c r="T401" s="10">
        <v>0</v>
      </c>
      <c r="U401" s="14">
        <v>0</v>
      </c>
      <c r="V401" s="10"/>
      <c r="W401" s="11">
        <v>1</v>
      </c>
      <c r="X401" s="11">
        <v>1</v>
      </c>
      <c r="Y401" s="11">
        <v>0</v>
      </c>
      <c r="Z401" s="11">
        <v>0</v>
      </c>
      <c r="AA401" s="11">
        <f>MasterTable[[#This Row],[Landings
Night]]+MasterTable[[#This Row],[Landings
Day]]</f>
        <v>1</v>
      </c>
      <c r="AB401" s="10">
        <v>0</v>
      </c>
      <c r="AC401" s="10">
        <v>0</v>
      </c>
      <c r="AD401" s="11">
        <v>0</v>
      </c>
      <c r="AE401" s="21">
        <f>SUM(MasterTable[[#This Row],[ILS]:[PAR]])</f>
        <v>0</v>
      </c>
      <c r="AL401" s="11"/>
      <c r="AR401" s="140" t="str">
        <f>_xlfn.XLOOKUP(MasterTable[[#This Row],[Aircraft ID]],Aircraft!A:A,Aircraft!H:H)</f>
        <v>Airplane Single Engine Land</v>
      </c>
      <c r="AS401" s="8" t="b">
        <f>OR((SUM(MasterTable[[#This Row],[ILS]:[PAR]]) = MasterTable[[#This Row],[APPR]]))</f>
        <v>1</v>
      </c>
      <c r="AT401" s="8" t="b">
        <f>NOT(ISBLANK(MasterTable[[#This Row],[Total
Time]]))</f>
        <v>1</v>
      </c>
    </row>
    <row r="402" spans="4:46" ht="28.8" x14ac:dyDescent="0.3">
      <c r="D402" s="22">
        <v>44646</v>
      </c>
      <c r="E402" s="8" t="s">
        <v>174</v>
      </c>
      <c r="F402" s="8" t="s">
        <v>206</v>
      </c>
      <c r="G402" s="8" t="s">
        <v>206</v>
      </c>
      <c r="I402" s="10">
        <v>2</v>
      </c>
      <c r="J402" s="10">
        <v>2</v>
      </c>
      <c r="L402" s="10">
        <v>0</v>
      </c>
      <c r="M402" s="13">
        <v>0</v>
      </c>
      <c r="N402" s="13"/>
      <c r="O402" s="10">
        <v>0</v>
      </c>
      <c r="P402" s="10">
        <v>0</v>
      </c>
      <c r="Q402" s="14">
        <v>0</v>
      </c>
      <c r="R402" s="14">
        <v>0</v>
      </c>
      <c r="S402" s="10">
        <v>0</v>
      </c>
      <c r="T402" s="10">
        <v>0</v>
      </c>
      <c r="U402" s="14">
        <v>0</v>
      </c>
      <c r="V402" s="10"/>
      <c r="W402" s="11">
        <v>2</v>
      </c>
      <c r="X402" s="11">
        <v>2</v>
      </c>
      <c r="Y402" s="11">
        <v>0</v>
      </c>
      <c r="Z402" s="11">
        <v>0</v>
      </c>
      <c r="AA402" s="11">
        <f>MasterTable[[#This Row],[Landings
Night]]+MasterTable[[#This Row],[Landings
Day]]</f>
        <v>2</v>
      </c>
      <c r="AB402" s="10">
        <v>0</v>
      </c>
      <c r="AC402" s="10">
        <v>1</v>
      </c>
      <c r="AD402" s="11">
        <v>1</v>
      </c>
      <c r="AE402" s="21">
        <f>SUM(MasterTable[[#This Row],[ILS]:[PAR]])</f>
        <v>5</v>
      </c>
      <c r="AH402" s="11">
        <v>5</v>
      </c>
      <c r="AL402" s="11"/>
      <c r="AM402" s="8" t="s">
        <v>544</v>
      </c>
      <c r="AR402" s="140" t="str">
        <f>_xlfn.XLOOKUP(MasterTable[[#This Row],[Aircraft ID]],Aircraft!A:A,Aircraft!H:H)</f>
        <v>Airplane Single Engine Land</v>
      </c>
      <c r="AS402" s="8" t="b">
        <f>OR((SUM(MasterTable[[#This Row],[ILS]:[PAR]]) = MasterTable[[#This Row],[APPR]]))</f>
        <v>1</v>
      </c>
      <c r="AT402" s="8" t="b">
        <f>NOT(ISBLANK(MasterTable[[#This Row],[Total
Time]]))</f>
        <v>1</v>
      </c>
    </row>
    <row r="403" spans="4:46" ht="28.8" x14ac:dyDescent="0.3">
      <c r="D403" s="22">
        <v>44638</v>
      </c>
      <c r="E403" s="8" t="s">
        <v>174</v>
      </c>
      <c r="F403" s="8" t="s">
        <v>204</v>
      </c>
      <c r="G403" s="8" t="s">
        <v>204</v>
      </c>
      <c r="I403" s="10">
        <v>1.1000000000000001</v>
      </c>
      <c r="J403" s="10">
        <v>1.1000000000000001</v>
      </c>
      <c r="L403" s="10">
        <v>0</v>
      </c>
      <c r="M403" s="13">
        <v>0</v>
      </c>
      <c r="N403" s="13"/>
      <c r="O403" s="10">
        <v>0</v>
      </c>
      <c r="P403" s="10">
        <v>0</v>
      </c>
      <c r="Q403" s="14">
        <v>0</v>
      </c>
      <c r="R403" s="14">
        <v>0</v>
      </c>
      <c r="S403" s="10">
        <v>0</v>
      </c>
      <c r="T403" s="10">
        <v>0</v>
      </c>
      <c r="U403" s="14">
        <v>0</v>
      </c>
      <c r="V403" s="10">
        <v>0.9</v>
      </c>
      <c r="W403" s="11">
        <v>1</v>
      </c>
      <c r="X403" s="11">
        <v>1</v>
      </c>
      <c r="Y403" s="11">
        <v>0</v>
      </c>
      <c r="Z403" s="11">
        <v>0</v>
      </c>
      <c r="AA403" s="11">
        <f>MasterTable[[#This Row],[Landings
Night]]+MasterTable[[#This Row],[Landings
Day]]</f>
        <v>1</v>
      </c>
      <c r="AB403" s="10">
        <v>0</v>
      </c>
      <c r="AC403" s="10">
        <v>0</v>
      </c>
      <c r="AD403" s="11">
        <v>0</v>
      </c>
      <c r="AE403" s="21">
        <f>SUM(MasterTable[[#This Row],[ILS]:[PAR]])</f>
        <v>0</v>
      </c>
      <c r="AL403" s="11"/>
      <c r="AR403" s="140" t="str">
        <f>_xlfn.XLOOKUP(MasterTable[[#This Row],[Aircraft ID]],Aircraft!A:A,Aircraft!H:H)</f>
        <v>Airplane Single Engine Land</v>
      </c>
      <c r="AS403" s="8" t="b">
        <f>OR((SUM(MasterTable[[#This Row],[ILS]:[PAR]]) = MasterTable[[#This Row],[APPR]]))</f>
        <v>1</v>
      </c>
      <c r="AT403" s="8" t="b">
        <f>NOT(ISBLANK(MasterTable[[#This Row],[Total
Time]]))</f>
        <v>1</v>
      </c>
    </row>
    <row r="404" spans="4:46" ht="28.8" x14ac:dyDescent="0.3">
      <c r="D404" s="22">
        <v>44638</v>
      </c>
      <c r="E404" s="8" t="s">
        <v>174</v>
      </c>
      <c r="F404" s="8" t="s">
        <v>204</v>
      </c>
      <c r="G404" s="8" t="s">
        <v>206</v>
      </c>
      <c r="I404" s="10">
        <v>1.1000000000000001</v>
      </c>
      <c r="J404" s="10">
        <v>1.1000000000000001</v>
      </c>
      <c r="L404" s="10">
        <v>0</v>
      </c>
      <c r="M404" s="13">
        <v>0</v>
      </c>
      <c r="N404" s="13"/>
      <c r="O404" s="10">
        <v>0</v>
      </c>
      <c r="P404" s="10">
        <v>0</v>
      </c>
      <c r="Q404" s="14">
        <v>0</v>
      </c>
      <c r="R404" s="14">
        <v>0</v>
      </c>
      <c r="S404" s="10">
        <v>0</v>
      </c>
      <c r="T404" s="10">
        <v>1.1000000000000001</v>
      </c>
      <c r="U404" s="14">
        <v>0</v>
      </c>
      <c r="V404" s="10"/>
      <c r="W404" s="11">
        <v>1</v>
      </c>
      <c r="X404" s="11">
        <v>1</v>
      </c>
      <c r="Y404" s="11">
        <v>0</v>
      </c>
      <c r="Z404" s="11">
        <v>0</v>
      </c>
      <c r="AA404" s="11">
        <f>MasterTable[[#This Row],[Landings
Night]]+MasterTable[[#This Row],[Landings
Day]]</f>
        <v>1</v>
      </c>
      <c r="AB404" s="10">
        <v>0</v>
      </c>
      <c r="AC404" s="10">
        <v>0</v>
      </c>
      <c r="AD404" s="11">
        <v>0</v>
      </c>
      <c r="AE404" s="21">
        <f>SUM(MasterTable[[#This Row],[ILS]:[PAR]])</f>
        <v>0</v>
      </c>
      <c r="AL404" s="11"/>
      <c r="AR404" s="140" t="str">
        <f>_xlfn.XLOOKUP(MasterTable[[#This Row],[Aircraft ID]],Aircraft!A:A,Aircraft!H:H)</f>
        <v>Airplane Single Engine Land</v>
      </c>
      <c r="AS404" s="8" t="b">
        <f>OR((SUM(MasterTable[[#This Row],[ILS]:[PAR]]) = MasterTable[[#This Row],[APPR]]))</f>
        <v>1</v>
      </c>
      <c r="AT404" s="8" t="b">
        <f>NOT(ISBLANK(MasterTable[[#This Row],[Total
Time]]))</f>
        <v>1</v>
      </c>
    </row>
    <row r="405" spans="4:46" ht="28.8" x14ac:dyDescent="0.3">
      <c r="D405" s="22">
        <v>44637</v>
      </c>
      <c r="E405" s="8" t="s">
        <v>174</v>
      </c>
      <c r="F405" s="8" t="s">
        <v>207</v>
      </c>
      <c r="G405" s="8" t="s">
        <v>204</v>
      </c>
      <c r="I405" s="10">
        <v>1.6</v>
      </c>
      <c r="J405" s="10">
        <v>1.6</v>
      </c>
      <c r="L405" s="10">
        <v>0</v>
      </c>
      <c r="M405" s="13">
        <v>0</v>
      </c>
      <c r="N405" s="13"/>
      <c r="O405" s="10">
        <v>0</v>
      </c>
      <c r="P405" s="10">
        <v>0</v>
      </c>
      <c r="Q405" s="14">
        <v>0</v>
      </c>
      <c r="R405" s="14">
        <v>0</v>
      </c>
      <c r="S405" s="10">
        <v>0</v>
      </c>
      <c r="T405" s="10">
        <v>1.6</v>
      </c>
      <c r="U405" s="14">
        <v>0</v>
      </c>
      <c r="V405" s="10"/>
      <c r="W405" s="11">
        <v>1</v>
      </c>
      <c r="X405" s="11">
        <v>1</v>
      </c>
      <c r="Y405" s="11">
        <v>0</v>
      </c>
      <c r="Z405" s="11">
        <v>0</v>
      </c>
      <c r="AA405" s="11">
        <f>MasterTable[[#This Row],[Landings
Night]]+MasterTable[[#This Row],[Landings
Day]]</f>
        <v>1</v>
      </c>
      <c r="AB405" s="10">
        <v>0</v>
      </c>
      <c r="AC405" s="10">
        <v>0</v>
      </c>
      <c r="AD405" s="11">
        <v>0</v>
      </c>
      <c r="AE405" s="21">
        <f>SUM(MasterTable[[#This Row],[ILS]:[PAR]])</f>
        <v>0</v>
      </c>
      <c r="AL405" s="11"/>
      <c r="AR405" s="140" t="str">
        <f>_xlfn.XLOOKUP(MasterTable[[#This Row],[Aircraft ID]],Aircraft!A:A,Aircraft!H:H)</f>
        <v>Airplane Single Engine Land</v>
      </c>
      <c r="AS405" s="8" t="b">
        <f>OR((SUM(MasterTable[[#This Row],[ILS]:[PAR]]) = MasterTable[[#This Row],[APPR]]))</f>
        <v>1</v>
      </c>
      <c r="AT405" s="8" t="b">
        <f>NOT(ISBLANK(MasterTable[[#This Row],[Total
Time]]))</f>
        <v>1</v>
      </c>
    </row>
    <row r="406" spans="4:46" ht="28.8" x14ac:dyDescent="0.3">
      <c r="D406" s="22">
        <v>44637</v>
      </c>
      <c r="E406" s="8" t="s">
        <v>174</v>
      </c>
      <c r="F406" s="8" t="s">
        <v>206</v>
      </c>
      <c r="G406" s="8" t="s">
        <v>207</v>
      </c>
      <c r="I406" s="10">
        <v>0.4</v>
      </c>
      <c r="J406" s="10">
        <v>0.4</v>
      </c>
      <c r="L406" s="10">
        <v>0</v>
      </c>
      <c r="M406" s="13">
        <v>0</v>
      </c>
      <c r="N406" s="13"/>
      <c r="O406" s="10">
        <v>0</v>
      </c>
      <c r="P406" s="10">
        <v>0</v>
      </c>
      <c r="Q406" s="14">
        <v>0</v>
      </c>
      <c r="R406" s="14">
        <v>0</v>
      </c>
      <c r="S406" s="10">
        <v>0</v>
      </c>
      <c r="T406" s="10">
        <v>0</v>
      </c>
      <c r="U406" s="14">
        <v>0</v>
      </c>
      <c r="V406" s="10"/>
      <c r="W406" s="11">
        <v>1</v>
      </c>
      <c r="X406" s="11">
        <v>1</v>
      </c>
      <c r="Y406" s="11">
        <v>0</v>
      </c>
      <c r="Z406" s="11">
        <v>0</v>
      </c>
      <c r="AA406" s="11">
        <f>MasterTable[[#This Row],[Landings
Night]]+MasterTable[[#This Row],[Landings
Day]]</f>
        <v>1</v>
      </c>
      <c r="AB406" s="10">
        <v>0</v>
      </c>
      <c r="AC406" s="10">
        <v>0</v>
      </c>
      <c r="AD406" s="11">
        <v>0</v>
      </c>
      <c r="AE406" s="21">
        <f>SUM(MasterTable[[#This Row],[ILS]:[PAR]])</f>
        <v>0</v>
      </c>
      <c r="AL406" s="11"/>
      <c r="AR406" s="140" t="str">
        <f>_xlfn.XLOOKUP(MasterTable[[#This Row],[Aircraft ID]],Aircraft!A:A,Aircraft!H:H)</f>
        <v>Airplane Single Engine Land</v>
      </c>
      <c r="AS406" s="8" t="b">
        <f>OR((SUM(MasterTable[[#This Row],[ILS]:[PAR]]) = MasterTable[[#This Row],[APPR]]))</f>
        <v>1</v>
      </c>
      <c r="AT406" s="8" t="b">
        <f>NOT(ISBLANK(MasterTable[[#This Row],[Total
Time]]))</f>
        <v>1</v>
      </c>
    </row>
    <row r="407" spans="4:46" ht="28.8" x14ac:dyDescent="0.3">
      <c r="D407" s="22">
        <v>44634</v>
      </c>
      <c r="E407" s="8" t="s">
        <v>174</v>
      </c>
      <c r="F407" s="8" t="s">
        <v>207</v>
      </c>
      <c r="G407" s="8" t="s">
        <v>206</v>
      </c>
      <c r="I407" s="10">
        <v>0.5</v>
      </c>
      <c r="J407" s="10">
        <v>0.5</v>
      </c>
      <c r="L407" s="10">
        <v>0</v>
      </c>
      <c r="M407" s="13">
        <v>0</v>
      </c>
      <c r="N407" s="13"/>
      <c r="O407" s="10">
        <v>0</v>
      </c>
      <c r="P407" s="10">
        <v>0</v>
      </c>
      <c r="Q407" s="14">
        <v>0</v>
      </c>
      <c r="R407" s="14">
        <v>0</v>
      </c>
      <c r="S407" s="10">
        <v>0</v>
      </c>
      <c r="T407" s="10">
        <v>0</v>
      </c>
      <c r="U407" s="14">
        <v>0</v>
      </c>
      <c r="V407" s="10"/>
      <c r="W407" s="11">
        <v>1</v>
      </c>
      <c r="X407" s="11">
        <v>1</v>
      </c>
      <c r="Y407" s="11">
        <v>0</v>
      </c>
      <c r="Z407" s="11">
        <v>0</v>
      </c>
      <c r="AA407" s="11">
        <f>MasterTable[[#This Row],[Landings
Night]]+MasterTable[[#This Row],[Landings
Day]]</f>
        <v>1</v>
      </c>
      <c r="AB407" s="10">
        <v>0</v>
      </c>
      <c r="AC407" s="10">
        <v>0</v>
      </c>
      <c r="AD407" s="11">
        <v>0</v>
      </c>
      <c r="AE407" s="21">
        <f>SUM(MasterTable[[#This Row],[ILS]:[PAR]])</f>
        <v>0</v>
      </c>
      <c r="AL407" s="11"/>
      <c r="AR407" s="140" t="str">
        <f>_xlfn.XLOOKUP(MasterTable[[#This Row],[Aircraft ID]],Aircraft!A:A,Aircraft!H:H)</f>
        <v>Airplane Single Engine Land</v>
      </c>
      <c r="AS407" s="8" t="b">
        <f>OR((SUM(MasterTable[[#This Row],[ILS]:[PAR]]) = MasterTable[[#This Row],[APPR]]))</f>
        <v>1</v>
      </c>
      <c r="AT407" s="8" t="b">
        <f>NOT(ISBLANK(MasterTable[[#This Row],[Total
Time]]))</f>
        <v>1</v>
      </c>
    </row>
    <row r="408" spans="4:46" ht="28.8" x14ac:dyDescent="0.3">
      <c r="D408" s="22">
        <v>44634</v>
      </c>
      <c r="E408" s="8" t="s">
        <v>174</v>
      </c>
      <c r="F408" s="8" t="s">
        <v>202</v>
      </c>
      <c r="G408" s="8" t="s">
        <v>207</v>
      </c>
      <c r="I408" s="10">
        <v>2.4</v>
      </c>
      <c r="J408" s="10">
        <v>2.4</v>
      </c>
      <c r="L408" s="10">
        <v>0</v>
      </c>
      <c r="M408" s="13">
        <v>0</v>
      </c>
      <c r="N408" s="13"/>
      <c r="O408" s="10">
        <v>0</v>
      </c>
      <c r="P408" s="10">
        <v>0</v>
      </c>
      <c r="Q408" s="14">
        <v>0</v>
      </c>
      <c r="R408" s="14">
        <v>0</v>
      </c>
      <c r="S408" s="10">
        <v>1.6</v>
      </c>
      <c r="T408" s="10">
        <v>2.4</v>
      </c>
      <c r="U408" s="14">
        <v>0</v>
      </c>
      <c r="V408" s="10"/>
      <c r="W408" s="11">
        <v>0</v>
      </c>
      <c r="X408" s="11">
        <v>1</v>
      </c>
      <c r="Y408" s="11">
        <v>1</v>
      </c>
      <c r="Z408" s="11">
        <v>0</v>
      </c>
      <c r="AA408" s="11">
        <f>MasterTable[[#This Row],[Landings
Night]]+MasterTable[[#This Row],[Landings
Day]]</f>
        <v>1</v>
      </c>
      <c r="AB408" s="10">
        <v>0</v>
      </c>
      <c r="AC408" s="10">
        <v>0</v>
      </c>
      <c r="AD408" s="11">
        <v>0</v>
      </c>
      <c r="AE408" s="21">
        <f>SUM(MasterTable[[#This Row],[ILS]:[PAR]])</f>
        <v>0</v>
      </c>
      <c r="AL408" s="11"/>
      <c r="AR408" s="140" t="str">
        <f>_xlfn.XLOOKUP(MasterTable[[#This Row],[Aircraft ID]],Aircraft!A:A,Aircraft!H:H)</f>
        <v>Airplane Single Engine Land</v>
      </c>
      <c r="AS408" s="8" t="b">
        <f>OR((SUM(MasterTable[[#This Row],[ILS]:[PAR]]) = MasterTable[[#This Row],[APPR]]))</f>
        <v>1</v>
      </c>
      <c r="AT408" s="8" t="b">
        <f>NOT(ISBLANK(MasterTable[[#This Row],[Total
Time]]))</f>
        <v>1</v>
      </c>
    </row>
    <row r="409" spans="4:46" ht="28.8" x14ac:dyDescent="0.3">
      <c r="D409" s="22">
        <v>44632</v>
      </c>
      <c r="E409" s="8" t="s">
        <v>174</v>
      </c>
      <c r="F409" s="8" t="s">
        <v>206</v>
      </c>
      <c r="G409" s="8" t="s">
        <v>202</v>
      </c>
      <c r="I409" s="10">
        <v>2.2000000000000002</v>
      </c>
      <c r="J409" s="10">
        <v>2.2000000000000002</v>
      </c>
      <c r="L409" s="10">
        <v>0</v>
      </c>
      <c r="M409" s="13">
        <v>0</v>
      </c>
      <c r="N409" s="13"/>
      <c r="O409" s="10">
        <v>0</v>
      </c>
      <c r="P409" s="10">
        <v>0</v>
      </c>
      <c r="Q409" s="14">
        <v>0</v>
      </c>
      <c r="R409" s="14">
        <v>0</v>
      </c>
      <c r="S409" s="10">
        <v>0</v>
      </c>
      <c r="T409" s="10">
        <v>2.2000000000000002</v>
      </c>
      <c r="U409" s="14">
        <v>0</v>
      </c>
      <c r="V409" s="10"/>
      <c r="W409" s="11">
        <v>1</v>
      </c>
      <c r="X409" s="11">
        <v>1</v>
      </c>
      <c r="Y409" s="11">
        <v>0</v>
      </c>
      <c r="Z409" s="11">
        <v>0</v>
      </c>
      <c r="AA409" s="11">
        <f>MasterTable[[#This Row],[Landings
Night]]+MasterTable[[#This Row],[Landings
Day]]</f>
        <v>1</v>
      </c>
      <c r="AB409" s="10">
        <v>0</v>
      </c>
      <c r="AC409" s="10">
        <v>0.3</v>
      </c>
      <c r="AD409" s="11">
        <v>0</v>
      </c>
      <c r="AE409" s="21">
        <f>SUM(MasterTable[[#This Row],[ILS]:[PAR]])</f>
        <v>1</v>
      </c>
      <c r="AF409" s="11">
        <v>1</v>
      </c>
      <c r="AL409" s="11"/>
      <c r="AR409" s="140" t="str">
        <f>_xlfn.XLOOKUP(MasterTable[[#This Row],[Aircraft ID]],Aircraft!A:A,Aircraft!H:H)</f>
        <v>Airplane Single Engine Land</v>
      </c>
      <c r="AS409" s="8" t="b">
        <f>OR((SUM(MasterTable[[#This Row],[ILS]:[PAR]]) = MasterTable[[#This Row],[APPR]]))</f>
        <v>1</v>
      </c>
      <c r="AT409" s="8" t="b">
        <f>NOT(ISBLANK(MasterTable[[#This Row],[Total
Time]]))</f>
        <v>1</v>
      </c>
    </row>
    <row r="410" spans="4:46" ht="28.8" x14ac:dyDescent="0.3">
      <c r="D410" s="22">
        <v>44632</v>
      </c>
      <c r="E410" s="8" t="s">
        <v>174</v>
      </c>
      <c r="F410" s="8" t="s">
        <v>206</v>
      </c>
      <c r="G410" s="8" t="s">
        <v>206</v>
      </c>
      <c r="I410" s="10">
        <v>2.2000000000000002</v>
      </c>
      <c r="J410" s="10">
        <v>2.2000000000000002</v>
      </c>
      <c r="L410" s="10">
        <v>0</v>
      </c>
      <c r="M410" s="13">
        <v>0</v>
      </c>
      <c r="N410" s="13"/>
      <c r="O410" s="10">
        <v>0</v>
      </c>
      <c r="P410" s="10">
        <v>0</v>
      </c>
      <c r="Q410" s="14">
        <v>0</v>
      </c>
      <c r="R410" s="14">
        <v>0</v>
      </c>
      <c r="S410" s="10">
        <v>0</v>
      </c>
      <c r="T410" s="10">
        <v>0</v>
      </c>
      <c r="U410" s="14">
        <v>0</v>
      </c>
      <c r="V410" s="10"/>
      <c r="W410" s="11">
        <v>5</v>
      </c>
      <c r="X410" s="11">
        <v>5</v>
      </c>
      <c r="Y410" s="11">
        <v>0</v>
      </c>
      <c r="Z410" s="11">
        <v>0</v>
      </c>
      <c r="AA410" s="11">
        <f>MasterTable[[#This Row],[Landings
Night]]+MasterTable[[#This Row],[Landings
Day]]</f>
        <v>5</v>
      </c>
      <c r="AB410" s="10">
        <v>0</v>
      </c>
      <c r="AC410" s="10">
        <v>0</v>
      </c>
      <c r="AD410" s="11">
        <v>0</v>
      </c>
      <c r="AE410" s="21">
        <f>SUM(MasterTable[[#This Row],[ILS]:[PAR]])</f>
        <v>0</v>
      </c>
      <c r="AL410" s="11"/>
      <c r="AR410" s="140" t="str">
        <f>_xlfn.XLOOKUP(MasterTable[[#This Row],[Aircraft ID]],Aircraft!A:A,Aircraft!H:H)</f>
        <v>Airplane Single Engine Land</v>
      </c>
      <c r="AS410" s="8" t="b">
        <f>OR((SUM(MasterTable[[#This Row],[ILS]:[PAR]]) = MasterTable[[#This Row],[APPR]]))</f>
        <v>1</v>
      </c>
      <c r="AT410" s="8" t="b">
        <f>NOT(ISBLANK(MasterTable[[#This Row],[Total
Time]]))</f>
        <v>1</v>
      </c>
    </row>
    <row r="411" spans="4:46" ht="28.8" x14ac:dyDescent="0.3">
      <c r="D411" s="22">
        <v>44631</v>
      </c>
      <c r="E411" s="8" t="s">
        <v>174</v>
      </c>
      <c r="F411" s="8" t="s">
        <v>206</v>
      </c>
      <c r="G411" s="8" t="s">
        <v>206</v>
      </c>
      <c r="I411" s="10">
        <v>0.6</v>
      </c>
      <c r="J411" s="10">
        <v>0.6</v>
      </c>
      <c r="L411" s="10">
        <v>0</v>
      </c>
      <c r="M411" s="13">
        <v>0</v>
      </c>
      <c r="N411" s="13"/>
      <c r="O411" s="10">
        <v>0</v>
      </c>
      <c r="P411" s="10">
        <v>0</v>
      </c>
      <c r="Q411" s="14">
        <v>0</v>
      </c>
      <c r="R411" s="14">
        <v>0</v>
      </c>
      <c r="S411" s="10">
        <v>0</v>
      </c>
      <c r="T411" s="10">
        <v>0</v>
      </c>
      <c r="U411" s="14">
        <v>0</v>
      </c>
      <c r="V411" s="10"/>
      <c r="W411" s="11">
        <v>4</v>
      </c>
      <c r="X411" s="11">
        <v>4</v>
      </c>
      <c r="Y411" s="11">
        <v>0</v>
      </c>
      <c r="Z411" s="11">
        <v>0</v>
      </c>
      <c r="AA411" s="11">
        <f>MasterTable[[#This Row],[Landings
Night]]+MasterTable[[#This Row],[Landings
Day]]</f>
        <v>4</v>
      </c>
      <c r="AB411" s="10">
        <v>0</v>
      </c>
      <c r="AC411" s="10">
        <v>0</v>
      </c>
      <c r="AD411" s="11">
        <v>0</v>
      </c>
      <c r="AE411" s="21">
        <f>SUM(MasterTable[[#This Row],[ILS]:[PAR]])</f>
        <v>0</v>
      </c>
      <c r="AL411" s="11"/>
      <c r="AR411" s="140" t="str">
        <f>_xlfn.XLOOKUP(MasterTable[[#This Row],[Aircraft ID]],Aircraft!A:A,Aircraft!H:H)</f>
        <v>Airplane Single Engine Land</v>
      </c>
      <c r="AS411" s="8" t="b">
        <f>OR((SUM(MasterTable[[#This Row],[ILS]:[PAR]]) = MasterTable[[#This Row],[APPR]]))</f>
        <v>1</v>
      </c>
      <c r="AT411" s="8" t="b">
        <f>NOT(ISBLANK(MasterTable[[#This Row],[Total
Time]]))</f>
        <v>1</v>
      </c>
    </row>
    <row r="412" spans="4:46" ht="28.8" x14ac:dyDescent="0.3">
      <c r="D412" s="22">
        <v>44617</v>
      </c>
      <c r="E412" s="8" t="s">
        <v>174</v>
      </c>
      <c r="F412" s="8" t="s">
        <v>206</v>
      </c>
      <c r="G412" s="8" t="s">
        <v>206</v>
      </c>
      <c r="I412" s="10">
        <v>0.5</v>
      </c>
      <c r="J412" s="10">
        <v>0.5</v>
      </c>
      <c r="L412" s="10">
        <v>0</v>
      </c>
      <c r="M412" s="13">
        <v>0</v>
      </c>
      <c r="N412" s="13"/>
      <c r="O412" s="10">
        <v>0</v>
      </c>
      <c r="P412" s="10">
        <v>0</v>
      </c>
      <c r="Q412" s="14">
        <v>0</v>
      </c>
      <c r="R412" s="14">
        <v>0</v>
      </c>
      <c r="S412" s="10">
        <v>0</v>
      </c>
      <c r="T412" s="10">
        <v>0</v>
      </c>
      <c r="U412" s="14">
        <v>0</v>
      </c>
      <c r="V412" s="10"/>
      <c r="W412" s="11">
        <v>1</v>
      </c>
      <c r="X412" s="11">
        <v>1</v>
      </c>
      <c r="Y412" s="11">
        <v>0</v>
      </c>
      <c r="Z412" s="11">
        <v>0</v>
      </c>
      <c r="AA412" s="11">
        <f>MasterTable[[#This Row],[Landings
Night]]+MasterTable[[#This Row],[Landings
Day]]</f>
        <v>1</v>
      </c>
      <c r="AB412" s="10">
        <v>0</v>
      </c>
      <c r="AC412" s="10">
        <v>0</v>
      </c>
      <c r="AD412" s="11">
        <v>0</v>
      </c>
      <c r="AE412" s="21">
        <f>SUM(MasterTable[[#This Row],[ILS]:[PAR]])</f>
        <v>0</v>
      </c>
      <c r="AL412" s="11"/>
      <c r="AR412" s="140" t="str">
        <f>_xlfn.XLOOKUP(MasterTable[[#This Row],[Aircraft ID]],Aircraft!A:A,Aircraft!H:H)</f>
        <v>Airplane Single Engine Land</v>
      </c>
      <c r="AS412" s="8" t="b">
        <f>OR((SUM(MasterTable[[#This Row],[ILS]:[PAR]]) = MasterTable[[#This Row],[APPR]]))</f>
        <v>1</v>
      </c>
      <c r="AT412" s="8" t="b">
        <f>NOT(ISBLANK(MasterTable[[#This Row],[Total
Time]]))</f>
        <v>1</v>
      </c>
    </row>
    <row r="413" spans="4:46" ht="28.8" x14ac:dyDescent="0.3">
      <c r="D413" s="22">
        <v>44601</v>
      </c>
      <c r="E413" s="8" t="s">
        <v>174</v>
      </c>
      <c r="F413" s="8" t="s">
        <v>206</v>
      </c>
      <c r="G413" s="8" t="s">
        <v>207</v>
      </c>
      <c r="I413" s="10">
        <v>1</v>
      </c>
      <c r="J413" s="10">
        <v>1</v>
      </c>
      <c r="L413" s="10">
        <v>0</v>
      </c>
      <c r="M413" s="13">
        <v>0</v>
      </c>
      <c r="N413" s="13"/>
      <c r="O413" s="10">
        <v>0</v>
      </c>
      <c r="P413" s="10">
        <v>0</v>
      </c>
      <c r="Q413" s="14">
        <v>0</v>
      </c>
      <c r="R413" s="14">
        <v>0</v>
      </c>
      <c r="S413" s="10">
        <v>0</v>
      </c>
      <c r="T413" s="10">
        <v>0</v>
      </c>
      <c r="U413" s="14">
        <v>0</v>
      </c>
      <c r="V413" s="10">
        <v>0.6</v>
      </c>
      <c r="W413" s="11">
        <v>2</v>
      </c>
      <c r="X413" s="11">
        <v>2</v>
      </c>
      <c r="Y413" s="11">
        <v>0</v>
      </c>
      <c r="Z413" s="11">
        <v>0</v>
      </c>
      <c r="AA413" s="11">
        <f>MasterTable[[#This Row],[Landings
Night]]+MasterTable[[#This Row],[Landings
Day]]</f>
        <v>2</v>
      </c>
      <c r="AB413" s="10">
        <v>0</v>
      </c>
      <c r="AC413" s="10">
        <v>0</v>
      </c>
      <c r="AD413" s="11">
        <v>0</v>
      </c>
      <c r="AE413" s="21">
        <f>SUM(MasterTable[[#This Row],[ILS]:[PAR]])</f>
        <v>0</v>
      </c>
      <c r="AL413" s="11"/>
      <c r="AR413" s="140" t="str">
        <f>_xlfn.XLOOKUP(MasterTable[[#This Row],[Aircraft ID]],Aircraft!A:A,Aircraft!H:H)</f>
        <v>Airplane Single Engine Land</v>
      </c>
      <c r="AS413" s="8" t="b">
        <f>OR((SUM(MasterTable[[#This Row],[ILS]:[PAR]]) = MasterTable[[#This Row],[APPR]]))</f>
        <v>1</v>
      </c>
      <c r="AT413" s="8" t="b">
        <f>NOT(ISBLANK(MasterTable[[#This Row],[Total
Time]]))</f>
        <v>1</v>
      </c>
    </row>
    <row r="414" spans="4:46" ht="28.8" x14ac:dyDescent="0.3">
      <c r="D414" s="22">
        <v>44591</v>
      </c>
      <c r="E414" s="8" t="s">
        <v>106</v>
      </c>
      <c r="F414" s="8" t="s">
        <v>207</v>
      </c>
      <c r="G414" s="8" t="s">
        <v>206</v>
      </c>
      <c r="I414" s="10">
        <v>0.5</v>
      </c>
      <c r="J414" s="10">
        <v>0.5</v>
      </c>
      <c r="L414" s="10">
        <v>0</v>
      </c>
      <c r="M414" s="13">
        <v>0</v>
      </c>
      <c r="N414" s="13"/>
      <c r="O414" s="10">
        <v>0.5</v>
      </c>
      <c r="P414" s="10">
        <v>0</v>
      </c>
      <c r="Q414" s="14">
        <v>0</v>
      </c>
      <c r="R414" s="14">
        <v>0</v>
      </c>
      <c r="S414" s="10">
        <v>0</v>
      </c>
      <c r="T414" s="10">
        <v>0</v>
      </c>
      <c r="U414" s="14">
        <v>0</v>
      </c>
      <c r="V414" s="10"/>
      <c r="W414" s="11">
        <v>1</v>
      </c>
      <c r="X414" s="11">
        <v>1</v>
      </c>
      <c r="Y414" s="11">
        <v>0</v>
      </c>
      <c r="Z414" s="11">
        <v>0</v>
      </c>
      <c r="AA414" s="11">
        <f>MasterTable[[#This Row],[Landings
Night]]+MasterTable[[#This Row],[Landings
Day]]</f>
        <v>1</v>
      </c>
      <c r="AB414" s="10">
        <v>0</v>
      </c>
      <c r="AC414" s="10">
        <v>0</v>
      </c>
      <c r="AD414" s="11">
        <v>0</v>
      </c>
      <c r="AE414" s="21">
        <f>SUM(MasterTable[[#This Row],[ILS]:[PAR]])</f>
        <v>0</v>
      </c>
      <c r="AL414" s="11"/>
      <c r="AR414" s="140" t="str">
        <f>_xlfn.XLOOKUP(MasterTable[[#This Row],[Aircraft ID]],Aircraft!A:A,Aircraft!H:H)</f>
        <v>Airplane Single Engine Land</v>
      </c>
      <c r="AS414" s="8" t="b">
        <f>OR((SUM(MasterTable[[#This Row],[ILS]:[PAR]]) = MasterTable[[#This Row],[APPR]]))</f>
        <v>1</v>
      </c>
      <c r="AT414" s="8" t="b">
        <f>NOT(ISBLANK(MasterTable[[#This Row],[Total
Time]]))</f>
        <v>1</v>
      </c>
    </row>
    <row r="415" spans="4:46" ht="28.8" x14ac:dyDescent="0.3">
      <c r="D415" s="22">
        <v>44589</v>
      </c>
      <c r="E415" s="8" t="s">
        <v>106</v>
      </c>
      <c r="F415" s="8" t="s">
        <v>206</v>
      </c>
      <c r="G415" s="8" t="s">
        <v>207</v>
      </c>
      <c r="I415" s="10">
        <v>1.4</v>
      </c>
      <c r="J415" s="10">
        <v>1.4</v>
      </c>
      <c r="L415" s="10">
        <v>0</v>
      </c>
      <c r="M415" s="13">
        <v>0</v>
      </c>
      <c r="N415" s="13"/>
      <c r="O415" s="10">
        <v>1.4</v>
      </c>
      <c r="P415" s="10">
        <v>0</v>
      </c>
      <c r="Q415" s="14">
        <v>0</v>
      </c>
      <c r="R415" s="14">
        <v>0</v>
      </c>
      <c r="S415" s="10">
        <v>0</v>
      </c>
      <c r="T415" s="10">
        <v>0</v>
      </c>
      <c r="U415" s="14">
        <v>0</v>
      </c>
      <c r="V415" s="10"/>
      <c r="W415" s="11">
        <v>3</v>
      </c>
      <c r="X415" s="11">
        <v>3</v>
      </c>
      <c r="Y415" s="11">
        <v>0</v>
      </c>
      <c r="Z415" s="11">
        <v>0</v>
      </c>
      <c r="AA415" s="11">
        <f>MasterTable[[#This Row],[Landings
Night]]+MasterTable[[#This Row],[Landings
Day]]</f>
        <v>3</v>
      </c>
      <c r="AB415" s="10">
        <v>0</v>
      </c>
      <c r="AC415" s="10">
        <v>0</v>
      </c>
      <c r="AD415" s="11">
        <v>0</v>
      </c>
      <c r="AE415" s="21">
        <f>SUM(MasterTable[[#This Row],[ILS]:[PAR]])</f>
        <v>0</v>
      </c>
      <c r="AL415" s="11"/>
      <c r="AR415" s="140" t="str">
        <f>_xlfn.XLOOKUP(MasterTable[[#This Row],[Aircraft ID]],Aircraft!A:A,Aircraft!H:H)</f>
        <v>Airplane Single Engine Land</v>
      </c>
      <c r="AS415" s="8" t="b">
        <f>OR((SUM(MasterTable[[#This Row],[ILS]:[PAR]]) = MasterTable[[#This Row],[APPR]]))</f>
        <v>1</v>
      </c>
      <c r="AT415" s="8" t="b">
        <f>NOT(ISBLANK(MasterTable[[#This Row],[Total
Time]]))</f>
        <v>1</v>
      </c>
    </row>
    <row r="416" spans="4:46" ht="28.8" x14ac:dyDescent="0.3">
      <c r="D416" s="22">
        <v>44575</v>
      </c>
      <c r="E416" s="8" t="s">
        <v>174</v>
      </c>
      <c r="F416" s="8" t="s">
        <v>243</v>
      </c>
      <c r="G416" s="8" t="s">
        <v>206</v>
      </c>
      <c r="I416" s="10">
        <v>1.4</v>
      </c>
      <c r="J416" s="10">
        <v>1.4</v>
      </c>
      <c r="L416" s="10">
        <v>0</v>
      </c>
      <c r="M416" s="13">
        <v>0</v>
      </c>
      <c r="N416" s="13"/>
      <c r="O416" s="10">
        <v>0</v>
      </c>
      <c r="P416" s="10">
        <v>0</v>
      </c>
      <c r="Q416" s="14">
        <v>0</v>
      </c>
      <c r="R416" s="14">
        <v>0</v>
      </c>
      <c r="S416" s="10">
        <v>1.4</v>
      </c>
      <c r="T416" s="10">
        <v>1.4</v>
      </c>
      <c r="U416" s="14">
        <v>0</v>
      </c>
      <c r="V416" s="10"/>
      <c r="W416" s="11">
        <v>0</v>
      </c>
      <c r="X416" s="11">
        <v>0</v>
      </c>
      <c r="Y416" s="11">
        <v>2</v>
      </c>
      <c r="Z416" s="11">
        <v>2</v>
      </c>
      <c r="AA416" s="11">
        <f>MasterTable[[#This Row],[Landings
Night]]+MasterTable[[#This Row],[Landings
Day]]</f>
        <v>2</v>
      </c>
      <c r="AB416" s="10">
        <v>0</v>
      </c>
      <c r="AC416" s="10">
        <v>0</v>
      </c>
      <c r="AD416" s="11">
        <v>0</v>
      </c>
      <c r="AE416" s="21">
        <f>SUM(MasterTable[[#This Row],[ILS]:[PAR]])</f>
        <v>0</v>
      </c>
      <c r="AL416" s="11"/>
      <c r="AR416" s="140" t="str">
        <f>_xlfn.XLOOKUP(MasterTable[[#This Row],[Aircraft ID]],Aircraft!A:A,Aircraft!H:H)</f>
        <v>Airplane Single Engine Land</v>
      </c>
      <c r="AS416" s="8" t="b">
        <f>OR((SUM(MasterTable[[#This Row],[ILS]:[PAR]]) = MasterTable[[#This Row],[APPR]]))</f>
        <v>1</v>
      </c>
      <c r="AT416" s="8" t="b">
        <f>NOT(ISBLANK(MasterTable[[#This Row],[Total
Time]]))</f>
        <v>1</v>
      </c>
    </row>
    <row r="417" spans="4:46" ht="28.8" x14ac:dyDescent="0.3">
      <c r="D417" s="22">
        <v>44575</v>
      </c>
      <c r="E417" s="8" t="s">
        <v>174</v>
      </c>
      <c r="F417" s="8" t="s">
        <v>207</v>
      </c>
      <c r="G417" s="8" t="s">
        <v>243</v>
      </c>
      <c r="I417" s="10">
        <v>1</v>
      </c>
      <c r="J417" s="10">
        <v>1</v>
      </c>
      <c r="L417" s="10">
        <v>0</v>
      </c>
      <c r="M417" s="13">
        <v>0</v>
      </c>
      <c r="N417" s="13"/>
      <c r="O417" s="10">
        <v>0</v>
      </c>
      <c r="P417" s="10">
        <v>0</v>
      </c>
      <c r="Q417" s="14">
        <v>0</v>
      </c>
      <c r="R417" s="14">
        <v>0</v>
      </c>
      <c r="S417" s="10">
        <v>0</v>
      </c>
      <c r="T417" s="10">
        <v>1</v>
      </c>
      <c r="U417" s="14">
        <v>0</v>
      </c>
      <c r="V417" s="10"/>
      <c r="W417" s="11">
        <v>1</v>
      </c>
      <c r="X417" s="11">
        <v>1</v>
      </c>
      <c r="Y417" s="11">
        <v>0</v>
      </c>
      <c r="Z417" s="11">
        <v>0</v>
      </c>
      <c r="AA417" s="11">
        <f>MasterTable[[#This Row],[Landings
Night]]+MasterTable[[#This Row],[Landings
Day]]</f>
        <v>1</v>
      </c>
      <c r="AB417" s="10">
        <v>0</v>
      </c>
      <c r="AC417" s="10">
        <v>0</v>
      </c>
      <c r="AD417" s="11">
        <v>0</v>
      </c>
      <c r="AE417" s="21">
        <f>SUM(MasterTable[[#This Row],[ILS]:[PAR]])</f>
        <v>0</v>
      </c>
      <c r="AL417" s="11"/>
      <c r="AR417" s="140" t="str">
        <f>_xlfn.XLOOKUP(MasterTable[[#This Row],[Aircraft ID]],Aircraft!A:A,Aircraft!H:H)</f>
        <v>Airplane Single Engine Land</v>
      </c>
      <c r="AS417" s="8" t="b">
        <f>OR((SUM(MasterTable[[#This Row],[ILS]:[PAR]]) = MasterTable[[#This Row],[APPR]]))</f>
        <v>1</v>
      </c>
      <c r="AT417" s="8" t="b">
        <f>NOT(ISBLANK(MasterTable[[#This Row],[Total
Time]]))</f>
        <v>1</v>
      </c>
    </row>
    <row r="418" spans="4:46" ht="28.8" x14ac:dyDescent="0.3">
      <c r="D418" s="22">
        <v>44575</v>
      </c>
      <c r="E418" s="8" t="s">
        <v>174</v>
      </c>
      <c r="F418" s="8" t="s">
        <v>206</v>
      </c>
      <c r="G418" s="8" t="s">
        <v>207</v>
      </c>
      <c r="I418" s="10">
        <v>0.4</v>
      </c>
      <c r="J418" s="10">
        <v>0.4</v>
      </c>
      <c r="L418" s="10">
        <v>0</v>
      </c>
      <c r="M418" s="13">
        <v>0</v>
      </c>
      <c r="N418" s="13"/>
      <c r="O418" s="10">
        <v>0</v>
      </c>
      <c r="P418" s="10">
        <v>0</v>
      </c>
      <c r="Q418" s="14">
        <v>0</v>
      </c>
      <c r="R418" s="14">
        <v>0</v>
      </c>
      <c r="S418" s="10">
        <v>0</v>
      </c>
      <c r="T418" s="10">
        <v>0</v>
      </c>
      <c r="U418" s="14">
        <v>0</v>
      </c>
      <c r="V418" s="10"/>
      <c r="W418" s="11">
        <v>1</v>
      </c>
      <c r="X418" s="11">
        <v>1</v>
      </c>
      <c r="Y418" s="11">
        <v>0</v>
      </c>
      <c r="Z418" s="11">
        <v>0</v>
      </c>
      <c r="AA418" s="11">
        <f>MasterTable[[#This Row],[Landings
Night]]+MasterTable[[#This Row],[Landings
Day]]</f>
        <v>1</v>
      </c>
      <c r="AB418" s="10">
        <v>0</v>
      </c>
      <c r="AC418" s="10">
        <v>0</v>
      </c>
      <c r="AD418" s="11">
        <v>0</v>
      </c>
      <c r="AE418" s="21">
        <f>SUM(MasterTable[[#This Row],[ILS]:[PAR]])</f>
        <v>0</v>
      </c>
      <c r="AL418" s="11"/>
      <c r="AR418" s="140" t="str">
        <f>_xlfn.XLOOKUP(MasterTable[[#This Row],[Aircraft ID]],Aircraft!A:A,Aircraft!H:H)</f>
        <v>Airplane Single Engine Land</v>
      </c>
      <c r="AS418" s="8" t="b">
        <f>OR((SUM(MasterTable[[#This Row],[ILS]:[PAR]]) = MasterTable[[#This Row],[APPR]]))</f>
        <v>1</v>
      </c>
      <c r="AT418" s="8" t="b">
        <f>NOT(ISBLANK(MasterTable[[#This Row],[Total
Time]]))</f>
        <v>1</v>
      </c>
    </row>
    <row r="419" spans="4:46" ht="28.8" x14ac:dyDescent="0.3">
      <c r="D419" s="22">
        <v>44571</v>
      </c>
      <c r="E419" s="8" t="s">
        <v>174</v>
      </c>
      <c r="F419" s="8" t="s">
        <v>207</v>
      </c>
      <c r="G419" s="8" t="s">
        <v>206</v>
      </c>
      <c r="I419" s="10">
        <v>0.5</v>
      </c>
      <c r="J419" s="10">
        <v>0.5</v>
      </c>
      <c r="L419" s="10">
        <v>0</v>
      </c>
      <c r="M419" s="13">
        <v>0</v>
      </c>
      <c r="N419" s="13"/>
      <c r="O419" s="10">
        <v>0</v>
      </c>
      <c r="P419" s="10">
        <v>0</v>
      </c>
      <c r="Q419" s="14">
        <v>0</v>
      </c>
      <c r="R419" s="14">
        <v>0</v>
      </c>
      <c r="S419" s="10">
        <v>0.5</v>
      </c>
      <c r="T419" s="10">
        <v>0</v>
      </c>
      <c r="U419" s="14">
        <v>0</v>
      </c>
      <c r="V419" s="10"/>
      <c r="W419" s="11">
        <v>0</v>
      </c>
      <c r="X419" s="11">
        <v>0</v>
      </c>
      <c r="Y419" s="11">
        <v>1</v>
      </c>
      <c r="Z419" s="11">
        <v>1</v>
      </c>
      <c r="AA419" s="11">
        <f>MasterTable[[#This Row],[Landings
Night]]+MasterTable[[#This Row],[Landings
Day]]</f>
        <v>1</v>
      </c>
      <c r="AB419" s="10">
        <v>0</v>
      </c>
      <c r="AC419" s="10">
        <v>0</v>
      </c>
      <c r="AD419" s="11">
        <v>0</v>
      </c>
      <c r="AE419" s="21">
        <f>SUM(MasterTable[[#This Row],[ILS]:[PAR]])</f>
        <v>0</v>
      </c>
      <c r="AL419" s="11"/>
      <c r="AR419" s="140" t="str">
        <f>_xlfn.XLOOKUP(MasterTable[[#This Row],[Aircraft ID]],Aircraft!A:A,Aircraft!H:H)</f>
        <v>Airplane Single Engine Land</v>
      </c>
      <c r="AS419" s="8" t="b">
        <f>OR((SUM(MasterTable[[#This Row],[ILS]:[PAR]]) = MasterTable[[#This Row],[APPR]]))</f>
        <v>1</v>
      </c>
      <c r="AT419" s="8" t="b">
        <f>NOT(ISBLANK(MasterTable[[#This Row],[Total
Time]]))</f>
        <v>1</v>
      </c>
    </row>
    <row r="420" spans="4:46" ht="28.8" x14ac:dyDescent="0.3">
      <c r="D420" s="22">
        <v>44571</v>
      </c>
      <c r="E420" s="8" t="s">
        <v>174</v>
      </c>
      <c r="F420" s="8" t="s">
        <v>244</v>
      </c>
      <c r="G420" s="8" t="s">
        <v>207</v>
      </c>
      <c r="I420" s="10">
        <v>1.1000000000000001</v>
      </c>
      <c r="J420" s="10">
        <v>1.1000000000000001</v>
      </c>
      <c r="L420" s="10">
        <v>0</v>
      </c>
      <c r="M420" s="13">
        <v>0</v>
      </c>
      <c r="N420" s="13"/>
      <c r="O420" s="10">
        <v>0</v>
      </c>
      <c r="P420" s="10">
        <v>0</v>
      </c>
      <c r="Q420" s="14">
        <v>0</v>
      </c>
      <c r="R420" s="14">
        <v>0</v>
      </c>
      <c r="S420" s="10">
        <v>0</v>
      </c>
      <c r="T420" s="10">
        <v>1.1000000000000001</v>
      </c>
      <c r="U420" s="14">
        <v>0</v>
      </c>
      <c r="V420" s="10"/>
      <c r="W420" s="11">
        <v>1</v>
      </c>
      <c r="X420" s="11">
        <v>1</v>
      </c>
      <c r="Y420" s="11">
        <v>0</v>
      </c>
      <c r="Z420" s="11">
        <v>0</v>
      </c>
      <c r="AA420" s="11">
        <f>MasterTable[[#This Row],[Landings
Night]]+MasterTable[[#This Row],[Landings
Day]]</f>
        <v>1</v>
      </c>
      <c r="AB420" s="10">
        <v>0</v>
      </c>
      <c r="AC420" s="10">
        <v>0</v>
      </c>
      <c r="AD420" s="11">
        <v>0</v>
      </c>
      <c r="AE420" s="21">
        <f>SUM(MasterTable[[#This Row],[ILS]:[PAR]])</f>
        <v>0</v>
      </c>
      <c r="AL420" s="11"/>
      <c r="AR420" s="140" t="str">
        <f>_xlfn.XLOOKUP(MasterTable[[#This Row],[Aircraft ID]],Aircraft!A:A,Aircraft!H:H)</f>
        <v>Airplane Single Engine Land</v>
      </c>
      <c r="AS420" s="8" t="b">
        <f>OR((SUM(MasterTable[[#This Row],[ILS]:[PAR]]) = MasterTable[[#This Row],[APPR]]))</f>
        <v>1</v>
      </c>
      <c r="AT420" s="8" t="b">
        <f>NOT(ISBLANK(MasterTable[[#This Row],[Total
Time]]))</f>
        <v>1</v>
      </c>
    </row>
    <row r="421" spans="4:46" ht="28.8" x14ac:dyDescent="0.3">
      <c r="D421" s="22">
        <v>44571</v>
      </c>
      <c r="E421" s="8" t="s">
        <v>92</v>
      </c>
      <c r="F421" s="8" t="s">
        <v>245</v>
      </c>
      <c r="G421" s="8" t="s">
        <v>244</v>
      </c>
      <c r="I421" s="10">
        <v>0.7</v>
      </c>
      <c r="J421" s="10">
        <v>0.7</v>
      </c>
      <c r="L421" s="10">
        <v>0</v>
      </c>
      <c r="M421" s="13">
        <v>0</v>
      </c>
      <c r="N421" s="13"/>
      <c r="O421" s="10">
        <v>0</v>
      </c>
      <c r="P421" s="10">
        <v>0</v>
      </c>
      <c r="Q421" s="14">
        <v>0</v>
      </c>
      <c r="R421" s="14">
        <v>0</v>
      </c>
      <c r="S421" s="10">
        <v>0</v>
      </c>
      <c r="T421" s="10">
        <v>0</v>
      </c>
      <c r="U421" s="14">
        <v>0</v>
      </c>
      <c r="V421" s="10"/>
      <c r="W421" s="11">
        <v>1</v>
      </c>
      <c r="X421" s="11">
        <v>1</v>
      </c>
      <c r="Y421" s="11">
        <v>0</v>
      </c>
      <c r="Z421" s="11">
        <v>0</v>
      </c>
      <c r="AA421" s="11">
        <f>MasterTable[[#This Row],[Landings
Night]]+MasterTable[[#This Row],[Landings
Day]]</f>
        <v>1</v>
      </c>
      <c r="AB421" s="10">
        <v>0</v>
      </c>
      <c r="AC421" s="10">
        <v>0</v>
      </c>
      <c r="AD421" s="11">
        <v>0</v>
      </c>
      <c r="AE421" s="21">
        <f>SUM(MasterTable[[#This Row],[ILS]:[PAR]])</f>
        <v>0</v>
      </c>
      <c r="AL421" s="11"/>
      <c r="AR421" s="140" t="str">
        <f>_xlfn.XLOOKUP(MasterTable[[#This Row],[Aircraft ID]],Aircraft!A:A,Aircraft!H:H)</f>
        <v>Airplane Multi Engine Land</v>
      </c>
      <c r="AS421" s="8" t="b">
        <f>OR((SUM(MasterTable[[#This Row],[ILS]:[PAR]]) = MasterTable[[#This Row],[APPR]]))</f>
        <v>1</v>
      </c>
      <c r="AT421" s="8" t="b">
        <f>NOT(ISBLANK(MasterTable[[#This Row],[Total
Time]]))</f>
        <v>1</v>
      </c>
    </row>
    <row r="422" spans="4:46" ht="28.8" x14ac:dyDescent="0.3">
      <c r="D422" s="22">
        <v>44571</v>
      </c>
      <c r="E422" s="8" t="s">
        <v>92</v>
      </c>
      <c r="F422" s="8" t="s">
        <v>245</v>
      </c>
      <c r="G422" s="8" t="s">
        <v>245</v>
      </c>
      <c r="I422" s="10">
        <v>1.1000000000000001</v>
      </c>
      <c r="J422" s="10">
        <v>1.1000000000000001</v>
      </c>
      <c r="L422" s="10">
        <v>0</v>
      </c>
      <c r="M422" s="13">
        <v>0</v>
      </c>
      <c r="N422" s="13"/>
      <c r="O422" s="10">
        <v>0</v>
      </c>
      <c r="P422" s="10">
        <v>0</v>
      </c>
      <c r="Q422" s="14">
        <v>0</v>
      </c>
      <c r="R422" s="14">
        <v>0</v>
      </c>
      <c r="S422" s="10">
        <v>0</v>
      </c>
      <c r="T422" s="10">
        <v>0</v>
      </c>
      <c r="U422" s="14">
        <v>0</v>
      </c>
      <c r="V422" s="10"/>
      <c r="W422" s="11">
        <v>2</v>
      </c>
      <c r="X422" s="11">
        <v>2</v>
      </c>
      <c r="Y422" s="11">
        <v>0</v>
      </c>
      <c r="Z422" s="11">
        <v>0</v>
      </c>
      <c r="AA422" s="11">
        <f>MasterTable[[#This Row],[Landings
Night]]+MasterTable[[#This Row],[Landings
Day]]</f>
        <v>2</v>
      </c>
      <c r="AB422" s="10">
        <v>0</v>
      </c>
      <c r="AC422" s="10">
        <v>0</v>
      </c>
      <c r="AD422" s="11">
        <v>0</v>
      </c>
      <c r="AE422" s="21">
        <f>SUM(MasterTable[[#This Row],[ILS]:[PAR]])</f>
        <v>0</v>
      </c>
      <c r="AL422" s="11"/>
      <c r="AN422" s="27" t="b">
        <v>1</v>
      </c>
      <c r="AP422" s="27" t="b">
        <v>1</v>
      </c>
      <c r="AR422" s="140" t="str">
        <f>_xlfn.XLOOKUP(MasterTable[[#This Row],[Aircraft ID]],Aircraft!A:A,Aircraft!H:H)</f>
        <v>Airplane Multi Engine Land</v>
      </c>
      <c r="AS422" s="8" t="b">
        <f>OR((SUM(MasterTable[[#This Row],[ILS]:[PAR]]) = MasterTable[[#This Row],[APPR]]))</f>
        <v>1</v>
      </c>
      <c r="AT422" s="8" t="b">
        <f>NOT(ISBLANK(MasterTable[[#This Row],[Total
Time]]))</f>
        <v>1</v>
      </c>
    </row>
    <row r="423" spans="4:46" ht="28.8" x14ac:dyDescent="0.3">
      <c r="D423" s="22">
        <v>44571</v>
      </c>
      <c r="E423" s="8" t="s">
        <v>92</v>
      </c>
      <c r="F423" s="8" t="s">
        <v>244</v>
      </c>
      <c r="G423" s="8" t="s">
        <v>245</v>
      </c>
      <c r="I423" s="10">
        <v>0.6</v>
      </c>
      <c r="J423" s="10">
        <v>0.6</v>
      </c>
      <c r="L423" s="10">
        <v>0</v>
      </c>
      <c r="M423" s="13">
        <v>0</v>
      </c>
      <c r="N423" s="13"/>
      <c r="O423" s="10">
        <v>0</v>
      </c>
      <c r="P423" s="10">
        <v>0</v>
      </c>
      <c r="Q423" s="14">
        <v>0</v>
      </c>
      <c r="R423" s="14">
        <v>0</v>
      </c>
      <c r="S423" s="10">
        <v>0</v>
      </c>
      <c r="T423" s="10">
        <v>0</v>
      </c>
      <c r="U423" s="14">
        <v>0</v>
      </c>
      <c r="V423" s="10"/>
      <c r="W423" s="11">
        <v>1</v>
      </c>
      <c r="X423" s="11">
        <v>1</v>
      </c>
      <c r="Y423" s="11">
        <v>0</v>
      </c>
      <c r="Z423" s="11">
        <v>0</v>
      </c>
      <c r="AA423" s="11">
        <f>MasterTable[[#This Row],[Landings
Night]]+MasterTable[[#This Row],[Landings
Day]]</f>
        <v>1</v>
      </c>
      <c r="AB423" s="10">
        <v>0</v>
      </c>
      <c r="AC423" s="10">
        <v>0</v>
      </c>
      <c r="AD423" s="11">
        <v>0</v>
      </c>
      <c r="AE423" s="21">
        <f>SUM(MasterTable[[#This Row],[ILS]:[PAR]])</f>
        <v>0</v>
      </c>
      <c r="AL423" s="11"/>
      <c r="AR423" s="140" t="str">
        <f>_xlfn.XLOOKUP(MasterTable[[#This Row],[Aircraft ID]],Aircraft!A:A,Aircraft!H:H)</f>
        <v>Airplane Multi Engine Land</v>
      </c>
      <c r="AS423" s="8" t="b">
        <f>OR((SUM(MasterTable[[#This Row],[ILS]:[PAR]]) = MasterTable[[#This Row],[APPR]]))</f>
        <v>1</v>
      </c>
      <c r="AT423" s="8" t="b">
        <f>NOT(ISBLANK(MasterTable[[#This Row],[Total
Time]]))</f>
        <v>1</v>
      </c>
    </row>
    <row r="424" spans="4:46" ht="28.8" x14ac:dyDescent="0.3">
      <c r="D424" s="22">
        <v>44570</v>
      </c>
      <c r="E424" s="8" t="s">
        <v>92</v>
      </c>
      <c r="F424" s="8" t="s">
        <v>244</v>
      </c>
      <c r="G424" s="8" t="s">
        <v>244</v>
      </c>
      <c r="I424" s="10">
        <v>1.3</v>
      </c>
      <c r="J424" s="10">
        <v>1.3</v>
      </c>
      <c r="L424" s="10">
        <v>0</v>
      </c>
      <c r="M424" s="13">
        <v>0</v>
      </c>
      <c r="N424" s="13"/>
      <c r="O424" s="10">
        <v>0</v>
      </c>
      <c r="P424" s="10">
        <v>1.3</v>
      </c>
      <c r="Q424" s="14">
        <v>0</v>
      </c>
      <c r="R424" s="14">
        <v>0</v>
      </c>
      <c r="S424" s="10">
        <v>0</v>
      </c>
      <c r="T424" s="10">
        <v>0</v>
      </c>
      <c r="U424" s="14">
        <v>0</v>
      </c>
      <c r="V424" s="10"/>
      <c r="W424" s="11">
        <v>1</v>
      </c>
      <c r="X424" s="11">
        <v>1</v>
      </c>
      <c r="Y424" s="11">
        <v>0</v>
      </c>
      <c r="Z424" s="11">
        <v>0</v>
      </c>
      <c r="AA424" s="11">
        <f>MasterTable[[#This Row],[Landings
Night]]+MasterTable[[#This Row],[Landings
Day]]</f>
        <v>1</v>
      </c>
      <c r="AB424" s="10">
        <v>0</v>
      </c>
      <c r="AC424" s="10">
        <v>0</v>
      </c>
      <c r="AD424" s="11">
        <v>0</v>
      </c>
      <c r="AE424" s="21">
        <f>SUM(MasterTable[[#This Row],[ILS]:[PAR]])</f>
        <v>0</v>
      </c>
      <c r="AL424" s="11"/>
      <c r="AR424" s="140" t="str">
        <f>_xlfn.XLOOKUP(MasterTable[[#This Row],[Aircraft ID]],Aircraft!A:A,Aircraft!H:H)</f>
        <v>Airplane Multi Engine Land</v>
      </c>
      <c r="AS424" s="8" t="b">
        <f>OR((SUM(MasterTable[[#This Row],[ILS]:[PAR]]) = MasterTable[[#This Row],[APPR]]))</f>
        <v>1</v>
      </c>
      <c r="AT424" s="8" t="b">
        <f>NOT(ISBLANK(MasterTable[[#This Row],[Total
Time]]))</f>
        <v>1</v>
      </c>
    </row>
    <row r="425" spans="4:46" ht="28.8" x14ac:dyDescent="0.3">
      <c r="D425" s="22">
        <v>44570</v>
      </c>
      <c r="E425" s="8" t="s">
        <v>92</v>
      </c>
      <c r="F425" s="8" t="s">
        <v>244</v>
      </c>
      <c r="G425" s="8" t="s">
        <v>245</v>
      </c>
      <c r="I425" s="10">
        <v>2.2999999999999998</v>
      </c>
      <c r="J425" s="10">
        <v>2.2999999999999998</v>
      </c>
      <c r="L425" s="10">
        <v>0</v>
      </c>
      <c r="M425" s="13">
        <v>0</v>
      </c>
      <c r="N425" s="13"/>
      <c r="O425" s="10">
        <v>0</v>
      </c>
      <c r="P425" s="10">
        <v>2.2999999999999998</v>
      </c>
      <c r="Q425" s="14">
        <v>0</v>
      </c>
      <c r="R425" s="14">
        <v>0</v>
      </c>
      <c r="S425" s="10">
        <v>0</v>
      </c>
      <c r="T425" s="10">
        <v>0</v>
      </c>
      <c r="U425" s="14">
        <v>0</v>
      </c>
      <c r="V425" s="10"/>
      <c r="W425" s="11">
        <v>6</v>
      </c>
      <c r="X425" s="11">
        <v>6</v>
      </c>
      <c r="Y425" s="11">
        <v>0</v>
      </c>
      <c r="Z425" s="11">
        <v>0</v>
      </c>
      <c r="AA425" s="11">
        <f>MasterTable[[#This Row],[Landings
Night]]+MasterTable[[#This Row],[Landings
Day]]</f>
        <v>6</v>
      </c>
      <c r="AB425" s="10">
        <v>0</v>
      </c>
      <c r="AC425" s="10">
        <v>0</v>
      </c>
      <c r="AD425" s="11">
        <v>0</v>
      </c>
      <c r="AE425" s="21">
        <f>SUM(MasterTable[[#This Row],[ILS]:[PAR]])</f>
        <v>0</v>
      </c>
      <c r="AL425" s="11"/>
      <c r="AR425" s="140" t="str">
        <f>_xlfn.XLOOKUP(MasterTable[[#This Row],[Aircraft ID]],Aircraft!A:A,Aircraft!H:H)</f>
        <v>Airplane Multi Engine Land</v>
      </c>
      <c r="AS425" s="8" t="b">
        <f>OR((SUM(MasterTable[[#This Row],[ILS]:[PAR]]) = MasterTable[[#This Row],[APPR]]))</f>
        <v>1</v>
      </c>
      <c r="AT425" s="8" t="b">
        <f>NOT(ISBLANK(MasterTable[[#This Row],[Total
Time]]))</f>
        <v>1</v>
      </c>
    </row>
    <row r="426" spans="4:46" ht="28.8" x14ac:dyDescent="0.3">
      <c r="D426" s="22">
        <v>44570</v>
      </c>
      <c r="E426" s="8" t="s">
        <v>174</v>
      </c>
      <c r="F426" s="8" t="s">
        <v>206</v>
      </c>
      <c r="G426" s="8" t="s">
        <v>244</v>
      </c>
      <c r="I426" s="10">
        <v>1.1000000000000001</v>
      </c>
      <c r="J426" s="10">
        <v>1.1000000000000001</v>
      </c>
      <c r="L426" s="10">
        <v>0</v>
      </c>
      <c r="M426" s="13">
        <v>0</v>
      </c>
      <c r="N426" s="13"/>
      <c r="O426" s="10">
        <v>0</v>
      </c>
      <c r="P426" s="10">
        <v>0</v>
      </c>
      <c r="Q426" s="14">
        <v>0</v>
      </c>
      <c r="R426" s="14">
        <v>0</v>
      </c>
      <c r="S426" s="10">
        <v>0</v>
      </c>
      <c r="T426" s="10">
        <v>1.1000000000000001</v>
      </c>
      <c r="U426" s="14">
        <v>0</v>
      </c>
      <c r="V426" s="10"/>
      <c r="W426" s="11">
        <v>1</v>
      </c>
      <c r="X426" s="11">
        <v>1</v>
      </c>
      <c r="Y426" s="11">
        <v>0</v>
      </c>
      <c r="Z426" s="11">
        <v>0</v>
      </c>
      <c r="AA426" s="11">
        <f>MasterTable[[#This Row],[Landings
Night]]+MasterTable[[#This Row],[Landings
Day]]</f>
        <v>1</v>
      </c>
      <c r="AB426" s="10">
        <v>0</v>
      </c>
      <c r="AC426" s="10">
        <v>0</v>
      </c>
      <c r="AD426" s="11">
        <v>0</v>
      </c>
      <c r="AE426" s="21">
        <f>SUM(MasterTable[[#This Row],[ILS]:[PAR]])</f>
        <v>0</v>
      </c>
      <c r="AL426" s="11"/>
      <c r="AR426" s="140" t="str">
        <f>_xlfn.XLOOKUP(MasterTable[[#This Row],[Aircraft ID]],Aircraft!A:A,Aircraft!H:H)</f>
        <v>Airplane Single Engine Land</v>
      </c>
      <c r="AS426" s="8" t="b">
        <f>OR((SUM(MasterTable[[#This Row],[ILS]:[PAR]]) = MasterTable[[#This Row],[APPR]]))</f>
        <v>1</v>
      </c>
      <c r="AT426" s="8" t="b">
        <f>NOT(ISBLANK(MasterTable[[#This Row],[Total
Time]]))</f>
        <v>1</v>
      </c>
    </row>
    <row r="427" spans="4:46" ht="28.8" x14ac:dyDescent="0.3">
      <c r="D427" s="22">
        <v>44563</v>
      </c>
      <c r="E427" s="8" t="s">
        <v>174</v>
      </c>
      <c r="F427" s="8" t="s">
        <v>206</v>
      </c>
      <c r="G427" s="8" t="s">
        <v>244</v>
      </c>
      <c r="I427" s="10">
        <v>2.9</v>
      </c>
      <c r="J427" s="10">
        <v>2.9</v>
      </c>
      <c r="L427" s="10">
        <v>0</v>
      </c>
      <c r="M427" s="13">
        <v>0</v>
      </c>
      <c r="N427" s="13"/>
      <c r="O427" s="10">
        <v>0</v>
      </c>
      <c r="P427" s="10">
        <v>0</v>
      </c>
      <c r="Q427" s="14">
        <v>0</v>
      </c>
      <c r="R427" s="14">
        <v>0</v>
      </c>
      <c r="S427" s="10">
        <v>1.6</v>
      </c>
      <c r="T427" s="10">
        <v>2.9</v>
      </c>
      <c r="U427" s="14">
        <v>0</v>
      </c>
      <c r="V427" s="10"/>
      <c r="W427" s="11">
        <v>1</v>
      </c>
      <c r="X427" s="11">
        <v>1</v>
      </c>
      <c r="Y427" s="11">
        <v>1</v>
      </c>
      <c r="Z427" s="11">
        <v>1</v>
      </c>
      <c r="AA427" s="11">
        <f>MasterTable[[#This Row],[Landings
Night]]+MasterTable[[#This Row],[Landings
Day]]</f>
        <v>2</v>
      </c>
      <c r="AB427" s="10">
        <v>0</v>
      </c>
      <c r="AC427" s="10">
        <v>0</v>
      </c>
      <c r="AD427" s="11">
        <v>0</v>
      </c>
      <c r="AE427" s="21">
        <f>SUM(MasterTable[[#This Row],[ILS]:[PAR]])</f>
        <v>0</v>
      </c>
      <c r="AL427" s="11"/>
      <c r="AR427" s="140" t="str">
        <f>_xlfn.XLOOKUP(MasterTable[[#This Row],[Aircraft ID]],Aircraft!A:A,Aircraft!H:H)</f>
        <v>Airplane Single Engine Land</v>
      </c>
      <c r="AS427" s="8" t="b">
        <f>OR((SUM(MasterTable[[#This Row],[ILS]:[PAR]]) = MasterTable[[#This Row],[APPR]]))</f>
        <v>1</v>
      </c>
      <c r="AT427" s="8" t="b">
        <f>NOT(ISBLANK(MasterTable[[#This Row],[Total
Time]]))</f>
        <v>1</v>
      </c>
    </row>
    <row r="428" spans="4:46" ht="28.8" x14ac:dyDescent="0.3">
      <c r="D428" s="22">
        <v>44563</v>
      </c>
      <c r="E428" s="8" t="s">
        <v>92</v>
      </c>
      <c r="F428" s="8" t="s">
        <v>244</v>
      </c>
      <c r="G428" s="8" t="s">
        <v>244</v>
      </c>
      <c r="I428" s="10">
        <v>2.1</v>
      </c>
      <c r="J428" s="10">
        <v>2.1</v>
      </c>
      <c r="L428" s="10">
        <v>0</v>
      </c>
      <c r="M428" s="13">
        <v>0</v>
      </c>
      <c r="N428" s="13"/>
      <c r="O428" s="10">
        <v>0</v>
      </c>
      <c r="P428" s="10">
        <v>2.1</v>
      </c>
      <c r="Q428" s="14">
        <v>0</v>
      </c>
      <c r="R428" s="14">
        <v>0</v>
      </c>
      <c r="S428" s="10">
        <v>0</v>
      </c>
      <c r="T428" s="10">
        <v>0</v>
      </c>
      <c r="U428" s="14">
        <v>0</v>
      </c>
      <c r="V428" s="10"/>
      <c r="W428" s="11">
        <v>5</v>
      </c>
      <c r="X428" s="11">
        <v>5</v>
      </c>
      <c r="Y428" s="11">
        <v>0</v>
      </c>
      <c r="Z428" s="11">
        <v>0</v>
      </c>
      <c r="AA428" s="11">
        <f>MasterTable[[#This Row],[Landings
Night]]+MasterTable[[#This Row],[Landings
Day]]</f>
        <v>5</v>
      </c>
      <c r="AB428" s="10">
        <v>0</v>
      </c>
      <c r="AC428" s="10">
        <v>0</v>
      </c>
      <c r="AD428" s="11">
        <v>0</v>
      </c>
      <c r="AE428" s="21">
        <f>SUM(MasterTable[[#This Row],[ILS]:[PAR]])</f>
        <v>0</v>
      </c>
      <c r="AL428" s="11"/>
      <c r="AR428" s="140" t="str">
        <f>_xlfn.XLOOKUP(MasterTable[[#This Row],[Aircraft ID]],Aircraft!A:A,Aircraft!H:H)</f>
        <v>Airplane Multi Engine Land</v>
      </c>
      <c r="AS428" s="8" t="b">
        <f>OR((SUM(MasterTable[[#This Row],[ILS]:[PAR]]) = MasterTable[[#This Row],[APPR]]))</f>
        <v>1</v>
      </c>
      <c r="AT428" s="8" t="b">
        <f>NOT(ISBLANK(MasterTable[[#This Row],[Total
Time]]))</f>
        <v>1</v>
      </c>
    </row>
    <row r="429" spans="4:46" ht="28.8" x14ac:dyDescent="0.3">
      <c r="D429" s="22">
        <v>44530</v>
      </c>
      <c r="E429" s="8" t="s">
        <v>86</v>
      </c>
      <c r="F429" s="8" t="s">
        <v>207</v>
      </c>
      <c r="G429" s="8" t="s">
        <v>207</v>
      </c>
      <c r="I429" s="10">
        <v>1.6</v>
      </c>
      <c r="J429" s="10">
        <v>1.6</v>
      </c>
      <c r="L429" s="10">
        <v>0</v>
      </c>
      <c r="M429" s="13">
        <v>0</v>
      </c>
      <c r="N429" s="13"/>
      <c r="O429" s="10">
        <v>1.6</v>
      </c>
      <c r="P429" s="10">
        <v>0</v>
      </c>
      <c r="Q429" s="14">
        <v>0</v>
      </c>
      <c r="R429" s="14">
        <v>0</v>
      </c>
      <c r="S429" s="10">
        <v>1.6</v>
      </c>
      <c r="T429" s="10">
        <v>0</v>
      </c>
      <c r="U429" s="14">
        <v>0</v>
      </c>
      <c r="V429" s="10"/>
      <c r="W429" s="11">
        <v>0</v>
      </c>
      <c r="X429" s="11">
        <v>0</v>
      </c>
      <c r="Y429" s="11">
        <v>2</v>
      </c>
      <c r="Z429" s="11">
        <v>2</v>
      </c>
      <c r="AA429" s="11">
        <f>MasterTable[[#This Row],[Landings
Night]]+MasterTable[[#This Row],[Landings
Day]]</f>
        <v>2</v>
      </c>
      <c r="AB429" s="10">
        <v>0</v>
      </c>
      <c r="AC429" s="10">
        <v>0</v>
      </c>
      <c r="AD429" s="11">
        <v>0</v>
      </c>
      <c r="AE429" s="21">
        <f>SUM(MasterTable[[#This Row],[ILS]:[PAR]])</f>
        <v>0</v>
      </c>
      <c r="AL429" s="11"/>
      <c r="AR429" s="140" t="str">
        <f>_xlfn.XLOOKUP(MasterTable[[#This Row],[Aircraft ID]],Aircraft!A:A,Aircraft!H:H)</f>
        <v>Airplane Single Engine Land</v>
      </c>
      <c r="AS429" s="8" t="b">
        <f>OR((SUM(MasterTable[[#This Row],[ILS]:[PAR]]) = MasterTable[[#This Row],[APPR]]))</f>
        <v>1</v>
      </c>
      <c r="AT429" s="8" t="b">
        <f>NOT(ISBLANK(MasterTable[[#This Row],[Total
Time]]))</f>
        <v>1</v>
      </c>
    </row>
    <row r="430" spans="4:46" ht="28.8" x14ac:dyDescent="0.3">
      <c r="D430" s="22">
        <v>44528</v>
      </c>
      <c r="E430" s="8" t="s">
        <v>88</v>
      </c>
      <c r="F430" s="8" t="s">
        <v>202</v>
      </c>
      <c r="G430" s="8" t="s">
        <v>202</v>
      </c>
      <c r="I430" s="10">
        <v>1.1000000000000001</v>
      </c>
      <c r="J430" s="10">
        <v>1.1000000000000001</v>
      </c>
      <c r="L430" s="10">
        <v>0</v>
      </c>
      <c r="M430" s="13">
        <v>0</v>
      </c>
      <c r="N430" s="13"/>
      <c r="O430" s="10">
        <v>0</v>
      </c>
      <c r="P430" s="10">
        <v>0</v>
      </c>
      <c r="Q430" s="14">
        <v>0</v>
      </c>
      <c r="R430" s="14">
        <v>0</v>
      </c>
      <c r="S430" s="10">
        <v>0</v>
      </c>
      <c r="T430" s="10">
        <v>0</v>
      </c>
      <c r="U430" s="14">
        <v>0</v>
      </c>
      <c r="V430" s="10"/>
      <c r="W430" s="11">
        <v>4</v>
      </c>
      <c r="X430" s="11">
        <v>4</v>
      </c>
      <c r="Y430" s="11">
        <v>0</v>
      </c>
      <c r="Z430" s="11">
        <v>0</v>
      </c>
      <c r="AA430" s="11">
        <f>MasterTable[[#This Row],[Landings
Night]]+MasterTable[[#This Row],[Landings
Day]]</f>
        <v>4</v>
      </c>
      <c r="AB430" s="10">
        <v>0</v>
      </c>
      <c r="AC430" s="10">
        <v>0</v>
      </c>
      <c r="AD430" s="11">
        <v>0</v>
      </c>
      <c r="AE430" s="21">
        <f>SUM(MasterTable[[#This Row],[ILS]:[PAR]])</f>
        <v>0</v>
      </c>
      <c r="AL430" s="11"/>
      <c r="AR430" s="140" t="str">
        <f>_xlfn.XLOOKUP(MasterTable[[#This Row],[Aircraft ID]],Aircraft!A:A,Aircraft!H:H)</f>
        <v>Airplane Single Engine Land</v>
      </c>
      <c r="AS430" s="8" t="b">
        <f>OR((SUM(MasterTable[[#This Row],[ILS]:[PAR]]) = MasterTable[[#This Row],[APPR]]))</f>
        <v>1</v>
      </c>
      <c r="AT430" s="8" t="b">
        <f>NOT(ISBLANK(MasterTable[[#This Row],[Total
Time]]))</f>
        <v>1</v>
      </c>
    </row>
    <row r="431" spans="4:46" ht="28.8" x14ac:dyDescent="0.3">
      <c r="D431" s="22">
        <v>44528</v>
      </c>
      <c r="E431" s="8" t="s">
        <v>88</v>
      </c>
      <c r="F431" s="8" t="s">
        <v>202</v>
      </c>
      <c r="G431" s="8" t="s">
        <v>202</v>
      </c>
      <c r="I431" s="10">
        <v>1.3</v>
      </c>
      <c r="J431" s="10">
        <v>0</v>
      </c>
      <c r="L431" s="10">
        <v>0</v>
      </c>
      <c r="M431" s="13">
        <v>0</v>
      </c>
      <c r="N431" s="13"/>
      <c r="O431" s="10">
        <v>0</v>
      </c>
      <c r="P431" s="10">
        <v>1.3</v>
      </c>
      <c r="Q431" s="14">
        <v>0</v>
      </c>
      <c r="R431" s="14">
        <v>0</v>
      </c>
      <c r="S431" s="10">
        <v>0</v>
      </c>
      <c r="T431" s="10">
        <v>0</v>
      </c>
      <c r="U431" s="14">
        <v>0</v>
      </c>
      <c r="V431" s="10"/>
      <c r="W431" s="11">
        <v>10</v>
      </c>
      <c r="X431" s="11">
        <v>10</v>
      </c>
      <c r="Y431" s="11">
        <v>0</v>
      </c>
      <c r="Z431" s="11">
        <v>0</v>
      </c>
      <c r="AA431" s="11">
        <f>MasterTable[[#This Row],[Landings
Night]]+MasterTable[[#This Row],[Landings
Day]]</f>
        <v>10</v>
      </c>
      <c r="AB431" s="10">
        <v>0</v>
      </c>
      <c r="AC431" s="10">
        <v>0</v>
      </c>
      <c r="AD431" s="11">
        <v>0</v>
      </c>
      <c r="AE431" s="21">
        <f>SUM(MasterTable[[#This Row],[ILS]:[PAR]])</f>
        <v>0</v>
      </c>
      <c r="AL431" s="11"/>
      <c r="AR431" s="140" t="str">
        <f>_xlfn.XLOOKUP(MasterTable[[#This Row],[Aircraft ID]],Aircraft!A:A,Aircraft!H:H)</f>
        <v>Airplane Single Engine Land</v>
      </c>
      <c r="AS431" s="8" t="b">
        <f>OR((SUM(MasterTable[[#This Row],[ILS]:[PAR]]) = MasterTable[[#This Row],[APPR]]))</f>
        <v>1</v>
      </c>
      <c r="AT431" s="8" t="b">
        <f>NOT(ISBLANK(MasterTable[[#This Row],[Total
Time]]))</f>
        <v>1</v>
      </c>
    </row>
    <row r="432" spans="4:46" ht="28.8" x14ac:dyDescent="0.3">
      <c r="D432" s="22">
        <v>44527</v>
      </c>
      <c r="E432" s="8" t="s">
        <v>88</v>
      </c>
      <c r="F432" s="8" t="s">
        <v>202</v>
      </c>
      <c r="G432" s="8" t="s">
        <v>202</v>
      </c>
      <c r="I432" s="10">
        <v>2.2999999999999998</v>
      </c>
      <c r="J432" s="10">
        <v>0</v>
      </c>
      <c r="L432" s="10">
        <v>0</v>
      </c>
      <c r="M432" s="13">
        <v>0</v>
      </c>
      <c r="N432" s="13"/>
      <c r="O432" s="10">
        <v>0</v>
      </c>
      <c r="P432" s="10">
        <v>2.2999999999999998</v>
      </c>
      <c r="Q432" s="14">
        <v>0</v>
      </c>
      <c r="R432" s="14">
        <v>0</v>
      </c>
      <c r="S432" s="10">
        <v>0</v>
      </c>
      <c r="T432" s="10">
        <v>0</v>
      </c>
      <c r="U432" s="14">
        <v>0</v>
      </c>
      <c r="V432" s="10"/>
      <c r="W432" s="11">
        <v>15</v>
      </c>
      <c r="X432" s="11">
        <v>15</v>
      </c>
      <c r="Y432" s="11">
        <v>0</v>
      </c>
      <c r="Z432" s="11">
        <v>0</v>
      </c>
      <c r="AA432" s="11">
        <f>MasterTable[[#This Row],[Landings
Night]]+MasterTable[[#This Row],[Landings
Day]]</f>
        <v>15</v>
      </c>
      <c r="AB432" s="10">
        <v>0</v>
      </c>
      <c r="AC432" s="10">
        <v>0</v>
      </c>
      <c r="AD432" s="11">
        <v>0</v>
      </c>
      <c r="AE432" s="21">
        <f>SUM(MasterTable[[#This Row],[ILS]:[PAR]])</f>
        <v>0</v>
      </c>
      <c r="AL432" s="11"/>
      <c r="AR432" s="140" t="str">
        <f>_xlfn.XLOOKUP(MasterTable[[#This Row],[Aircraft ID]],Aircraft!A:A,Aircraft!H:H)</f>
        <v>Airplane Single Engine Land</v>
      </c>
      <c r="AS432" s="8" t="b">
        <f>OR((SUM(MasterTable[[#This Row],[ILS]:[PAR]]) = MasterTable[[#This Row],[APPR]]))</f>
        <v>1</v>
      </c>
      <c r="AT432" s="8" t="b">
        <f>NOT(ISBLANK(MasterTable[[#This Row],[Total
Time]]))</f>
        <v>1</v>
      </c>
    </row>
    <row r="433" spans="4:46" ht="28.8" x14ac:dyDescent="0.3">
      <c r="D433" s="22">
        <v>44526</v>
      </c>
      <c r="E433" s="8" t="s">
        <v>88</v>
      </c>
      <c r="F433" s="8" t="s">
        <v>202</v>
      </c>
      <c r="G433" s="8" t="s">
        <v>241</v>
      </c>
      <c r="I433" s="10">
        <v>2</v>
      </c>
      <c r="J433" s="10">
        <v>0</v>
      </c>
      <c r="L433" s="10">
        <v>0</v>
      </c>
      <c r="M433" s="13">
        <v>0</v>
      </c>
      <c r="N433" s="13"/>
      <c r="O433" s="10">
        <v>0</v>
      </c>
      <c r="P433" s="10">
        <v>2</v>
      </c>
      <c r="Q433" s="14">
        <v>0</v>
      </c>
      <c r="R433" s="14">
        <v>0</v>
      </c>
      <c r="S433" s="10">
        <v>0</v>
      </c>
      <c r="T433" s="10">
        <v>0</v>
      </c>
      <c r="U433" s="14">
        <v>0</v>
      </c>
      <c r="V433" s="10"/>
      <c r="W433" s="11">
        <v>14</v>
      </c>
      <c r="X433" s="11">
        <v>14</v>
      </c>
      <c r="Y433" s="11">
        <v>0</v>
      </c>
      <c r="Z433" s="11">
        <v>0</v>
      </c>
      <c r="AA433" s="11">
        <f>MasterTable[[#This Row],[Landings
Night]]+MasterTable[[#This Row],[Landings
Day]]</f>
        <v>14</v>
      </c>
      <c r="AB433" s="10">
        <v>0</v>
      </c>
      <c r="AC433" s="10">
        <v>0</v>
      </c>
      <c r="AD433" s="11">
        <v>0</v>
      </c>
      <c r="AE433" s="21">
        <f>SUM(MasterTable[[#This Row],[ILS]:[PAR]])</f>
        <v>0</v>
      </c>
      <c r="AL433" s="11"/>
      <c r="AR433" s="140" t="str">
        <f>_xlfn.XLOOKUP(MasterTable[[#This Row],[Aircraft ID]],Aircraft!A:A,Aircraft!H:H)</f>
        <v>Airplane Single Engine Land</v>
      </c>
      <c r="AS433" s="8" t="b">
        <f>OR((SUM(MasterTable[[#This Row],[ILS]:[PAR]]) = MasterTable[[#This Row],[APPR]]))</f>
        <v>1</v>
      </c>
      <c r="AT433" s="8" t="b">
        <f>NOT(ISBLANK(MasterTable[[#This Row],[Total
Time]]))</f>
        <v>1</v>
      </c>
    </row>
    <row r="434" spans="4:46" ht="28.8" x14ac:dyDescent="0.3">
      <c r="D434" s="22">
        <v>44517</v>
      </c>
      <c r="E434" s="8" t="s">
        <v>86</v>
      </c>
      <c r="F434" s="8" t="s">
        <v>207</v>
      </c>
      <c r="G434" s="8" t="s">
        <v>207</v>
      </c>
      <c r="I434" s="10">
        <v>2</v>
      </c>
      <c r="J434" s="10">
        <v>2</v>
      </c>
      <c r="L434" s="10">
        <v>0</v>
      </c>
      <c r="M434" s="13">
        <v>0</v>
      </c>
      <c r="N434" s="13"/>
      <c r="O434" s="10">
        <v>2</v>
      </c>
      <c r="P434" s="10">
        <v>0</v>
      </c>
      <c r="Q434" s="14">
        <v>0</v>
      </c>
      <c r="R434" s="14">
        <v>0</v>
      </c>
      <c r="S434" s="10">
        <v>2</v>
      </c>
      <c r="T434" s="10">
        <v>0</v>
      </c>
      <c r="U434" s="14">
        <v>0</v>
      </c>
      <c r="V434" s="10"/>
      <c r="W434" s="11">
        <v>0</v>
      </c>
      <c r="X434" s="11">
        <v>0</v>
      </c>
      <c r="Y434" s="11">
        <v>0</v>
      </c>
      <c r="Z434" s="11">
        <v>0</v>
      </c>
      <c r="AA434" s="11">
        <f>MasterTable[[#This Row],[Landings
Night]]+MasterTable[[#This Row],[Landings
Day]]</f>
        <v>0</v>
      </c>
      <c r="AB434" s="10">
        <v>0</v>
      </c>
      <c r="AC434" s="10">
        <v>0</v>
      </c>
      <c r="AD434" s="11">
        <v>0</v>
      </c>
      <c r="AE434" s="21">
        <f>SUM(MasterTable[[#This Row],[ILS]:[PAR]])</f>
        <v>0</v>
      </c>
      <c r="AL434" s="11"/>
      <c r="AR434" s="140" t="str">
        <f>_xlfn.XLOOKUP(MasterTable[[#This Row],[Aircraft ID]],Aircraft!A:A,Aircraft!H:H)</f>
        <v>Airplane Single Engine Land</v>
      </c>
      <c r="AS434" s="8" t="b">
        <f>OR((SUM(MasterTable[[#This Row],[ILS]:[PAR]]) = MasterTable[[#This Row],[APPR]]))</f>
        <v>1</v>
      </c>
      <c r="AT434" s="8" t="b">
        <f>NOT(ISBLANK(MasterTable[[#This Row],[Total
Time]]))</f>
        <v>1</v>
      </c>
    </row>
    <row r="435" spans="4:46" ht="28.8" x14ac:dyDescent="0.3">
      <c r="D435" s="22">
        <v>44513</v>
      </c>
      <c r="E435" s="8" t="s">
        <v>174</v>
      </c>
      <c r="F435" s="8" t="s">
        <v>246</v>
      </c>
      <c r="G435" s="8" t="s">
        <v>206</v>
      </c>
      <c r="I435" s="10">
        <v>1.4</v>
      </c>
      <c r="J435" s="10">
        <v>1.4</v>
      </c>
      <c r="L435" s="10">
        <v>0</v>
      </c>
      <c r="M435" s="13">
        <v>0</v>
      </c>
      <c r="N435" s="13"/>
      <c r="O435" s="10">
        <v>0</v>
      </c>
      <c r="P435" s="10">
        <v>0</v>
      </c>
      <c r="Q435" s="14">
        <v>0</v>
      </c>
      <c r="R435" s="14">
        <v>0</v>
      </c>
      <c r="S435" s="10">
        <v>0</v>
      </c>
      <c r="T435" s="10">
        <v>1.4</v>
      </c>
      <c r="U435" s="14">
        <v>0</v>
      </c>
      <c r="V435" s="10">
        <v>1.4</v>
      </c>
      <c r="W435" s="11">
        <v>1</v>
      </c>
      <c r="X435" s="11">
        <v>1</v>
      </c>
      <c r="Y435" s="11">
        <v>0</v>
      </c>
      <c r="Z435" s="11">
        <v>0</v>
      </c>
      <c r="AA435" s="11">
        <f>MasterTable[[#This Row],[Landings
Night]]+MasterTable[[#This Row],[Landings
Day]]</f>
        <v>1</v>
      </c>
      <c r="AB435" s="10">
        <v>0</v>
      </c>
      <c r="AC435" s="10">
        <v>0</v>
      </c>
      <c r="AD435" s="11">
        <v>0</v>
      </c>
      <c r="AE435" s="21">
        <f>SUM(MasterTable[[#This Row],[ILS]:[PAR]])</f>
        <v>0</v>
      </c>
      <c r="AL435" s="11"/>
      <c r="AR435" s="140" t="str">
        <f>_xlfn.XLOOKUP(MasterTable[[#This Row],[Aircraft ID]],Aircraft!A:A,Aircraft!H:H)</f>
        <v>Airplane Single Engine Land</v>
      </c>
      <c r="AS435" s="8" t="b">
        <f>OR((SUM(MasterTable[[#This Row],[ILS]:[PAR]]) = MasterTable[[#This Row],[APPR]]))</f>
        <v>1</v>
      </c>
      <c r="AT435" s="8" t="b">
        <f>NOT(ISBLANK(MasterTable[[#This Row],[Total
Time]]))</f>
        <v>1</v>
      </c>
    </row>
    <row r="436" spans="4:46" ht="28.8" x14ac:dyDescent="0.3">
      <c r="D436" s="22">
        <v>44512</v>
      </c>
      <c r="E436" s="8" t="s">
        <v>84</v>
      </c>
      <c r="F436" s="8" t="s">
        <v>247</v>
      </c>
      <c r="G436" s="8" t="s">
        <v>247</v>
      </c>
      <c r="I436" s="10">
        <v>0.6</v>
      </c>
      <c r="J436" s="10">
        <v>0</v>
      </c>
      <c r="L436" s="10">
        <v>0</v>
      </c>
      <c r="M436" s="13">
        <v>0</v>
      </c>
      <c r="N436" s="13"/>
      <c r="O436" s="10">
        <v>0</v>
      </c>
      <c r="P436" s="10">
        <v>0.6</v>
      </c>
      <c r="Q436" s="14">
        <v>0</v>
      </c>
      <c r="R436" s="14">
        <v>0</v>
      </c>
      <c r="S436" s="10">
        <v>0</v>
      </c>
      <c r="T436" s="10">
        <v>0</v>
      </c>
      <c r="U436" s="14">
        <v>0</v>
      </c>
      <c r="V436" s="10"/>
      <c r="W436" s="11">
        <v>0</v>
      </c>
      <c r="X436" s="11">
        <v>0</v>
      </c>
      <c r="Y436" s="11">
        <v>0</v>
      </c>
      <c r="Z436" s="11">
        <v>0</v>
      </c>
      <c r="AA436" s="11">
        <f>MasterTable[[#This Row],[Landings
Night]]+MasterTable[[#This Row],[Landings
Day]]</f>
        <v>0</v>
      </c>
      <c r="AB436" s="10">
        <v>0</v>
      </c>
      <c r="AC436" s="10">
        <v>0</v>
      </c>
      <c r="AD436" s="11">
        <v>0</v>
      </c>
      <c r="AE436" s="21">
        <f>SUM(MasterTable[[#This Row],[ILS]:[PAR]])</f>
        <v>0</v>
      </c>
      <c r="AL436" s="11"/>
      <c r="AR436" s="140" t="str">
        <f>_xlfn.XLOOKUP(MasterTable[[#This Row],[Aircraft ID]],Aircraft!A:A,Aircraft!H:H)</f>
        <v>Airplane Single Engine Land</v>
      </c>
      <c r="AS436" s="8" t="b">
        <f>OR((SUM(MasterTable[[#This Row],[ILS]:[PAR]]) = MasterTable[[#This Row],[APPR]]))</f>
        <v>1</v>
      </c>
      <c r="AT436" s="8" t="b">
        <f>NOT(ISBLANK(MasterTable[[#This Row],[Total
Time]]))</f>
        <v>1</v>
      </c>
    </row>
    <row r="437" spans="4:46" ht="28.8" x14ac:dyDescent="0.3">
      <c r="D437" s="22">
        <v>44512</v>
      </c>
      <c r="E437" s="8" t="s">
        <v>84</v>
      </c>
      <c r="F437" s="8" t="s">
        <v>247</v>
      </c>
      <c r="G437" s="8" t="s">
        <v>247</v>
      </c>
      <c r="I437" s="10">
        <v>0.6</v>
      </c>
      <c r="J437" s="10">
        <v>0</v>
      </c>
      <c r="L437" s="10">
        <v>0</v>
      </c>
      <c r="M437" s="13">
        <v>0</v>
      </c>
      <c r="N437" s="13"/>
      <c r="O437" s="10">
        <v>0</v>
      </c>
      <c r="P437" s="10">
        <v>0.6</v>
      </c>
      <c r="Q437" s="14">
        <v>0</v>
      </c>
      <c r="R437" s="14">
        <v>0</v>
      </c>
      <c r="S437" s="10">
        <v>0</v>
      </c>
      <c r="T437" s="10">
        <v>0</v>
      </c>
      <c r="U437" s="14">
        <v>0</v>
      </c>
      <c r="V437" s="10"/>
      <c r="W437" s="11">
        <v>0</v>
      </c>
      <c r="X437" s="11">
        <v>0</v>
      </c>
      <c r="Y437" s="11">
        <v>0</v>
      </c>
      <c r="Z437" s="11">
        <v>0</v>
      </c>
      <c r="AA437" s="11">
        <f>MasterTable[[#This Row],[Landings
Night]]+MasterTable[[#This Row],[Landings
Day]]</f>
        <v>0</v>
      </c>
      <c r="AB437" s="10">
        <v>0</v>
      </c>
      <c r="AC437" s="10">
        <v>0</v>
      </c>
      <c r="AD437" s="11">
        <v>0</v>
      </c>
      <c r="AE437" s="21">
        <f>SUM(MasterTable[[#This Row],[ILS]:[PAR]])</f>
        <v>0</v>
      </c>
      <c r="AL437" s="11"/>
      <c r="AR437" s="140" t="str">
        <f>_xlfn.XLOOKUP(MasterTable[[#This Row],[Aircraft ID]],Aircraft!A:A,Aircraft!H:H)</f>
        <v>Airplane Single Engine Land</v>
      </c>
      <c r="AS437" s="8" t="b">
        <f>OR((SUM(MasterTable[[#This Row],[ILS]:[PAR]]) = MasterTable[[#This Row],[APPR]]))</f>
        <v>1</v>
      </c>
      <c r="AT437" s="8" t="b">
        <f>NOT(ISBLANK(MasterTable[[#This Row],[Total
Time]]))</f>
        <v>1</v>
      </c>
    </row>
    <row r="438" spans="4:46" ht="28.8" x14ac:dyDescent="0.3">
      <c r="D438" s="22">
        <v>44512</v>
      </c>
      <c r="E438" s="8" t="s">
        <v>174</v>
      </c>
      <c r="F438" s="8" t="s">
        <v>247</v>
      </c>
      <c r="G438" s="8" t="s">
        <v>246</v>
      </c>
      <c r="I438" s="10">
        <v>1</v>
      </c>
      <c r="J438" s="10">
        <v>1</v>
      </c>
      <c r="L438" s="10">
        <v>0</v>
      </c>
      <c r="M438" s="13">
        <v>0</v>
      </c>
      <c r="N438" s="13"/>
      <c r="O438" s="10">
        <v>0</v>
      </c>
      <c r="P438" s="10">
        <v>0</v>
      </c>
      <c r="Q438" s="14">
        <v>0</v>
      </c>
      <c r="R438" s="14">
        <v>0</v>
      </c>
      <c r="S438" s="10">
        <v>0</v>
      </c>
      <c r="T438" s="10">
        <v>1</v>
      </c>
      <c r="U438" s="14">
        <v>0</v>
      </c>
      <c r="V438" s="10">
        <v>1</v>
      </c>
      <c r="W438" s="11">
        <v>1</v>
      </c>
      <c r="X438" s="11">
        <v>1</v>
      </c>
      <c r="Y438" s="11">
        <v>0</v>
      </c>
      <c r="Z438" s="11">
        <v>0</v>
      </c>
      <c r="AA438" s="11">
        <f>MasterTable[[#This Row],[Landings
Night]]+MasterTable[[#This Row],[Landings
Day]]</f>
        <v>1</v>
      </c>
      <c r="AB438" s="10">
        <v>0</v>
      </c>
      <c r="AC438" s="10">
        <v>0</v>
      </c>
      <c r="AD438" s="11">
        <v>0</v>
      </c>
      <c r="AE438" s="21">
        <f>SUM(MasterTable[[#This Row],[ILS]:[PAR]])</f>
        <v>0</v>
      </c>
      <c r="AL438" s="11"/>
      <c r="AR438" s="140" t="str">
        <f>_xlfn.XLOOKUP(MasterTable[[#This Row],[Aircraft ID]],Aircraft!A:A,Aircraft!H:H)</f>
        <v>Airplane Single Engine Land</v>
      </c>
      <c r="AS438" s="8" t="b">
        <f>OR((SUM(MasterTable[[#This Row],[ILS]:[PAR]]) = MasterTable[[#This Row],[APPR]]))</f>
        <v>1</v>
      </c>
      <c r="AT438" s="8" t="b">
        <f>NOT(ISBLANK(MasterTable[[#This Row],[Total
Time]]))</f>
        <v>1</v>
      </c>
    </row>
    <row r="439" spans="4:46" ht="28.8" x14ac:dyDescent="0.3">
      <c r="D439" s="22">
        <v>44512</v>
      </c>
      <c r="E439" s="8" t="s">
        <v>174</v>
      </c>
      <c r="F439" s="8" t="s">
        <v>206</v>
      </c>
      <c r="G439" s="8" t="s">
        <v>247</v>
      </c>
      <c r="I439" s="10">
        <v>2</v>
      </c>
      <c r="J439" s="10">
        <v>2</v>
      </c>
      <c r="L439" s="10">
        <v>0</v>
      </c>
      <c r="M439" s="13">
        <v>0</v>
      </c>
      <c r="N439" s="13"/>
      <c r="O439" s="10">
        <v>0</v>
      </c>
      <c r="P439" s="10">
        <v>0</v>
      </c>
      <c r="Q439" s="14">
        <v>0</v>
      </c>
      <c r="R439" s="14">
        <v>0</v>
      </c>
      <c r="S439" s="10">
        <v>0</v>
      </c>
      <c r="T439" s="10">
        <v>2</v>
      </c>
      <c r="U439" s="14">
        <v>0</v>
      </c>
      <c r="V439" s="10">
        <v>2</v>
      </c>
      <c r="W439" s="11">
        <v>1</v>
      </c>
      <c r="X439" s="11">
        <v>1</v>
      </c>
      <c r="Y439" s="11">
        <v>0</v>
      </c>
      <c r="Z439" s="11">
        <v>0</v>
      </c>
      <c r="AA439" s="11">
        <f>MasterTable[[#This Row],[Landings
Night]]+MasterTable[[#This Row],[Landings
Day]]</f>
        <v>1</v>
      </c>
      <c r="AB439" s="10">
        <v>0</v>
      </c>
      <c r="AC439" s="10">
        <v>0</v>
      </c>
      <c r="AD439" s="11">
        <v>0</v>
      </c>
      <c r="AE439" s="21">
        <f>SUM(MasterTable[[#This Row],[ILS]:[PAR]])</f>
        <v>0</v>
      </c>
      <c r="AL439" s="11"/>
      <c r="AR439" s="140" t="str">
        <f>_xlfn.XLOOKUP(MasterTable[[#This Row],[Aircraft ID]],Aircraft!A:A,Aircraft!H:H)</f>
        <v>Airplane Single Engine Land</v>
      </c>
      <c r="AS439" s="8" t="b">
        <f>OR((SUM(MasterTable[[#This Row],[ILS]:[PAR]]) = MasterTable[[#This Row],[APPR]]))</f>
        <v>1</v>
      </c>
      <c r="AT439" s="8" t="b">
        <f>NOT(ISBLANK(MasterTable[[#This Row],[Total
Time]]))</f>
        <v>1</v>
      </c>
    </row>
    <row r="440" spans="4:46" ht="28.8" x14ac:dyDescent="0.3">
      <c r="D440" s="22">
        <v>44510</v>
      </c>
      <c r="E440" s="8" t="s">
        <v>86</v>
      </c>
      <c r="F440" s="8" t="s">
        <v>207</v>
      </c>
      <c r="G440" s="8" t="s">
        <v>207</v>
      </c>
      <c r="I440" s="10">
        <v>1.6</v>
      </c>
      <c r="J440" s="10">
        <v>1.6</v>
      </c>
      <c r="L440" s="10">
        <v>0</v>
      </c>
      <c r="M440" s="13">
        <v>0</v>
      </c>
      <c r="N440" s="13"/>
      <c r="O440" s="10">
        <v>1.6</v>
      </c>
      <c r="P440" s="10">
        <v>0</v>
      </c>
      <c r="Q440" s="14">
        <v>0</v>
      </c>
      <c r="R440" s="14">
        <v>0</v>
      </c>
      <c r="S440" s="10">
        <v>1</v>
      </c>
      <c r="T440" s="10">
        <v>0</v>
      </c>
      <c r="U440" s="14">
        <v>0</v>
      </c>
      <c r="V440" s="10"/>
      <c r="W440" s="11">
        <v>0</v>
      </c>
      <c r="X440" s="11">
        <v>0</v>
      </c>
      <c r="Y440" s="11">
        <v>0</v>
      </c>
      <c r="Z440" s="11">
        <v>0</v>
      </c>
      <c r="AA440" s="11">
        <f>MasterTable[[#This Row],[Landings
Night]]+MasterTable[[#This Row],[Landings
Day]]</f>
        <v>0</v>
      </c>
      <c r="AB440" s="10">
        <v>0</v>
      </c>
      <c r="AC440" s="10">
        <v>0</v>
      </c>
      <c r="AD440" s="11">
        <v>0</v>
      </c>
      <c r="AE440" s="21">
        <f>SUM(MasterTable[[#This Row],[ILS]:[PAR]])</f>
        <v>0</v>
      </c>
      <c r="AL440" s="11"/>
      <c r="AR440" s="140" t="str">
        <f>_xlfn.XLOOKUP(MasterTable[[#This Row],[Aircraft ID]],Aircraft!A:A,Aircraft!H:H)</f>
        <v>Airplane Single Engine Land</v>
      </c>
      <c r="AS440" s="8" t="b">
        <f>OR((SUM(MasterTable[[#This Row],[ILS]:[PAR]]) = MasterTable[[#This Row],[APPR]]))</f>
        <v>1</v>
      </c>
      <c r="AT440" s="8" t="b">
        <f>NOT(ISBLANK(MasterTable[[#This Row],[Total
Time]]))</f>
        <v>1</v>
      </c>
    </row>
    <row r="441" spans="4:46" ht="28.8" x14ac:dyDescent="0.3">
      <c r="D441" s="22">
        <v>44508</v>
      </c>
      <c r="E441" s="8" t="s">
        <v>174</v>
      </c>
      <c r="F441" s="8" t="s">
        <v>207</v>
      </c>
      <c r="G441" s="8" t="s">
        <v>206</v>
      </c>
      <c r="I441" s="10">
        <v>0.5</v>
      </c>
      <c r="J441" s="10">
        <v>0.5</v>
      </c>
      <c r="L441" s="10">
        <v>0</v>
      </c>
      <c r="M441" s="13">
        <v>0</v>
      </c>
      <c r="N441" s="13"/>
      <c r="O441" s="10">
        <v>0</v>
      </c>
      <c r="P441" s="10">
        <v>0</v>
      </c>
      <c r="Q441" s="14">
        <v>0</v>
      </c>
      <c r="R441" s="14">
        <v>0</v>
      </c>
      <c r="S441" s="10">
        <v>0</v>
      </c>
      <c r="T441" s="10">
        <v>0</v>
      </c>
      <c r="U441" s="14">
        <v>0</v>
      </c>
      <c r="V441" s="10"/>
      <c r="W441" s="11">
        <v>1</v>
      </c>
      <c r="X441" s="11">
        <v>1</v>
      </c>
      <c r="Y441" s="11">
        <v>0</v>
      </c>
      <c r="Z441" s="11">
        <v>0</v>
      </c>
      <c r="AA441" s="11">
        <f>MasterTable[[#This Row],[Landings
Night]]+MasterTable[[#This Row],[Landings
Day]]</f>
        <v>1</v>
      </c>
      <c r="AB441" s="10">
        <v>0</v>
      </c>
      <c r="AC441" s="10">
        <v>0</v>
      </c>
      <c r="AD441" s="11">
        <v>0</v>
      </c>
      <c r="AE441" s="21">
        <f>SUM(MasterTable[[#This Row],[ILS]:[PAR]])</f>
        <v>0</v>
      </c>
      <c r="AL441" s="11"/>
      <c r="AR441" s="140" t="str">
        <f>_xlfn.XLOOKUP(MasterTable[[#This Row],[Aircraft ID]],Aircraft!A:A,Aircraft!H:H)</f>
        <v>Airplane Single Engine Land</v>
      </c>
      <c r="AS441" s="8" t="b">
        <f>OR((SUM(MasterTable[[#This Row],[ILS]:[PAR]]) = MasterTable[[#This Row],[APPR]]))</f>
        <v>1</v>
      </c>
      <c r="AT441" s="8" t="b">
        <f>NOT(ISBLANK(MasterTable[[#This Row],[Total
Time]]))</f>
        <v>1</v>
      </c>
    </row>
    <row r="442" spans="4:46" ht="28.8" x14ac:dyDescent="0.3">
      <c r="D442" s="22">
        <v>44507</v>
      </c>
      <c r="E442" s="8" t="s">
        <v>174</v>
      </c>
      <c r="F442" s="8" t="s">
        <v>204</v>
      </c>
      <c r="G442" s="8" t="s">
        <v>207</v>
      </c>
      <c r="I442" s="10">
        <v>1.4</v>
      </c>
      <c r="J442" s="10">
        <v>1.4</v>
      </c>
      <c r="L442" s="10">
        <v>0</v>
      </c>
      <c r="M442" s="13">
        <v>0</v>
      </c>
      <c r="N442" s="13"/>
      <c r="O442" s="10">
        <v>0</v>
      </c>
      <c r="P442" s="10">
        <v>0</v>
      </c>
      <c r="Q442" s="14">
        <v>0</v>
      </c>
      <c r="R442" s="14">
        <v>0</v>
      </c>
      <c r="S442" s="10">
        <v>0</v>
      </c>
      <c r="T442" s="10">
        <v>1.4</v>
      </c>
      <c r="U442" s="14">
        <v>0</v>
      </c>
      <c r="V442" s="10"/>
      <c r="W442" s="11">
        <v>1</v>
      </c>
      <c r="X442" s="11">
        <v>1</v>
      </c>
      <c r="Y442" s="11">
        <v>0</v>
      </c>
      <c r="Z442" s="11">
        <v>0</v>
      </c>
      <c r="AA442" s="11">
        <f>MasterTable[[#This Row],[Landings
Night]]+MasterTable[[#This Row],[Landings
Day]]</f>
        <v>1</v>
      </c>
      <c r="AB442" s="10">
        <v>0</v>
      </c>
      <c r="AC442" s="10">
        <v>0</v>
      </c>
      <c r="AD442" s="11">
        <v>0</v>
      </c>
      <c r="AE442" s="21">
        <f>SUM(MasterTable[[#This Row],[ILS]:[PAR]])</f>
        <v>0</v>
      </c>
      <c r="AL442" s="11"/>
      <c r="AR442" s="140" t="str">
        <f>_xlfn.XLOOKUP(MasterTable[[#This Row],[Aircraft ID]],Aircraft!A:A,Aircraft!H:H)</f>
        <v>Airplane Single Engine Land</v>
      </c>
      <c r="AS442" s="8" t="b">
        <f>OR((SUM(MasterTable[[#This Row],[ILS]:[PAR]]) = MasterTable[[#This Row],[APPR]]))</f>
        <v>1</v>
      </c>
      <c r="AT442" s="8" t="b">
        <f>NOT(ISBLANK(MasterTable[[#This Row],[Total
Time]]))</f>
        <v>1</v>
      </c>
    </row>
    <row r="443" spans="4:46" ht="28.8" x14ac:dyDescent="0.3">
      <c r="D443" s="22">
        <v>44506</v>
      </c>
      <c r="E443" s="8" t="s">
        <v>174</v>
      </c>
      <c r="F443" s="8" t="s">
        <v>204</v>
      </c>
      <c r="G443" s="8" t="s">
        <v>204</v>
      </c>
      <c r="I443" s="10">
        <v>3</v>
      </c>
      <c r="J443" s="10">
        <v>3</v>
      </c>
      <c r="L443" s="10">
        <v>0</v>
      </c>
      <c r="M443" s="13">
        <v>0</v>
      </c>
      <c r="N443" s="13"/>
      <c r="O443" s="10">
        <v>0</v>
      </c>
      <c r="P443" s="10">
        <v>0</v>
      </c>
      <c r="Q443" s="14">
        <v>0</v>
      </c>
      <c r="R443" s="14">
        <v>0</v>
      </c>
      <c r="S443" s="10">
        <v>0</v>
      </c>
      <c r="T443" s="10">
        <v>0</v>
      </c>
      <c r="U443" s="14">
        <v>0</v>
      </c>
      <c r="V443" s="10">
        <v>1.5</v>
      </c>
      <c r="W443" s="11">
        <v>4</v>
      </c>
      <c r="X443" s="11">
        <v>4</v>
      </c>
      <c r="Y443" s="11">
        <v>0</v>
      </c>
      <c r="Z443" s="11">
        <v>0</v>
      </c>
      <c r="AA443" s="11">
        <f>MasterTable[[#This Row],[Landings
Night]]+MasterTable[[#This Row],[Landings
Day]]</f>
        <v>4</v>
      </c>
      <c r="AB443" s="10">
        <v>0</v>
      </c>
      <c r="AC443" s="10">
        <v>0</v>
      </c>
      <c r="AD443" s="11">
        <v>0</v>
      </c>
      <c r="AE443" s="21">
        <f>SUM(MasterTable[[#This Row],[ILS]:[PAR]])</f>
        <v>0</v>
      </c>
      <c r="AL443" s="11"/>
      <c r="AR443" s="140" t="str">
        <f>_xlfn.XLOOKUP(MasterTable[[#This Row],[Aircraft ID]],Aircraft!A:A,Aircraft!H:H)</f>
        <v>Airplane Single Engine Land</v>
      </c>
      <c r="AS443" s="8" t="b">
        <f>OR((SUM(MasterTable[[#This Row],[ILS]:[PAR]]) = MasterTable[[#This Row],[APPR]]))</f>
        <v>1</v>
      </c>
      <c r="AT443" s="8" t="b">
        <f>NOT(ISBLANK(MasterTable[[#This Row],[Total
Time]]))</f>
        <v>1</v>
      </c>
    </row>
    <row r="444" spans="4:46" ht="28.8" x14ac:dyDescent="0.3">
      <c r="D444" s="22">
        <v>44505</v>
      </c>
      <c r="E444" s="8" t="s">
        <v>174</v>
      </c>
      <c r="F444" s="8" t="s">
        <v>206</v>
      </c>
      <c r="G444" s="8" t="s">
        <v>204</v>
      </c>
      <c r="I444" s="10">
        <v>1.2</v>
      </c>
      <c r="J444" s="10">
        <v>1.2</v>
      </c>
      <c r="L444" s="10">
        <v>0</v>
      </c>
      <c r="M444" s="13">
        <v>0</v>
      </c>
      <c r="N444" s="13"/>
      <c r="O444" s="10">
        <v>0</v>
      </c>
      <c r="P444" s="10">
        <v>0</v>
      </c>
      <c r="Q444" s="14">
        <v>0</v>
      </c>
      <c r="R444" s="14">
        <v>0</v>
      </c>
      <c r="S444" s="10">
        <v>0.2</v>
      </c>
      <c r="T444" s="10">
        <v>1.2</v>
      </c>
      <c r="U444" s="14">
        <v>0</v>
      </c>
      <c r="V444" s="10"/>
      <c r="W444" s="11">
        <v>1</v>
      </c>
      <c r="X444" s="11">
        <v>0</v>
      </c>
      <c r="Y444" s="11">
        <v>0</v>
      </c>
      <c r="Z444" s="11">
        <v>1</v>
      </c>
      <c r="AA444" s="11">
        <f>MasterTable[[#This Row],[Landings
Night]]+MasterTable[[#This Row],[Landings
Day]]</f>
        <v>1</v>
      </c>
      <c r="AB444" s="10">
        <v>0</v>
      </c>
      <c r="AC444" s="10">
        <v>0</v>
      </c>
      <c r="AD444" s="11">
        <v>0</v>
      </c>
      <c r="AE444" s="21">
        <f>SUM(MasterTable[[#This Row],[ILS]:[PAR]])</f>
        <v>0</v>
      </c>
      <c r="AL444" s="11"/>
      <c r="AR444" s="140" t="str">
        <f>_xlfn.XLOOKUP(MasterTable[[#This Row],[Aircraft ID]],Aircraft!A:A,Aircraft!H:H)</f>
        <v>Airplane Single Engine Land</v>
      </c>
      <c r="AS444" s="8" t="b">
        <f>OR((SUM(MasterTable[[#This Row],[ILS]:[PAR]]) = MasterTable[[#This Row],[APPR]]))</f>
        <v>1</v>
      </c>
      <c r="AT444" s="8" t="b">
        <f>NOT(ISBLANK(MasterTable[[#This Row],[Total
Time]]))</f>
        <v>1</v>
      </c>
    </row>
    <row r="445" spans="4:46" ht="28.8" x14ac:dyDescent="0.3">
      <c r="D445" s="22">
        <v>44489</v>
      </c>
      <c r="E445" s="8" t="s">
        <v>86</v>
      </c>
      <c r="F445" s="8" t="s">
        <v>207</v>
      </c>
      <c r="G445" s="8" t="s">
        <v>207</v>
      </c>
      <c r="I445" s="10">
        <v>1.2</v>
      </c>
      <c r="J445" s="10">
        <v>1.2</v>
      </c>
      <c r="L445" s="10">
        <v>0</v>
      </c>
      <c r="M445" s="13">
        <v>0</v>
      </c>
      <c r="N445" s="13"/>
      <c r="O445" s="10">
        <v>1.2</v>
      </c>
      <c r="P445" s="10">
        <v>0</v>
      </c>
      <c r="Q445" s="14">
        <v>0</v>
      </c>
      <c r="R445" s="14">
        <v>0</v>
      </c>
      <c r="S445" s="10">
        <v>0.2</v>
      </c>
      <c r="T445" s="10">
        <v>0</v>
      </c>
      <c r="U445" s="14">
        <v>0</v>
      </c>
      <c r="V445" s="10"/>
      <c r="W445" s="11">
        <v>1</v>
      </c>
      <c r="X445" s="11">
        <v>0</v>
      </c>
      <c r="Y445" s="11">
        <v>0</v>
      </c>
      <c r="Z445" s="11">
        <v>1</v>
      </c>
      <c r="AA445" s="11">
        <f>MasterTable[[#This Row],[Landings
Night]]+MasterTable[[#This Row],[Landings
Day]]</f>
        <v>1</v>
      </c>
      <c r="AB445" s="10">
        <v>0</v>
      </c>
      <c r="AC445" s="10">
        <v>0</v>
      </c>
      <c r="AD445" s="11">
        <v>0</v>
      </c>
      <c r="AE445" s="21">
        <f>SUM(MasterTable[[#This Row],[ILS]:[PAR]])</f>
        <v>0</v>
      </c>
      <c r="AL445" s="11"/>
      <c r="AR445" s="140" t="str">
        <f>_xlfn.XLOOKUP(MasterTable[[#This Row],[Aircraft ID]],Aircraft!A:A,Aircraft!H:H)</f>
        <v>Airplane Single Engine Land</v>
      </c>
      <c r="AS445" s="8" t="b">
        <f>OR((SUM(MasterTable[[#This Row],[ILS]:[PAR]]) = MasterTable[[#This Row],[APPR]]))</f>
        <v>1</v>
      </c>
      <c r="AT445" s="8" t="b">
        <f>NOT(ISBLANK(MasterTable[[#This Row],[Total
Time]]))</f>
        <v>1</v>
      </c>
    </row>
    <row r="446" spans="4:46" ht="28.8" x14ac:dyDescent="0.3">
      <c r="D446" s="22">
        <v>44487</v>
      </c>
      <c r="E446" s="8" t="s">
        <v>86</v>
      </c>
      <c r="F446" s="8" t="s">
        <v>207</v>
      </c>
      <c r="G446" s="8" t="s">
        <v>207</v>
      </c>
      <c r="I446" s="10">
        <v>1.7</v>
      </c>
      <c r="J446" s="10">
        <v>1.7</v>
      </c>
      <c r="L446" s="10">
        <v>0</v>
      </c>
      <c r="M446" s="13">
        <v>0</v>
      </c>
      <c r="N446" s="13"/>
      <c r="O446" s="10">
        <v>1.7</v>
      </c>
      <c r="P446" s="10">
        <v>0</v>
      </c>
      <c r="Q446" s="14">
        <v>0</v>
      </c>
      <c r="R446" s="14">
        <v>0</v>
      </c>
      <c r="S446" s="10">
        <v>0</v>
      </c>
      <c r="T446" s="10">
        <v>0</v>
      </c>
      <c r="U446" s="14">
        <v>0</v>
      </c>
      <c r="V446" s="10"/>
      <c r="W446" s="11">
        <v>0</v>
      </c>
      <c r="X446" s="11">
        <v>0</v>
      </c>
      <c r="Y446" s="11">
        <v>0</v>
      </c>
      <c r="Z446" s="11">
        <v>0</v>
      </c>
      <c r="AA446" s="11">
        <f>MasterTable[[#This Row],[Landings
Night]]+MasterTable[[#This Row],[Landings
Day]]</f>
        <v>0</v>
      </c>
      <c r="AB446" s="10">
        <v>0</v>
      </c>
      <c r="AC446" s="10">
        <v>0</v>
      </c>
      <c r="AD446" s="11">
        <v>0</v>
      </c>
      <c r="AE446" s="21">
        <f>SUM(MasterTable[[#This Row],[ILS]:[PAR]])</f>
        <v>0</v>
      </c>
      <c r="AL446" s="11"/>
      <c r="AR446" s="140" t="str">
        <f>_xlfn.XLOOKUP(MasterTable[[#This Row],[Aircraft ID]],Aircraft!A:A,Aircraft!H:H)</f>
        <v>Airplane Single Engine Land</v>
      </c>
      <c r="AS446" s="8" t="b">
        <f>OR((SUM(MasterTable[[#This Row],[ILS]:[PAR]]) = MasterTable[[#This Row],[APPR]]))</f>
        <v>1</v>
      </c>
      <c r="AT446" s="8" t="b">
        <f>NOT(ISBLANK(MasterTable[[#This Row],[Total
Time]]))</f>
        <v>1</v>
      </c>
    </row>
    <row r="447" spans="4:46" ht="28.8" x14ac:dyDescent="0.3">
      <c r="D447" s="22">
        <v>44485</v>
      </c>
      <c r="E447" s="8" t="s">
        <v>174</v>
      </c>
      <c r="F447" s="8" t="s">
        <v>248</v>
      </c>
      <c r="G447" s="8" t="s">
        <v>206</v>
      </c>
      <c r="I447" s="10">
        <v>1.7</v>
      </c>
      <c r="J447" s="10">
        <v>1.7</v>
      </c>
      <c r="L447" s="10">
        <v>0</v>
      </c>
      <c r="M447" s="13">
        <v>0</v>
      </c>
      <c r="N447" s="13"/>
      <c r="O447" s="10">
        <v>0</v>
      </c>
      <c r="P447" s="10">
        <v>0</v>
      </c>
      <c r="Q447" s="14">
        <v>0</v>
      </c>
      <c r="R447" s="14">
        <v>0</v>
      </c>
      <c r="S447" s="10">
        <v>0</v>
      </c>
      <c r="T447" s="10">
        <v>1.7</v>
      </c>
      <c r="U447" s="14">
        <v>0</v>
      </c>
      <c r="V447" s="10"/>
      <c r="W447" s="11">
        <v>1</v>
      </c>
      <c r="X447" s="11">
        <v>1</v>
      </c>
      <c r="Y447" s="11">
        <v>0</v>
      </c>
      <c r="Z447" s="11">
        <v>0</v>
      </c>
      <c r="AA447" s="11">
        <f>MasterTable[[#This Row],[Landings
Night]]+MasterTable[[#This Row],[Landings
Day]]</f>
        <v>1</v>
      </c>
      <c r="AB447" s="10">
        <v>0</v>
      </c>
      <c r="AC447" s="10">
        <v>0</v>
      </c>
      <c r="AD447" s="11">
        <v>0</v>
      </c>
      <c r="AE447" s="21">
        <f>SUM(MasterTable[[#This Row],[ILS]:[PAR]])</f>
        <v>0</v>
      </c>
      <c r="AL447" s="11"/>
      <c r="AR447" s="140" t="str">
        <f>_xlfn.XLOOKUP(MasterTable[[#This Row],[Aircraft ID]],Aircraft!A:A,Aircraft!H:H)</f>
        <v>Airplane Single Engine Land</v>
      </c>
      <c r="AS447" s="8" t="b">
        <f>OR((SUM(MasterTable[[#This Row],[ILS]:[PAR]]) = MasterTable[[#This Row],[APPR]]))</f>
        <v>1</v>
      </c>
      <c r="AT447" s="8" t="b">
        <f>NOT(ISBLANK(MasterTable[[#This Row],[Total
Time]]))</f>
        <v>1</v>
      </c>
    </row>
    <row r="448" spans="4:46" ht="28.8" x14ac:dyDescent="0.3">
      <c r="D448" s="22">
        <v>44483</v>
      </c>
      <c r="E448" s="8" t="s">
        <v>174</v>
      </c>
      <c r="F448" s="8" t="s">
        <v>206</v>
      </c>
      <c r="G448" s="8" t="s">
        <v>248</v>
      </c>
      <c r="I448" s="10">
        <v>1.8</v>
      </c>
      <c r="J448" s="10">
        <v>1.8</v>
      </c>
      <c r="L448" s="10">
        <v>0</v>
      </c>
      <c r="M448" s="13">
        <v>0</v>
      </c>
      <c r="N448" s="13"/>
      <c r="O448" s="10">
        <v>0</v>
      </c>
      <c r="P448" s="10">
        <v>0</v>
      </c>
      <c r="Q448" s="14">
        <v>0</v>
      </c>
      <c r="R448" s="14">
        <v>0</v>
      </c>
      <c r="S448" s="10">
        <v>0.6</v>
      </c>
      <c r="T448" s="10">
        <v>1.8</v>
      </c>
      <c r="U448" s="14">
        <v>0</v>
      </c>
      <c r="V448" s="10"/>
      <c r="W448" s="11">
        <v>2</v>
      </c>
      <c r="X448" s="11">
        <v>2</v>
      </c>
      <c r="Y448" s="11">
        <v>0</v>
      </c>
      <c r="Z448" s="11">
        <v>0</v>
      </c>
      <c r="AA448" s="11">
        <f>MasterTable[[#This Row],[Landings
Night]]+MasterTable[[#This Row],[Landings
Day]]</f>
        <v>2</v>
      </c>
      <c r="AB448" s="10">
        <v>0</v>
      </c>
      <c r="AC448" s="10">
        <v>0</v>
      </c>
      <c r="AD448" s="11">
        <v>0</v>
      </c>
      <c r="AE448" s="21">
        <f>SUM(MasterTable[[#This Row],[ILS]:[PAR]])</f>
        <v>0</v>
      </c>
      <c r="AL448" s="11"/>
      <c r="AR448" s="140" t="str">
        <f>_xlfn.XLOOKUP(MasterTable[[#This Row],[Aircraft ID]],Aircraft!A:A,Aircraft!H:H)</f>
        <v>Airplane Single Engine Land</v>
      </c>
      <c r="AS448" s="8" t="b">
        <f>OR((SUM(MasterTable[[#This Row],[ILS]:[PAR]]) = MasterTable[[#This Row],[APPR]]))</f>
        <v>1</v>
      </c>
      <c r="AT448" s="8" t="b">
        <f>NOT(ISBLANK(MasterTable[[#This Row],[Total
Time]]))</f>
        <v>1</v>
      </c>
    </row>
    <row r="449" spans="4:46" ht="28.8" x14ac:dyDescent="0.3">
      <c r="D449" s="22">
        <v>44483</v>
      </c>
      <c r="E449" s="8" t="s">
        <v>174</v>
      </c>
      <c r="F449" s="8" t="s">
        <v>206</v>
      </c>
      <c r="G449" s="8" t="s">
        <v>207</v>
      </c>
      <c r="I449" s="10">
        <v>0.8</v>
      </c>
      <c r="J449" s="10">
        <v>0.8</v>
      </c>
      <c r="L449" s="10">
        <v>0</v>
      </c>
      <c r="M449" s="13">
        <v>0</v>
      </c>
      <c r="N449" s="13"/>
      <c r="O449" s="10">
        <v>0</v>
      </c>
      <c r="P449" s="10">
        <v>0</v>
      </c>
      <c r="Q449" s="14">
        <v>0</v>
      </c>
      <c r="R449" s="14">
        <v>0</v>
      </c>
      <c r="S449" s="10">
        <v>0</v>
      </c>
      <c r="T449" s="10">
        <v>0</v>
      </c>
      <c r="U449" s="14">
        <v>0</v>
      </c>
      <c r="V449" s="10"/>
      <c r="W449" s="11">
        <v>2</v>
      </c>
      <c r="X449" s="11">
        <v>2</v>
      </c>
      <c r="Y449" s="11">
        <v>0</v>
      </c>
      <c r="Z449" s="11">
        <v>0</v>
      </c>
      <c r="AA449" s="11">
        <f>MasterTable[[#This Row],[Landings
Night]]+MasterTable[[#This Row],[Landings
Day]]</f>
        <v>2</v>
      </c>
      <c r="AB449" s="10">
        <v>0</v>
      </c>
      <c r="AC449" s="10">
        <v>0</v>
      </c>
      <c r="AD449" s="11">
        <v>0</v>
      </c>
      <c r="AE449" s="21">
        <f>SUM(MasterTable[[#This Row],[ILS]:[PAR]])</f>
        <v>0</v>
      </c>
      <c r="AL449" s="11"/>
      <c r="AR449" s="140" t="str">
        <f>_xlfn.XLOOKUP(MasterTable[[#This Row],[Aircraft ID]],Aircraft!A:A,Aircraft!H:H)</f>
        <v>Airplane Single Engine Land</v>
      </c>
      <c r="AS449" s="8" t="b">
        <f>OR((SUM(MasterTable[[#This Row],[ILS]:[PAR]]) = MasterTable[[#This Row],[APPR]]))</f>
        <v>1</v>
      </c>
      <c r="AT449" s="8" t="b">
        <f>NOT(ISBLANK(MasterTable[[#This Row],[Total
Time]]))</f>
        <v>1</v>
      </c>
    </row>
    <row r="450" spans="4:46" ht="28.8" x14ac:dyDescent="0.3">
      <c r="D450" s="22">
        <v>44478</v>
      </c>
      <c r="E450" s="8" t="s">
        <v>174</v>
      </c>
      <c r="F450" s="8" t="s">
        <v>206</v>
      </c>
      <c r="G450" s="8" t="s">
        <v>216</v>
      </c>
      <c r="I450" s="10">
        <v>6.2</v>
      </c>
      <c r="J450" s="10">
        <v>6.2</v>
      </c>
      <c r="L450" s="10">
        <v>0</v>
      </c>
      <c r="M450" s="13">
        <v>0</v>
      </c>
      <c r="N450" s="13"/>
      <c r="O450" s="10">
        <v>0</v>
      </c>
      <c r="P450" s="10">
        <v>0</v>
      </c>
      <c r="Q450" s="14">
        <v>0</v>
      </c>
      <c r="R450" s="14">
        <v>0</v>
      </c>
      <c r="S450" s="10">
        <v>0</v>
      </c>
      <c r="T450" s="10">
        <v>4</v>
      </c>
      <c r="U450" s="14">
        <v>0</v>
      </c>
      <c r="V450" s="10">
        <v>2.4</v>
      </c>
      <c r="W450" s="11">
        <v>7</v>
      </c>
      <c r="X450" s="11">
        <v>7</v>
      </c>
      <c r="Y450" s="11">
        <v>0</v>
      </c>
      <c r="Z450" s="11">
        <v>0</v>
      </c>
      <c r="AA450" s="11">
        <f>MasterTable[[#This Row],[Landings
Night]]+MasterTable[[#This Row],[Landings
Day]]</f>
        <v>7</v>
      </c>
      <c r="AB450" s="10">
        <v>0</v>
      </c>
      <c r="AC450" s="10">
        <v>0</v>
      </c>
      <c r="AD450" s="11">
        <v>0</v>
      </c>
      <c r="AE450" s="21">
        <f>SUM(MasterTable[[#This Row],[ILS]:[PAR]])</f>
        <v>0</v>
      </c>
      <c r="AL450" s="11"/>
      <c r="AR450" s="140" t="str">
        <f>_xlfn.XLOOKUP(MasterTable[[#This Row],[Aircraft ID]],Aircraft!A:A,Aircraft!H:H)</f>
        <v>Airplane Single Engine Land</v>
      </c>
      <c r="AS450" s="8" t="b">
        <f>OR((SUM(MasterTable[[#This Row],[ILS]:[PAR]]) = MasterTable[[#This Row],[APPR]]))</f>
        <v>1</v>
      </c>
      <c r="AT450" s="8" t="b">
        <f>NOT(ISBLANK(MasterTable[[#This Row],[Total
Time]]))</f>
        <v>1</v>
      </c>
    </row>
    <row r="451" spans="4:46" ht="28.8" x14ac:dyDescent="0.3">
      <c r="D451" s="22">
        <v>44464</v>
      </c>
      <c r="E451" s="8" t="s">
        <v>174</v>
      </c>
      <c r="F451" s="8" t="s">
        <v>206</v>
      </c>
      <c r="G451" s="8" t="s">
        <v>222</v>
      </c>
      <c r="I451" s="10">
        <v>1</v>
      </c>
      <c r="J451" s="10">
        <v>1</v>
      </c>
      <c r="L451" s="10">
        <v>0</v>
      </c>
      <c r="M451" s="13">
        <v>0</v>
      </c>
      <c r="N451" s="13"/>
      <c r="O451" s="10">
        <v>0</v>
      </c>
      <c r="P451" s="10">
        <v>0</v>
      </c>
      <c r="Q451" s="14">
        <v>0</v>
      </c>
      <c r="R451" s="14">
        <v>0</v>
      </c>
      <c r="S451" s="10">
        <v>0</v>
      </c>
      <c r="T451" s="10">
        <v>0</v>
      </c>
      <c r="U451" s="14">
        <v>0</v>
      </c>
      <c r="V451" s="10"/>
      <c r="W451" s="11">
        <v>2</v>
      </c>
      <c r="X451" s="11">
        <v>2</v>
      </c>
      <c r="Y451" s="11">
        <v>0</v>
      </c>
      <c r="Z451" s="11">
        <v>0</v>
      </c>
      <c r="AA451" s="11">
        <f>MasterTable[[#This Row],[Landings
Night]]+MasterTable[[#This Row],[Landings
Day]]</f>
        <v>2</v>
      </c>
      <c r="AB451" s="10">
        <v>0</v>
      </c>
      <c r="AC451" s="10">
        <v>0</v>
      </c>
      <c r="AD451" s="11">
        <v>0</v>
      </c>
      <c r="AE451" s="21">
        <f>SUM(MasterTable[[#This Row],[ILS]:[PAR]])</f>
        <v>0</v>
      </c>
      <c r="AL451" s="11"/>
      <c r="AR451" s="140" t="str">
        <f>_xlfn.XLOOKUP(MasterTable[[#This Row],[Aircraft ID]],Aircraft!A:A,Aircraft!H:H)</f>
        <v>Airplane Single Engine Land</v>
      </c>
      <c r="AS451" s="8" t="b">
        <f>OR((SUM(MasterTable[[#This Row],[ILS]:[PAR]]) = MasterTable[[#This Row],[APPR]]))</f>
        <v>1</v>
      </c>
      <c r="AT451" s="8" t="b">
        <f>NOT(ISBLANK(MasterTable[[#This Row],[Total
Time]]))</f>
        <v>1</v>
      </c>
    </row>
    <row r="452" spans="4:46" ht="28.8" x14ac:dyDescent="0.3">
      <c r="D452" s="22">
        <v>44458</v>
      </c>
      <c r="E452" s="8" t="s">
        <v>174</v>
      </c>
      <c r="F452" s="8" t="s">
        <v>249</v>
      </c>
      <c r="G452" s="8" t="s">
        <v>206</v>
      </c>
      <c r="H452" s="8" t="s">
        <v>250</v>
      </c>
      <c r="I452" s="10">
        <v>4</v>
      </c>
      <c r="J452" s="10">
        <v>4</v>
      </c>
      <c r="L452" s="10">
        <v>0</v>
      </c>
      <c r="M452" s="13">
        <v>0</v>
      </c>
      <c r="N452" s="13"/>
      <c r="O452" s="10">
        <v>0</v>
      </c>
      <c r="P452" s="10">
        <v>0</v>
      </c>
      <c r="Q452" s="14">
        <v>0</v>
      </c>
      <c r="R452" s="14">
        <v>0</v>
      </c>
      <c r="S452" s="10">
        <v>0</v>
      </c>
      <c r="T452" s="10">
        <v>4</v>
      </c>
      <c r="U452" s="14">
        <v>0</v>
      </c>
      <c r="V452" s="10"/>
      <c r="W452" s="11">
        <v>3</v>
      </c>
      <c r="X452" s="11">
        <v>3</v>
      </c>
      <c r="Y452" s="11">
        <v>0</v>
      </c>
      <c r="Z452" s="11">
        <v>0</v>
      </c>
      <c r="AA452" s="11">
        <f>MasterTable[[#This Row],[Landings
Night]]+MasterTable[[#This Row],[Landings
Day]]</f>
        <v>3</v>
      </c>
      <c r="AB452" s="10">
        <v>0</v>
      </c>
      <c r="AC452" s="10">
        <v>0</v>
      </c>
      <c r="AD452" s="11">
        <v>0</v>
      </c>
      <c r="AE452" s="21">
        <f>SUM(MasterTable[[#This Row],[ILS]:[PAR]])</f>
        <v>0</v>
      </c>
      <c r="AL452" s="11"/>
      <c r="AR452" s="140" t="str">
        <f>_xlfn.XLOOKUP(MasterTable[[#This Row],[Aircraft ID]],Aircraft!A:A,Aircraft!H:H)</f>
        <v>Airplane Single Engine Land</v>
      </c>
      <c r="AS452" s="8" t="b">
        <f>OR((SUM(MasterTable[[#This Row],[ILS]:[PAR]]) = MasterTable[[#This Row],[APPR]]))</f>
        <v>1</v>
      </c>
      <c r="AT452" s="8" t="b">
        <f>NOT(ISBLANK(MasterTable[[#This Row],[Total
Time]]))</f>
        <v>1</v>
      </c>
    </row>
    <row r="453" spans="4:46" ht="28.8" x14ac:dyDescent="0.3">
      <c r="D453" s="22">
        <v>44455</v>
      </c>
      <c r="E453" s="8" t="s">
        <v>174</v>
      </c>
      <c r="F453" s="8" t="s">
        <v>207</v>
      </c>
      <c r="G453" s="8" t="s">
        <v>249</v>
      </c>
      <c r="I453" s="10">
        <v>3.1</v>
      </c>
      <c r="J453" s="10">
        <v>3.1</v>
      </c>
      <c r="L453" s="10">
        <v>0</v>
      </c>
      <c r="M453" s="13">
        <v>0</v>
      </c>
      <c r="N453" s="13"/>
      <c r="O453" s="10">
        <v>0</v>
      </c>
      <c r="P453" s="10">
        <v>0</v>
      </c>
      <c r="Q453" s="14">
        <v>0</v>
      </c>
      <c r="R453" s="14">
        <v>0</v>
      </c>
      <c r="S453" s="10">
        <v>0</v>
      </c>
      <c r="T453" s="10">
        <v>3.1</v>
      </c>
      <c r="U453" s="14">
        <v>0</v>
      </c>
      <c r="V453" s="10"/>
      <c r="W453" s="11">
        <v>1</v>
      </c>
      <c r="X453" s="11">
        <v>1</v>
      </c>
      <c r="Y453" s="11">
        <v>0</v>
      </c>
      <c r="Z453" s="11">
        <v>0</v>
      </c>
      <c r="AA453" s="11">
        <f>MasterTable[[#This Row],[Landings
Night]]+MasterTable[[#This Row],[Landings
Day]]</f>
        <v>1</v>
      </c>
      <c r="AB453" s="10">
        <v>0</v>
      </c>
      <c r="AC453" s="10">
        <v>0</v>
      </c>
      <c r="AD453" s="11">
        <v>0</v>
      </c>
      <c r="AE453" s="21">
        <f>SUM(MasterTable[[#This Row],[ILS]:[PAR]])</f>
        <v>0</v>
      </c>
      <c r="AL453" s="11"/>
      <c r="AR453" s="140" t="str">
        <f>_xlfn.XLOOKUP(MasterTable[[#This Row],[Aircraft ID]],Aircraft!A:A,Aircraft!H:H)</f>
        <v>Airplane Single Engine Land</v>
      </c>
      <c r="AS453" s="8" t="b">
        <f>OR((SUM(MasterTable[[#This Row],[ILS]:[PAR]]) = MasterTable[[#This Row],[APPR]]))</f>
        <v>1</v>
      </c>
      <c r="AT453" s="8" t="b">
        <f>NOT(ISBLANK(MasterTable[[#This Row],[Total
Time]]))</f>
        <v>1</v>
      </c>
    </row>
    <row r="454" spans="4:46" ht="28.8" x14ac:dyDescent="0.3">
      <c r="D454" s="22">
        <v>44455</v>
      </c>
      <c r="E454" s="8" t="s">
        <v>174</v>
      </c>
      <c r="F454" s="8" t="s">
        <v>206</v>
      </c>
      <c r="G454" s="8" t="s">
        <v>207</v>
      </c>
      <c r="I454" s="10">
        <v>0.4</v>
      </c>
      <c r="J454" s="10">
        <v>0.4</v>
      </c>
      <c r="L454" s="10">
        <v>0</v>
      </c>
      <c r="M454" s="13">
        <v>0</v>
      </c>
      <c r="N454" s="13"/>
      <c r="O454" s="10">
        <v>0</v>
      </c>
      <c r="P454" s="10">
        <v>0</v>
      </c>
      <c r="Q454" s="14">
        <v>0</v>
      </c>
      <c r="R454" s="14">
        <v>0</v>
      </c>
      <c r="S454" s="10">
        <v>0</v>
      </c>
      <c r="T454" s="10">
        <v>0</v>
      </c>
      <c r="U454" s="14">
        <v>0</v>
      </c>
      <c r="V454" s="10"/>
      <c r="W454" s="11">
        <v>1</v>
      </c>
      <c r="X454" s="11">
        <v>1</v>
      </c>
      <c r="Y454" s="11">
        <v>0</v>
      </c>
      <c r="Z454" s="11">
        <v>0</v>
      </c>
      <c r="AA454" s="11">
        <f>MasterTable[[#This Row],[Landings
Night]]+MasterTable[[#This Row],[Landings
Day]]</f>
        <v>1</v>
      </c>
      <c r="AB454" s="10">
        <v>0</v>
      </c>
      <c r="AC454" s="10">
        <v>0</v>
      </c>
      <c r="AD454" s="11">
        <v>0</v>
      </c>
      <c r="AE454" s="21">
        <f>SUM(MasterTable[[#This Row],[ILS]:[PAR]])</f>
        <v>0</v>
      </c>
      <c r="AL454" s="11"/>
      <c r="AR454" s="140" t="str">
        <f>_xlfn.XLOOKUP(MasterTable[[#This Row],[Aircraft ID]],Aircraft!A:A,Aircraft!H:H)</f>
        <v>Airplane Single Engine Land</v>
      </c>
      <c r="AS454" s="8" t="b">
        <f>OR((SUM(MasterTable[[#This Row],[ILS]:[PAR]]) = MasterTable[[#This Row],[APPR]]))</f>
        <v>1</v>
      </c>
      <c r="AT454" s="8" t="b">
        <f>NOT(ISBLANK(MasterTable[[#This Row],[Total
Time]]))</f>
        <v>1</v>
      </c>
    </row>
    <row r="455" spans="4:46" ht="28.8" x14ac:dyDescent="0.3">
      <c r="D455" s="22">
        <v>44445</v>
      </c>
      <c r="E455" s="8" t="s">
        <v>174</v>
      </c>
      <c r="F455" s="8" t="s">
        <v>206</v>
      </c>
      <c r="G455" s="8" t="s">
        <v>251</v>
      </c>
      <c r="I455" s="10">
        <v>1.6</v>
      </c>
      <c r="J455" s="10">
        <v>1.6</v>
      </c>
      <c r="L455" s="10">
        <v>0</v>
      </c>
      <c r="M455" s="13">
        <v>0</v>
      </c>
      <c r="N455" s="13"/>
      <c r="O455" s="10">
        <v>0</v>
      </c>
      <c r="P455" s="10">
        <v>0</v>
      </c>
      <c r="Q455" s="14">
        <v>0</v>
      </c>
      <c r="R455" s="14">
        <v>0</v>
      </c>
      <c r="S455" s="10">
        <v>0</v>
      </c>
      <c r="T455" s="10">
        <v>1.6</v>
      </c>
      <c r="U455" s="14">
        <v>0</v>
      </c>
      <c r="V455" s="10"/>
      <c r="W455" s="11">
        <v>2</v>
      </c>
      <c r="X455" s="11">
        <v>2</v>
      </c>
      <c r="Y455" s="11">
        <v>0</v>
      </c>
      <c r="Z455" s="11">
        <v>0</v>
      </c>
      <c r="AA455" s="11">
        <f>MasterTable[[#This Row],[Landings
Night]]+MasterTable[[#This Row],[Landings
Day]]</f>
        <v>2</v>
      </c>
      <c r="AB455" s="10">
        <v>0</v>
      </c>
      <c r="AC455" s="10">
        <v>0</v>
      </c>
      <c r="AD455" s="11">
        <v>0</v>
      </c>
      <c r="AE455" s="21">
        <f>SUM(MasterTable[[#This Row],[ILS]:[PAR]])</f>
        <v>0</v>
      </c>
      <c r="AL455" s="11"/>
      <c r="AR455" s="140" t="str">
        <f>_xlfn.XLOOKUP(MasterTable[[#This Row],[Aircraft ID]],Aircraft!A:A,Aircraft!H:H)</f>
        <v>Airplane Single Engine Land</v>
      </c>
      <c r="AS455" s="8" t="b">
        <f>OR((SUM(MasterTable[[#This Row],[ILS]:[PAR]]) = MasterTable[[#This Row],[APPR]]))</f>
        <v>1</v>
      </c>
      <c r="AT455" s="8" t="b">
        <f>NOT(ISBLANK(MasterTable[[#This Row],[Total
Time]]))</f>
        <v>1</v>
      </c>
    </row>
    <row r="456" spans="4:46" ht="28.8" x14ac:dyDescent="0.3">
      <c r="D456" s="22">
        <v>44445</v>
      </c>
      <c r="E456" s="8" t="s">
        <v>174</v>
      </c>
      <c r="F456" s="8" t="s">
        <v>251</v>
      </c>
      <c r="G456" s="8" t="s">
        <v>252</v>
      </c>
      <c r="I456" s="10">
        <v>1</v>
      </c>
      <c r="J456" s="10">
        <v>1</v>
      </c>
      <c r="L456" s="10">
        <v>0</v>
      </c>
      <c r="M456" s="13">
        <v>0</v>
      </c>
      <c r="N456" s="13"/>
      <c r="O456" s="10">
        <v>0</v>
      </c>
      <c r="P456" s="10">
        <v>0</v>
      </c>
      <c r="Q456" s="14">
        <v>0</v>
      </c>
      <c r="R456" s="14">
        <v>0</v>
      </c>
      <c r="S456" s="10">
        <v>0</v>
      </c>
      <c r="T456" s="10">
        <v>0</v>
      </c>
      <c r="U456" s="14">
        <v>0</v>
      </c>
      <c r="V456" s="10"/>
      <c r="W456" s="11">
        <v>1</v>
      </c>
      <c r="X456" s="11">
        <v>1</v>
      </c>
      <c r="Y456" s="11">
        <v>0</v>
      </c>
      <c r="Z456" s="11">
        <v>0</v>
      </c>
      <c r="AA456" s="11">
        <f>MasterTable[[#This Row],[Landings
Night]]+MasterTable[[#This Row],[Landings
Day]]</f>
        <v>1</v>
      </c>
      <c r="AB456" s="10">
        <v>0</v>
      </c>
      <c r="AC456" s="10">
        <v>0.6</v>
      </c>
      <c r="AD456" s="11">
        <v>1</v>
      </c>
      <c r="AE456" s="21">
        <f>SUM(MasterTable[[#This Row],[ILS]:[PAR]])</f>
        <v>2</v>
      </c>
      <c r="AG456" s="11">
        <v>1</v>
      </c>
      <c r="AH456" s="11">
        <v>1</v>
      </c>
      <c r="AL456" s="11">
        <v>1</v>
      </c>
      <c r="AN456" s="27" t="b">
        <v>1</v>
      </c>
      <c r="AO456" s="27" t="b">
        <v>1</v>
      </c>
      <c r="AP456" s="27" t="b">
        <v>1</v>
      </c>
      <c r="AR456" s="140" t="str">
        <f>_xlfn.XLOOKUP(MasterTable[[#This Row],[Aircraft ID]],Aircraft!A:A,Aircraft!H:H)</f>
        <v>Airplane Single Engine Land</v>
      </c>
      <c r="AS456" s="8" t="b">
        <f>OR((SUM(MasterTable[[#This Row],[ILS]:[PAR]]) = MasterTable[[#This Row],[APPR]]))</f>
        <v>1</v>
      </c>
      <c r="AT456" s="8" t="b">
        <f>NOT(ISBLANK(MasterTable[[#This Row],[Total
Time]]))</f>
        <v>1</v>
      </c>
    </row>
    <row r="457" spans="4:46" ht="28.8" x14ac:dyDescent="0.3">
      <c r="D457" s="22">
        <v>44444</v>
      </c>
      <c r="E457" s="8" t="s">
        <v>174</v>
      </c>
      <c r="F457" s="8" t="s">
        <v>206</v>
      </c>
      <c r="G457" s="8" t="s">
        <v>251</v>
      </c>
      <c r="I457" s="10">
        <v>1.6</v>
      </c>
      <c r="J457" s="10">
        <v>1.6</v>
      </c>
      <c r="L457" s="10">
        <v>0</v>
      </c>
      <c r="M457" s="13">
        <v>0</v>
      </c>
      <c r="N457" s="13"/>
      <c r="O457" s="10">
        <v>0</v>
      </c>
      <c r="P457" s="10">
        <v>0</v>
      </c>
      <c r="Q457" s="14">
        <v>0</v>
      </c>
      <c r="R457" s="14">
        <v>0</v>
      </c>
      <c r="S457" s="10">
        <v>0</v>
      </c>
      <c r="T457" s="10">
        <v>0</v>
      </c>
      <c r="U457" s="14">
        <v>0</v>
      </c>
      <c r="V457" s="10"/>
      <c r="W457" s="11">
        <v>2</v>
      </c>
      <c r="X457" s="11">
        <v>2</v>
      </c>
      <c r="Y457" s="11">
        <v>0</v>
      </c>
      <c r="Z457" s="11">
        <v>0</v>
      </c>
      <c r="AA457" s="11">
        <f>MasterTable[[#This Row],[Landings
Night]]+MasterTable[[#This Row],[Landings
Day]]</f>
        <v>2</v>
      </c>
      <c r="AB457" s="10">
        <v>0</v>
      </c>
      <c r="AC457" s="10">
        <v>0.7</v>
      </c>
      <c r="AD457" s="11">
        <v>0</v>
      </c>
      <c r="AE457" s="21">
        <f>SUM(MasterTable[[#This Row],[ILS]:[PAR]])</f>
        <v>0</v>
      </c>
      <c r="AL457" s="11"/>
      <c r="AR457" s="140" t="str">
        <f>_xlfn.XLOOKUP(MasterTable[[#This Row],[Aircraft ID]],Aircraft!A:A,Aircraft!H:H)</f>
        <v>Airplane Single Engine Land</v>
      </c>
      <c r="AS457" s="8" t="b">
        <f>OR((SUM(MasterTable[[#This Row],[ILS]:[PAR]]) = MasterTable[[#This Row],[APPR]]))</f>
        <v>1</v>
      </c>
      <c r="AT457" s="8" t="b">
        <f>NOT(ISBLANK(MasterTable[[#This Row],[Total
Time]]))</f>
        <v>1</v>
      </c>
    </row>
    <row r="458" spans="4:46" ht="28.8" x14ac:dyDescent="0.3">
      <c r="D458" s="22">
        <v>44443</v>
      </c>
      <c r="E458" s="8" t="s">
        <v>174</v>
      </c>
      <c r="F458" s="8" t="s">
        <v>206</v>
      </c>
      <c r="G458" s="8" t="s">
        <v>206</v>
      </c>
      <c r="I458" s="10">
        <v>0.5</v>
      </c>
      <c r="J458" s="10">
        <v>0.5</v>
      </c>
      <c r="L458" s="10">
        <v>0</v>
      </c>
      <c r="M458" s="13">
        <v>0</v>
      </c>
      <c r="N458" s="13"/>
      <c r="O458" s="10">
        <v>0</v>
      </c>
      <c r="P458" s="10">
        <v>0</v>
      </c>
      <c r="Q458" s="14">
        <v>0</v>
      </c>
      <c r="R458" s="14">
        <v>0</v>
      </c>
      <c r="S458" s="10">
        <v>0</v>
      </c>
      <c r="T458" s="10">
        <v>0</v>
      </c>
      <c r="U458" s="14">
        <v>0</v>
      </c>
      <c r="V458" s="10"/>
      <c r="W458" s="11">
        <v>1</v>
      </c>
      <c r="X458" s="11">
        <v>1</v>
      </c>
      <c r="Y458" s="11">
        <v>0</v>
      </c>
      <c r="Z458" s="11">
        <v>0</v>
      </c>
      <c r="AA458" s="11">
        <f>MasterTable[[#This Row],[Landings
Night]]+MasterTable[[#This Row],[Landings
Day]]</f>
        <v>1</v>
      </c>
      <c r="AB458" s="10">
        <v>0</v>
      </c>
      <c r="AC458" s="10">
        <v>0</v>
      </c>
      <c r="AD458" s="11">
        <v>0</v>
      </c>
      <c r="AE458" s="21">
        <f>SUM(MasterTable[[#This Row],[ILS]:[PAR]])</f>
        <v>0</v>
      </c>
      <c r="AL458" s="11"/>
      <c r="AR458" s="140" t="str">
        <f>_xlfn.XLOOKUP(MasterTable[[#This Row],[Aircraft ID]],Aircraft!A:A,Aircraft!H:H)</f>
        <v>Airplane Single Engine Land</v>
      </c>
      <c r="AS458" s="8" t="b">
        <f>OR((SUM(MasterTable[[#This Row],[ILS]:[PAR]]) = MasterTable[[#This Row],[APPR]]))</f>
        <v>1</v>
      </c>
      <c r="AT458" s="8" t="b">
        <f>NOT(ISBLANK(MasterTable[[#This Row],[Total
Time]]))</f>
        <v>1</v>
      </c>
    </row>
    <row r="459" spans="4:46" ht="28.8" x14ac:dyDescent="0.3">
      <c r="D459" s="22">
        <v>44441</v>
      </c>
      <c r="E459" s="8" t="s">
        <v>174</v>
      </c>
      <c r="F459" s="8" t="s">
        <v>206</v>
      </c>
      <c r="G459" s="8" t="s">
        <v>207</v>
      </c>
      <c r="I459" s="10">
        <v>0.8</v>
      </c>
      <c r="J459" s="10">
        <v>0.8</v>
      </c>
      <c r="L459" s="10">
        <v>0</v>
      </c>
      <c r="M459" s="13">
        <v>0</v>
      </c>
      <c r="N459" s="13"/>
      <c r="P459" s="10">
        <v>0</v>
      </c>
      <c r="Q459" s="14">
        <v>0</v>
      </c>
      <c r="R459" s="14">
        <v>0</v>
      </c>
      <c r="S459" s="10">
        <v>0</v>
      </c>
      <c r="T459" s="10">
        <v>0</v>
      </c>
      <c r="U459" s="14">
        <v>0</v>
      </c>
      <c r="V459" s="10"/>
      <c r="W459" s="11">
        <v>2</v>
      </c>
      <c r="X459" s="11">
        <v>2</v>
      </c>
      <c r="Y459" s="11">
        <v>0</v>
      </c>
      <c r="Z459" s="11">
        <v>0</v>
      </c>
      <c r="AA459" s="11">
        <f>MasterTable[[#This Row],[Landings
Night]]+MasterTable[[#This Row],[Landings
Day]]</f>
        <v>2</v>
      </c>
      <c r="AB459" s="10">
        <v>0</v>
      </c>
      <c r="AC459" s="10">
        <v>0</v>
      </c>
      <c r="AD459" s="11">
        <v>0</v>
      </c>
      <c r="AE459" s="21">
        <f>SUM(MasterTable[[#This Row],[ILS]:[PAR]])</f>
        <v>0</v>
      </c>
      <c r="AL459" s="11"/>
      <c r="AR459" s="140" t="str">
        <f>_xlfn.XLOOKUP(MasterTable[[#This Row],[Aircraft ID]],Aircraft!A:A,Aircraft!H:H)</f>
        <v>Airplane Single Engine Land</v>
      </c>
      <c r="AS459" s="8" t="b">
        <f>OR((SUM(MasterTable[[#This Row],[ILS]:[PAR]]) = MasterTable[[#This Row],[APPR]]))</f>
        <v>1</v>
      </c>
      <c r="AT459" s="8" t="b">
        <f>NOT(ISBLANK(MasterTable[[#This Row],[Total
Time]]))</f>
        <v>1</v>
      </c>
    </row>
    <row r="460" spans="4:46" ht="28.8" x14ac:dyDescent="0.3">
      <c r="D460" s="22">
        <v>44440</v>
      </c>
      <c r="E460" s="8" t="s">
        <v>174</v>
      </c>
      <c r="F460" s="8" t="s">
        <v>206</v>
      </c>
      <c r="G460" s="8" t="s">
        <v>206</v>
      </c>
      <c r="H460" s="8" t="s">
        <v>253</v>
      </c>
      <c r="I460" s="10">
        <v>2.4</v>
      </c>
      <c r="J460" s="10">
        <v>2.4</v>
      </c>
      <c r="L460" s="10">
        <v>0</v>
      </c>
      <c r="M460" s="13">
        <v>0</v>
      </c>
      <c r="N460" s="13"/>
      <c r="O460" s="10">
        <v>0</v>
      </c>
      <c r="P460" s="10">
        <v>2</v>
      </c>
      <c r="Q460" s="14">
        <v>0</v>
      </c>
      <c r="R460" s="14">
        <v>0</v>
      </c>
      <c r="S460" s="10">
        <v>0</v>
      </c>
      <c r="T460" s="10">
        <v>0</v>
      </c>
      <c r="U460" s="14">
        <v>0</v>
      </c>
      <c r="V460" s="10">
        <v>0.4</v>
      </c>
      <c r="W460" s="11">
        <v>4</v>
      </c>
      <c r="X460" s="11">
        <v>4</v>
      </c>
      <c r="Y460" s="11">
        <v>0</v>
      </c>
      <c r="Z460" s="11">
        <v>0</v>
      </c>
      <c r="AA460" s="11">
        <f>MasterTable[[#This Row],[Landings
Night]]+MasterTable[[#This Row],[Landings
Day]]</f>
        <v>4</v>
      </c>
      <c r="AB460" s="10">
        <v>0</v>
      </c>
      <c r="AC460" s="10">
        <v>1.5</v>
      </c>
      <c r="AD460" s="11">
        <v>5</v>
      </c>
      <c r="AE460" s="21">
        <f>SUM(MasterTable[[#This Row],[ILS]:[PAR]])</f>
        <v>3</v>
      </c>
      <c r="AF460" s="11">
        <v>1</v>
      </c>
      <c r="AH460" s="11">
        <v>2</v>
      </c>
      <c r="AL460" s="11"/>
      <c r="AR460" s="140" t="str">
        <f>_xlfn.XLOOKUP(MasterTable[[#This Row],[Aircraft ID]],Aircraft!A:A,Aircraft!H:H)</f>
        <v>Airplane Single Engine Land</v>
      </c>
      <c r="AS460" s="8" t="b">
        <f>OR((SUM(MasterTable[[#This Row],[ILS]:[PAR]]) = MasterTable[[#This Row],[APPR]]))</f>
        <v>1</v>
      </c>
      <c r="AT460" s="8" t="b">
        <f>NOT(ISBLANK(MasterTable[[#This Row],[Total
Time]]))</f>
        <v>1</v>
      </c>
    </row>
    <row r="461" spans="4:46" ht="28.8" x14ac:dyDescent="0.3">
      <c r="D461" s="22">
        <v>44436</v>
      </c>
      <c r="E461" s="8" t="s">
        <v>174</v>
      </c>
      <c r="F461" s="8" t="s">
        <v>206</v>
      </c>
      <c r="G461" s="8" t="s">
        <v>206</v>
      </c>
      <c r="H461" s="8" t="s">
        <v>254</v>
      </c>
      <c r="I461" s="10">
        <v>1.8</v>
      </c>
      <c r="J461" s="10">
        <v>1.8</v>
      </c>
      <c r="L461" s="10">
        <v>0</v>
      </c>
      <c r="M461" s="13">
        <v>0</v>
      </c>
      <c r="N461" s="13"/>
      <c r="O461" s="10">
        <v>0</v>
      </c>
      <c r="P461" s="10">
        <v>1.8</v>
      </c>
      <c r="Q461" s="14">
        <v>0</v>
      </c>
      <c r="R461" s="14">
        <v>0</v>
      </c>
      <c r="S461" s="10">
        <v>0</v>
      </c>
      <c r="T461" s="10">
        <v>0</v>
      </c>
      <c r="U461" s="14">
        <v>0</v>
      </c>
      <c r="V461" s="10"/>
      <c r="W461" s="11">
        <v>1</v>
      </c>
      <c r="X461" s="11">
        <v>1</v>
      </c>
      <c r="Y461" s="11">
        <v>0</v>
      </c>
      <c r="Z461" s="11">
        <v>0</v>
      </c>
      <c r="AA461" s="11">
        <f>MasterTable[[#This Row],[Landings
Night]]+MasterTable[[#This Row],[Landings
Day]]</f>
        <v>1</v>
      </c>
      <c r="AB461" s="10">
        <v>0</v>
      </c>
      <c r="AC461" s="10">
        <v>1.3</v>
      </c>
      <c r="AD461" s="11">
        <v>3</v>
      </c>
      <c r="AE461" s="21">
        <f>SUM(MasterTable[[#This Row],[ILS]:[PAR]])</f>
        <v>3</v>
      </c>
      <c r="AF461" s="11">
        <v>1</v>
      </c>
      <c r="AG461" s="11">
        <v>1</v>
      </c>
      <c r="AH461" s="11">
        <v>1</v>
      </c>
      <c r="AL461" s="11"/>
      <c r="AR461" s="140" t="str">
        <f>_xlfn.XLOOKUP(MasterTable[[#This Row],[Aircraft ID]],Aircraft!A:A,Aircraft!H:H)</f>
        <v>Airplane Single Engine Land</v>
      </c>
      <c r="AS461" s="8" t="b">
        <f>OR((SUM(MasterTable[[#This Row],[ILS]:[PAR]]) = MasterTable[[#This Row],[APPR]]))</f>
        <v>1</v>
      </c>
      <c r="AT461" s="8" t="b">
        <f>NOT(ISBLANK(MasterTable[[#This Row],[Total
Time]]))</f>
        <v>1</v>
      </c>
    </row>
    <row r="462" spans="4:46" ht="28.8" x14ac:dyDescent="0.3">
      <c r="D462" s="22">
        <v>44430</v>
      </c>
      <c r="E462" s="8" t="s">
        <v>174</v>
      </c>
      <c r="F462" s="8" t="s">
        <v>206</v>
      </c>
      <c r="G462" s="8" t="s">
        <v>206</v>
      </c>
      <c r="I462" s="10">
        <v>1.5</v>
      </c>
      <c r="J462" s="10">
        <v>1.5</v>
      </c>
      <c r="L462" s="10">
        <v>0</v>
      </c>
      <c r="M462" s="13">
        <v>0</v>
      </c>
      <c r="N462" s="13"/>
      <c r="O462" s="10">
        <v>0</v>
      </c>
      <c r="P462" s="10">
        <v>1.5</v>
      </c>
      <c r="Q462" s="14">
        <v>0</v>
      </c>
      <c r="R462" s="14">
        <v>0</v>
      </c>
      <c r="S462" s="10">
        <v>0</v>
      </c>
      <c r="T462" s="10">
        <v>0</v>
      </c>
      <c r="U462" s="14">
        <v>0</v>
      </c>
      <c r="V462" s="10"/>
      <c r="W462" s="11">
        <v>1</v>
      </c>
      <c r="X462" s="11">
        <v>1</v>
      </c>
      <c r="Y462" s="11">
        <v>0</v>
      </c>
      <c r="Z462" s="11">
        <v>0</v>
      </c>
      <c r="AA462" s="11">
        <f>MasterTable[[#This Row],[Landings
Night]]+MasterTable[[#This Row],[Landings
Day]]</f>
        <v>1</v>
      </c>
      <c r="AB462" s="10">
        <v>0</v>
      </c>
      <c r="AC462" s="10">
        <v>0.8</v>
      </c>
      <c r="AD462" s="11">
        <v>2</v>
      </c>
      <c r="AE462" s="21">
        <f>SUM(MasterTable[[#This Row],[ILS]:[PAR]])</f>
        <v>2</v>
      </c>
      <c r="AF462" s="11">
        <v>1</v>
      </c>
      <c r="AH462" s="11">
        <v>1</v>
      </c>
      <c r="AL462" s="11">
        <v>1</v>
      </c>
      <c r="AR462" s="140" t="str">
        <f>_xlfn.XLOOKUP(MasterTable[[#This Row],[Aircraft ID]],Aircraft!A:A,Aircraft!H:H)</f>
        <v>Airplane Single Engine Land</v>
      </c>
      <c r="AS462" s="8" t="b">
        <f>OR((SUM(MasterTable[[#This Row],[ILS]:[PAR]]) = MasterTable[[#This Row],[APPR]]))</f>
        <v>1</v>
      </c>
      <c r="AT462" s="8" t="b">
        <f>NOT(ISBLANK(MasterTable[[#This Row],[Total
Time]]))</f>
        <v>1</v>
      </c>
    </row>
    <row r="463" spans="4:46" ht="28.8" x14ac:dyDescent="0.3">
      <c r="D463" s="22">
        <v>44428</v>
      </c>
      <c r="E463" s="8" t="s">
        <v>174</v>
      </c>
      <c r="F463" s="8" t="s">
        <v>222</v>
      </c>
      <c r="G463" s="8" t="s">
        <v>206</v>
      </c>
      <c r="H463" s="8" t="s">
        <v>255</v>
      </c>
      <c r="I463" s="10">
        <v>1.5</v>
      </c>
      <c r="J463" s="10">
        <v>1.5</v>
      </c>
      <c r="L463" s="10">
        <v>0</v>
      </c>
      <c r="M463" s="13">
        <v>0</v>
      </c>
      <c r="N463" s="13"/>
      <c r="O463" s="10">
        <v>0</v>
      </c>
      <c r="P463" s="10">
        <v>0</v>
      </c>
      <c r="Q463" s="14">
        <v>0</v>
      </c>
      <c r="R463" s="14">
        <v>0</v>
      </c>
      <c r="S463" s="10">
        <v>0</v>
      </c>
      <c r="T463" s="10">
        <v>0</v>
      </c>
      <c r="U463" s="14">
        <v>0</v>
      </c>
      <c r="V463" s="10"/>
      <c r="W463" s="11">
        <v>2</v>
      </c>
      <c r="X463" s="11">
        <v>2</v>
      </c>
      <c r="Y463" s="11">
        <v>0</v>
      </c>
      <c r="Z463" s="11">
        <v>0</v>
      </c>
      <c r="AA463" s="11">
        <f>MasterTable[[#This Row],[Landings
Night]]+MasterTable[[#This Row],[Landings
Day]]</f>
        <v>2</v>
      </c>
      <c r="AB463" s="10">
        <v>0</v>
      </c>
      <c r="AC463" s="10">
        <v>0.7</v>
      </c>
      <c r="AD463" s="11">
        <v>0</v>
      </c>
      <c r="AE463" s="21">
        <f>SUM(MasterTable[[#This Row],[ILS]:[PAR]])</f>
        <v>2</v>
      </c>
      <c r="AF463" s="11">
        <v>1</v>
      </c>
      <c r="AH463" s="11">
        <v>1</v>
      </c>
      <c r="AL463" s="11"/>
      <c r="AR463" s="140" t="str">
        <f>_xlfn.XLOOKUP(MasterTable[[#This Row],[Aircraft ID]],Aircraft!A:A,Aircraft!H:H)</f>
        <v>Airplane Single Engine Land</v>
      </c>
      <c r="AS463" s="8" t="b">
        <f>OR((SUM(MasterTable[[#This Row],[ILS]:[PAR]]) = MasterTable[[#This Row],[APPR]]))</f>
        <v>1</v>
      </c>
      <c r="AT463" s="8" t="b">
        <f>NOT(ISBLANK(MasterTable[[#This Row],[Total
Time]]))</f>
        <v>1</v>
      </c>
    </row>
    <row r="464" spans="4:46" ht="28.8" x14ac:dyDescent="0.3">
      <c r="D464" s="22">
        <v>44428</v>
      </c>
      <c r="E464" s="8" t="s">
        <v>174</v>
      </c>
      <c r="F464" s="8" t="s">
        <v>206</v>
      </c>
      <c r="G464" s="8" t="s">
        <v>222</v>
      </c>
      <c r="I464" s="10">
        <v>0.7</v>
      </c>
      <c r="J464" s="10">
        <v>0.7</v>
      </c>
      <c r="L464" s="10">
        <v>0</v>
      </c>
      <c r="M464" s="13">
        <v>0</v>
      </c>
      <c r="N464" s="13"/>
      <c r="O464" s="10">
        <v>0</v>
      </c>
      <c r="P464" s="10">
        <v>0</v>
      </c>
      <c r="Q464" s="14">
        <v>0</v>
      </c>
      <c r="R464" s="14">
        <v>0</v>
      </c>
      <c r="S464" s="10">
        <v>0</v>
      </c>
      <c r="T464" s="10">
        <v>0</v>
      </c>
      <c r="U464" s="14">
        <v>0</v>
      </c>
      <c r="V464" s="10"/>
      <c r="W464" s="11">
        <v>1</v>
      </c>
      <c r="X464" s="11">
        <v>1</v>
      </c>
      <c r="Y464" s="11">
        <v>0</v>
      </c>
      <c r="Z464" s="11">
        <v>0</v>
      </c>
      <c r="AA464" s="11">
        <f>MasterTable[[#This Row],[Landings
Night]]+MasterTable[[#This Row],[Landings
Day]]</f>
        <v>1</v>
      </c>
      <c r="AB464" s="10">
        <v>0</v>
      </c>
      <c r="AC464" s="10">
        <v>0</v>
      </c>
      <c r="AD464" s="11">
        <v>0</v>
      </c>
      <c r="AE464" s="21">
        <f>SUM(MasterTable[[#This Row],[ILS]:[PAR]])</f>
        <v>0</v>
      </c>
      <c r="AL464" s="11"/>
      <c r="AR464" s="140" t="str">
        <f>_xlfn.XLOOKUP(MasterTable[[#This Row],[Aircraft ID]],Aircraft!A:A,Aircraft!H:H)</f>
        <v>Airplane Single Engine Land</v>
      </c>
      <c r="AS464" s="8" t="b">
        <f>OR((SUM(MasterTable[[#This Row],[ILS]:[PAR]]) = MasterTable[[#This Row],[APPR]]))</f>
        <v>1</v>
      </c>
      <c r="AT464" s="8" t="b">
        <f>NOT(ISBLANK(MasterTable[[#This Row],[Total
Time]]))</f>
        <v>1</v>
      </c>
    </row>
    <row r="465" spans="4:46" ht="28.8" x14ac:dyDescent="0.3">
      <c r="D465" s="22">
        <v>44416</v>
      </c>
      <c r="E465" s="8" t="s">
        <v>174</v>
      </c>
      <c r="F465" s="8" t="s">
        <v>202</v>
      </c>
      <c r="G465" s="8" t="s">
        <v>206</v>
      </c>
      <c r="I465" s="10">
        <v>2</v>
      </c>
      <c r="J465" s="10">
        <v>2</v>
      </c>
      <c r="L465" s="10">
        <v>0</v>
      </c>
      <c r="M465" s="13">
        <v>0</v>
      </c>
      <c r="N465" s="13"/>
      <c r="O465" s="10">
        <v>0</v>
      </c>
      <c r="P465" s="10">
        <v>0</v>
      </c>
      <c r="Q465" s="14">
        <v>0</v>
      </c>
      <c r="R465" s="14">
        <v>0</v>
      </c>
      <c r="S465" s="10">
        <v>0</v>
      </c>
      <c r="T465" s="10">
        <v>2</v>
      </c>
      <c r="U465" s="14">
        <v>0</v>
      </c>
      <c r="V465" s="10"/>
      <c r="W465" s="11">
        <v>1</v>
      </c>
      <c r="X465" s="11">
        <v>1</v>
      </c>
      <c r="Y465" s="11">
        <v>0</v>
      </c>
      <c r="Z465" s="11">
        <v>0</v>
      </c>
      <c r="AA465" s="11">
        <f>MasterTable[[#This Row],[Landings
Night]]+MasterTable[[#This Row],[Landings
Day]]</f>
        <v>1</v>
      </c>
      <c r="AB465" s="10">
        <v>0</v>
      </c>
      <c r="AC465" s="10">
        <v>0</v>
      </c>
      <c r="AD465" s="11">
        <v>0</v>
      </c>
      <c r="AE465" s="21">
        <f>SUM(MasterTable[[#This Row],[ILS]:[PAR]])</f>
        <v>0</v>
      </c>
      <c r="AL465" s="11"/>
      <c r="AR465" s="140" t="str">
        <f>_xlfn.XLOOKUP(MasterTable[[#This Row],[Aircraft ID]],Aircraft!A:A,Aircraft!H:H)</f>
        <v>Airplane Single Engine Land</v>
      </c>
      <c r="AS465" s="8" t="b">
        <f>OR((SUM(MasterTable[[#This Row],[ILS]:[PAR]]) = MasterTable[[#This Row],[APPR]]))</f>
        <v>1</v>
      </c>
      <c r="AT465" s="8" t="b">
        <f>NOT(ISBLANK(MasterTable[[#This Row],[Total
Time]]))</f>
        <v>1</v>
      </c>
    </row>
    <row r="466" spans="4:46" ht="28.8" x14ac:dyDescent="0.3">
      <c r="D466" s="22">
        <v>44415</v>
      </c>
      <c r="E466" s="8" t="s">
        <v>174</v>
      </c>
      <c r="F466" s="8" t="s">
        <v>202</v>
      </c>
      <c r="G466" s="8" t="s">
        <v>202</v>
      </c>
      <c r="I466" s="10">
        <v>1.2</v>
      </c>
      <c r="J466" s="10">
        <v>1.2</v>
      </c>
      <c r="L466" s="10">
        <v>0</v>
      </c>
      <c r="M466" s="13">
        <v>0</v>
      </c>
      <c r="N466" s="13"/>
      <c r="O466" s="10">
        <v>0</v>
      </c>
      <c r="P466" s="10">
        <v>0</v>
      </c>
      <c r="Q466" s="14">
        <v>0</v>
      </c>
      <c r="R466" s="14">
        <v>0</v>
      </c>
      <c r="S466" s="10">
        <v>0</v>
      </c>
      <c r="T466" s="10">
        <v>0</v>
      </c>
      <c r="U466" s="14">
        <v>0</v>
      </c>
      <c r="V466" s="10"/>
      <c r="W466" s="11">
        <v>1</v>
      </c>
      <c r="X466" s="11">
        <v>1</v>
      </c>
      <c r="Y466" s="11">
        <v>0</v>
      </c>
      <c r="Z466" s="11">
        <v>0</v>
      </c>
      <c r="AA466" s="11">
        <f>MasterTable[[#This Row],[Landings
Night]]+MasterTable[[#This Row],[Landings
Day]]</f>
        <v>1</v>
      </c>
      <c r="AC466" s="10">
        <v>1</v>
      </c>
      <c r="AD466" s="11">
        <v>2</v>
      </c>
      <c r="AE466" s="21">
        <f>SUM(MasterTable[[#This Row],[ILS]:[PAR]])</f>
        <v>2</v>
      </c>
      <c r="AG466" s="11">
        <v>1</v>
      </c>
      <c r="AH466" s="11">
        <v>1</v>
      </c>
      <c r="AL466" s="11">
        <v>1</v>
      </c>
      <c r="AR466" s="140" t="str">
        <f>_xlfn.XLOOKUP(MasterTable[[#This Row],[Aircraft ID]],Aircraft!A:A,Aircraft!H:H)</f>
        <v>Airplane Single Engine Land</v>
      </c>
      <c r="AS466" s="8" t="b">
        <f>OR((SUM(MasterTable[[#This Row],[ILS]:[PAR]]) = MasterTable[[#This Row],[APPR]]))</f>
        <v>1</v>
      </c>
      <c r="AT466" s="8" t="b">
        <f>NOT(ISBLANK(MasterTable[[#This Row],[Total
Time]]))</f>
        <v>1</v>
      </c>
    </row>
    <row r="467" spans="4:46" ht="28.8" x14ac:dyDescent="0.3">
      <c r="D467" s="22">
        <v>44414</v>
      </c>
      <c r="E467" s="8" t="s">
        <v>174</v>
      </c>
      <c r="F467" s="8" t="s">
        <v>206</v>
      </c>
      <c r="G467" s="8" t="s">
        <v>202</v>
      </c>
      <c r="I467" s="10">
        <v>2.1</v>
      </c>
      <c r="J467" s="10">
        <v>2.1</v>
      </c>
      <c r="L467" s="10">
        <v>0</v>
      </c>
      <c r="M467" s="13">
        <v>0</v>
      </c>
      <c r="N467" s="13"/>
      <c r="O467" s="10">
        <v>0</v>
      </c>
      <c r="P467" s="10">
        <v>2.1</v>
      </c>
      <c r="Q467" s="14">
        <v>0</v>
      </c>
      <c r="R467" s="14">
        <v>0</v>
      </c>
      <c r="T467" s="10">
        <v>2.1</v>
      </c>
      <c r="U467" s="14">
        <v>0</v>
      </c>
      <c r="V467" s="10"/>
      <c r="W467" s="11">
        <v>1</v>
      </c>
      <c r="X467" s="11">
        <v>1</v>
      </c>
      <c r="Y467" s="11">
        <v>0</v>
      </c>
      <c r="Z467" s="11">
        <v>0</v>
      </c>
      <c r="AA467" s="11">
        <f>MasterTable[[#This Row],[Landings
Night]]+MasterTable[[#This Row],[Landings
Day]]</f>
        <v>1</v>
      </c>
      <c r="AB467" s="10">
        <v>0</v>
      </c>
      <c r="AC467" s="10">
        <v>0.3</v>
      </c>
      <c r="AD467" s="11">
        <v>0</v>
      </c>
      <c r="AE467" s="21">
        <f>SUM(MasterTable[[#This Row],[ILS]:[PAR]])</f>
        <v>1</v>
      </c>
      <c r="AF467" s="11">
        <v>1</v>
      </c>
      <c r="AL467" s="11"/>
      <c r="AR467" s="140" t="str">
        <f>_xlfn.XLOOKUP(MasterTable[[#This Row],[Aircraft ID]],Aircraft!A:A,Aircraft!H:H)</f>
        <v>Airplane Single Engine Land</v>
      </c>
      <c r="AS467" s="8" t="b">
        <f>OR((SUM(MasterTable[[#This Row],[ILS]:[PAR]]) = MasterTable[[#This Row],[APPR]]))</f>
        <v>1</v>
      </c>
      <c r="AT467" s="8" t="b">
        <f>NOT(ISBLANK(MasterTable[[#This Row],[Total
Time]]))</f>
        <v>1</v>
      </c>
    </row>
    <row r="468" spans="4:46" ht="28.8" x14ac:dyDescent="0.3">
      <c r="D468" s="22">
        <v>44393</v>
      </c>
      <c r="E468" s="8" t="s">
        <v>76</v>
      </c>
      <c r="F468" s="8" t="s">
        <v>206</v>
      </c>
      <c r="G468" s="8" t="s">
        <v>207</v>
      </c>
      <c r="I468" s="10">
        <v>0.5</v>
      </c>
      <c r="J468" s="10">
        <v>0.5</v>
      </c>
      <c r="L468" s="10">
        <v>0</v>
      </c>
      <c r="M468" s="13">
        <v>0</v>
      </c>
      <c r="N468" s="13"/>
      <c r="O468" s="10">
        <v>0</v>
      </c>
      <c r="P468" s="10">
        <v>0</v>
      </c>
      <c r="Q468" s="14">
        <v>0</v>
      </c>
      <c r="R468" s="14">
        <v>0</v>
      </c>
      <c r="S468" s="10">
        <v>0</v>
      </c>
      <c r="T468" s="10">
        <v>0</v>
      </c>
      <c r="U468" s="14">
        <v>0</v>
      </c>
      <c r="V468" s="10"/>
      <c r="W468" s="11">
        <v>1</v>
      </c>
      <c r="X468" s="11">
        <v>1</v>
      </c>
      <c r="Y468" s="11">
        <v>0</v>
      </c>
      <c r="Z468" s="11">
        <v>0</v>
      </c>
      <c r="AA468" s="11">
        <f>MasterTable[[#This Row],[Landings
Night]]+MasterTable[[#This Row],[Landings
Day]]</f>
        <v>1</v>
      </c>
      <c r="AB468" s="10">
        <v>0</v>
      </c>
      <c r="AC468" s="10">
        <v>0</v>
      </c>
      <c r="AD468" s="11">
        <v>0</v>
      </c>
      <c r="AE468" s="21">
        <f>SUM(MasterTable[[#This Row],[ILS]:[PAR]])</f>
        <v>0</v>
      </c>
      <c r="AL468" s="11"/>
      <c r="AR468" s="140" t="str">
        <f>_xlfn.XLOOKUP(MasterTable[[#This Row],[Aircraft ID]],Aircraft!A:A,Aircraft!H:H)</f>
        <v>Airplane Single Engine Land</v>
      </c>
      <c r="AS468" s="8" t="b">
        <f>OR((SUM(MasterTable[[#This Row],[ILS]:[PAR]]) = MasterTable[[#This Row],[APPR]]))</f>
        <v>1</v>
      </c>
      <c r="AT468" s="8" t="b">
        <f>NOT(ISBLANK(MasterTable[[#This Row],[Total
Time]]))</f>
        <v>1</v>
      </c>
    </row>
    <row r="469" spans="4:46" ht="28.8" x14ac:dyDescent="0.3">
      <c r="D469" s="22">
        <v>44356</v>
      </c>
      <c r="E469" s="8" t="s">
        <v>75</v>
      </c>
      <c r="F469" s="8" t="s">
        <v>204</v>
      </c>
      <c r="G469" s="8" t="s">
        <v>204</v>
      </c>
      <c r="I469" s="10">
        <v>1.4</v>
      </c>
      <c r="J469" s="10">
        <v>1.4</v>
      </c>
      <c r="L469" s="10">
        <v>0</v>
      </c>
      <c r="M469" s="13">
        <v>0</v>
      </c>
      <c r="N469" s="13"/>
      <c r="O469" s="10">
        <v>1.4</v>
      </c>
      <c r="P469" s="10">
        <v>0</v>
      </c>
      <c r="Q469" s="14">
        <v>0</v>
      </c>
      <c r="R469" s="14">
        <v>0</v>
      </c>
      <c r="S469" s="10">
        <v>0</v>
      </c>
      <c r="T469" s="10">
        <v>0</v>
      </c>
      <c r="U469" s="14">
        <v>0</v>
      </c>
      <c r="V469" s="10"/>
      <c r="W469" s="11">
        <v>6</v>
      </c>
      <c r="X469" s="11">
        <v>6</v>
      </c>
      <c r="Y469" s="11">
        <v>0</v>
      </c>
      <c r="Z469" s="11">
        <v>0</v>
      </c>
      <c r="AA469" s="11">
        <f>MasterTable[[#This Row],[Landings
Night]]+MasterTable[[#This Row],[Landings
Day]]</f>
        <v>6</v>
      </c>
      <c r="AB469" s="10">
        <v>0</v>
      </c>
      <c r="AC469" s="10">
        <v>0</v>
      </c>
      <c r="AD469" s="11">
        <v>0</v>
      </c>
      <c r="AE469" s="21">
        <f>SUM(MasterTable[[#This Row],[ILS]:[PAR]])</f>
        <v>0</v>
      </c>
      <c r="AL469" s="11"/>
      <c r="AR469" s="140" t="str">
        <f>_xlfn.XLOOKUP(MasterTable[[#This Row],[Aircraft ID]],Aircraft!A:A,Aircraft!H:H)</f>
        <v>Airplane Single Engine Land</v>
      </c>
      <c r="AS469" s="8" t="b">
        <f>OR((SUM(MasterTable[[#This Row],[ILS]:[PAR]]) = MasterTable[[#This Row],[APPR]]))</f>
        <v>1</v>
      </c>
      <c r="AT469" s="8" t="b">
        <f>NOT(ISBLANK(MasterTable[[#This Row],[Total
Time]]))</f>
        <v>1</v>
      </c>
    </row>
    <row r="470" spans="4:46" ht="28.8" x14ac:dyDescent="0.3">
      <c r="D470" s="22">
        <v>44354</v>
      </c>
      <c r="E470" s="8" t="s">
        <v>121</v>
      </c>
      <c r="F470" s="8" t="s">
        <v>204</v>
      </c>
      <c r="G470" s="8" t="s">
        <v>256</v>
      </c>
      <c r="I470" s="10">
        <v>0.9</v>
      </c>
      <c r="J470" s="10">
        <v>0.9</v>
      </c>
      <c r="L470" s="10">
        <v>0</v>
      </c>
      <c r="M470" s="13">
        <v>0</v>
      </c>
      <c r="N470" s="13"/>
      <c r="O470" s="10">
        <v>0.9</v>
      </c>
      <c r="P470" s="10">
        <v>0</v>
      </c>
      <c r="Q470" s="14">
        <v>0</v>
      </c>
      <c r="R470" s="14">
        <v>0</v>
      </c>
      <c r="S470" s="10">
        <v>0</v>
      </c>
      <c r="T470" s="10">
        <v>0</v>
      </c>
      <c r="U470" s="14">
        <v>0</v>
      </c>
      <c r="V470" s="10"/>
      <c r="W470" s="11">
        <v>3</v>
      </c>
      <c r="X470" s="11">
        <v>3</v>
      </c>
      <c r="Y470" s="11">
        <v>0</v>
      </c>
      <c r="Z470" s="11">
        <v>0</v>
      </c>
      <c r="AA470" s="11">
        <f>MasterTable[[#This Row],[Landings
Night]]+MasterTable[[#This Row],[Landings
Day]]</f>
        <v>3</v>
      </c>
      <c r="AB470" s="10">
        <v>0</v>
      </c>
      <c r="AC470" s="10">
        <v>0</v>
      </c>
      <c r="AD470" s="11">
        <v>0</v>
      </c>
      <c r="AE470" s="21">
        <f>SUM(MasterTable[[#This Row],[ILS]:[PAR]])</f>
        <v>0</v>
      </c>
      <c r="AL470" s="11"/>
      <c r="AR470" s="140" t="str">
        <f>_xlfn.XLOOKUP(MasterTable[[#This Row],[Aircraft ID]],Aircraft!A:A,Aircraft!H:H)</f>
        <v>Airplane Single Engine Land</v>
      </c>
      <c r="AS470" s="8" t="b">
        <f>OR((SUM(MasterTable[[#This Row],[ILS]:[PAR]]) = MasterTable[[#This Row],[APPR]]))</f>
        <v>1</v>
      </c>
      <c r="AT470" s="8" t="b">
        <f>NOT(ISBLANK(MasterTable[[#This Row],[Total
Time]]))</f>
        <v>1</v>
      </c>
    </row>
    <row r="471" spans="4:46" ht="28.8" x14ac:dyDescent="0.3">
      <c r="D471" s="22">
        <v>44352</v>
      </c>
      <c r="E471" s="8" t="s">
        <v>121</v>
      </c>
      <c r="F471" s="8" t="s">
        <v>204</v>
      </c>
      <c r="G471" s="8" t="s">
        <v>204</v>
      </c>
      <c r="I471" s="10">
        <v>1.3</v>
      </c>
      <c r="J471" s="10">
        <v>1.3</v>
      </c>
      <c r="L471" s="10">
        <v>0</v>
      </c>
      <c r="M471" s="13">
        <v>0</v>
      </c>
      <c r="N471" s="13"/>
      <c r="O471" s="10">
        <v>0</v>
      </c>
      <c r="P471" s="10">
        <v>0</v>
      </c>
      <c r="Q471" s="14">
        <v>0</v>
      </c>
      <c r="R471" s="14">
        <v>0</v>
      </c>
      <c r="S471" s="10">
        <v>0</v>
      </c>
      <c r="T471" s="10">
        <v>0</v>
      </c>
      <c r="U471" s="14">
        <v>0</v>
      </c>
      <c r="V471" s="10">
        <v>1.2</v>
      </c>
      <c r="W471" s="11">
        <v>1</v>
      </c>
      <c r="X471" s="11">
        <v>1</v>
      </c>
      <c r="Y471" s="11">
        <v>0</v>
      </c>
      <c r="Z471" s="11">
        <v>0</v>
      </c>
      <c r="AA471" s="11">
        <f>MasterTable[[#This Row],[Landings
Night]]+MasterTable[[#This Row],[Landings
Day]]</f>
        <v>1</v>
      </c>
      <c r="AB471" s="10">
        <v>0</v>
      </c>
      <c r="AC471" s="10">
        <v>0</v>
      </c>
      <c r="AD471" s="11">
        <v>0</v>
      </c>
      <c r="AE471" s="21">
        <f>SUM(MasterTable[[#This Row],[ILS]:[PAR]])</f>
        <v>0</v>
      </c>
      <c r="AL471" s="11"/>
      <c r="AR471" s="140" t="str">
        <f>_xlfn.XLOOKUP(MasterTable[[#This Row],[Aircraft ID]],Aircraft!A:A,Aircraft!H:H)</f>
        <v>Airplane Single Engine Land</v>
      </c>
      <c r="AS471" s="8" t="b">
        <f>OR((SUM(MasterTable[[#This Row],[ILS]:[PAR]]) = MasterTable[[#This Row],[APPR]]))</f>
        <v>1</v>
      </c>
      <c r="AT471" s="8" t="b">
        <f>NOT(ISBLANK(MasterTable[[#This Row],[Total
Time]]))</f>
        <v>1</v>
      </c>
    </row>
    <row r="472" spans="4:46" ht="28.8" x14ac:dyDescent="0.3">
      <c r="D472" s="22">
        <v>44352</v>
      </c>
      <c r="E472" s="8" t="s">
        <v>75</v>
      </c>
      <c r="F472" s="8" t="s">
        <v>204</v>
      </c>
      <c r="G472" s="8" t="s">
        <v>214</v>
      </c>
      <c r="I472" s="10">
        <v>0.5</v>
      </c>
      <c r="J472" s="10">
        <v>0.5</v>
      </c>
      <c r="L472" s="10">
        <v>0</v>
      </c>
      <c r="M472" s="13">
        <v>0</v>
      </c>
      <c r="N472" s="13"/>
      <c r="O472" s="10">
        <v>0</v>
      </c>
      <c r="P472" s="10">
        <v>0</v>
      </c>
      <c r="Q472" s="14">
        <v>0</v>
      </c>
      <c r="R472" s="14">
        <v>0</v>
      </c>
      <c r="S472" s="10">
        <v>0</v>
      </c>
      <c r="T472" s="10">
        <v>0</v>
      </c>
      <c r="U472" s="14">
        <v>0</v>
      </c>
      <c r="V472" s="10"/>
      <c r="W472" s="11">
        <v>1</v>
      </c>
      <c r="X472" s="11">
        <v>1</v>
      </c>
      <c r="Y472" s="11">
        <v>0</v>
      </c>
      <c r="Z472" s="11">
        <v>0</v>
      </c>
      <c r="AA472" s="11">
        <f>MasterTable[[#This Row],[Landings
Night]]+MasterTable[[#This Row],[Landings
Day]]</f>
        <v>1</v>
      </c>
      <c r="AB472" s="10">
        <v>0</v>
      </c>
      <c r="AC472" s="10">
        <v>0</v>
      </c>
      <c r="AD472" s="11">
        <v>0</v>
      </c>
      <c r="AE472" s="21">
        <f>SUM(MasterTable[[#This Row],[ILS]:[PAR]])</f>
        <v>0</v>
      </c>
      <c r="AL472" s="11"/>
      <c r="AR472" s="140" t="str">
        <f>_xlfn.XLOOKUP(MasterTable[[#This Row],[Aircraft ID]],Aircraft!A:A,Aircraft!H:H)</f>
        <v>Airplane Single Engine Land</v>
      </c>
      <c r="AS472" s="8" t="b">
        <f>OR((SUM(MasterTable[[#This Row],[ILS]:[PAR]]) = MasterTable[[#This Row],[APPR]]))</f>
        <v>1</v>
      </c>
      <c r="AT472" s="8" t="b">
        <f>NOT(ISBLANK(MasterTable[[#This Row],[Total
Time]]))</f>
        <v>1</v>
      </c>
    </row>
    <row r="473" spans="4:46" ht="28.8" x14ac:dyDescent="0.3">
      <c r="D473" s="22">
        <v>44351</v>
      </c>
      <c r="E473" s="8" t="s">
        <v>75</v>
      </c>
      <c r="F473" s="8" t="s">
        <v>204</v>
      </c>
      <c r="G473" s="8" t="s">
        <v>204</v>
      </c>
      <c r="I473" s="10">
        <v>1.7</v>
      </c>
      <c r="J473" s="10">
        <v>1.7</v>
      </c>
      <c r="L473" s="10">
        <v>0</v>
      </c>
      <c r="M473" s="13">
        <v>0</v>
      </c>
      <c r="N473" s="13"/>
      <c r="O473" s="10">
        <v>1.7</v>
      </c>
      <c r="P473" s="10">
        <v>0</v>
      </c>
      <c r="Q473" s="14">
        <v>0</v>
      </c>
      <c r="R473" s="14">
        <v>0</v>
      </c>
      <c r="S473" s="10">
        <v>0</v>
      </c>
      <c r="T473" s="10">
        <v>0</v>
      </c>
      <c r="U473" s="14">
        <v>0</v>
      </c>
      <c r="V473" s="10"/>
      <c r="W473" s="11">
        <v>3</v>
      </c>
      <c r="X473" s="11">
        <v>3</v>
      </c>
      <c r="Y473" s="11">
        <v>0</v>
      </c>
      <c r="Z473" s="11">
        <v>0</v>
      </c>
      <c r="AA473" s="11">
        <f>MasterTable[[#This Row],[Landings
Night]]+MasterTable[[#This Row],[Landings
Day]]</f>
        <v>3</v>
      </c>
      <c r="AB473" s="10">
        <v>0</v>
      </c>
      <c r="AC473" s="10">
        <v>0</v>
      </c>
      <c r="AD473" s="11">
        <v>0</v>
      </c>
      <c r="AE473" s="21">
        <f>SUM(MasterTable[[#This Row],[ILS]:[PAR]])</f>
        <v>0</v>
      </c>
      <c r="AL473" s="11"/>
      <c r="AR473" s="140" t="str">
        <f>_xlfn.XLOOKUP(MasterTable[[#This Row],[Aircraft ID]],Aircraft!A:A,Aircraft!H:H)</f>
        <v>Airplane Single Engine Land</v>
      </c>
      <c r="AS473" s="8" t="b">
        <f>OR((SUM(MasterTable[[#This Row],[ILS]:[PAR]]) = MasterTable[[#This Row],[APPR]]))</f>
        <v>1</v>
      </c>
      <c r="AT473" s="8" t="b">
        <f>NOT(ISBLANK(MasterTable[[#This Row],[Total
Time]]))</f>
        <v>1</v>
      </c>
    </row>
    <row r="474" spans="4:46" ht="28.8" x14ac:dyDescent="0.3">
      <c r="D474" s="22">
        <v>44350</v>
      </c>
      <c r="E474" s="8" t="s">
        <v>121</v>
      </c>
      <c r="F474" s="8" t="s">
        <v>204</v>
      </c>
      <c r="G474" s="8" t="s">
        <v>204</v>
      </c>
      <c r="I474" s="10">
        <v>0.9</v>
      </c>
      <c r="J474" s="10">
        <v>0.9</v>
      </c>
      <c r="L474" s="10">
        <v>0</v>
      </c>
      <c r="M474" s="13">
        <v>0</v>
      </c>
      <c r="N474" s="13"/>
      <c r="O474" s="10">
        <v>0.9</v>
      </c>
      <c r="P474" s="10">
        <v>0</v>
      </c>
      <c r="Q474" s="14">
        <v>0</v>
      </c>
      <c r="R474" s="14">
        <v>0</v>
      </c>
      <c r="S474" s="10">
        <v>0</v>
      </c>
      <c r="T474" s="10">
        <v>0</v>
      </c>
      <c r="U474" s="14">
        <v>0</v>
      </c>
      <c r="V474" s="10"/>
      <c r="W474" s="11">
        <v>1</v>
      </c>
      <c r="X474" s="11">
        <v>1</v>
      </c>
      <c r="Y474" s="11">
        <v>0</v>
      </c>
      <c r="Z474" s="11">
        <v>0</v>
      </c>
      <c r="AA474" s="11">
        <f>MasterTable[[#This Row],[Landings
Night]]+MasterTable[[#This Row],[Landings
Day]]</f>
        <v>1</v>
      </c>
      <c r="AB474" s="10">
        <v>0</v>
      </c>
      <c r="AC474" s="10">
        <v>0</v>
      </c>
      <c r="AD474" s="11">
        <v>0</v>
      </c>
      <c r="AE474" s="21">
        <f>SUM(MasterTable[[#This Row],[ILS]:[PAR]])</f>
        <v>0</v>
      </c>
      <c r="AL474" s="11"/>
      <c r="AR474" s="140" t="str">
        <f>_xlfn.XLOOKUP(MasterTable[[#This Row],[Aircraft ID]],Aircraft!A:A,Aircraft!H:H)</f>
        <v>Airplane Single Engine Land</v>
      </c>
      <c r="AS474" s="8" t="b">
        <f>OR((SUM(MasterTable[[#This Row],[ILS]:[PAR]]) = MasterTable[[#This Row],[APPR]]))</f>
        <v>1</v>
      </c>
      <c r="AT474" s="8" t="b">
        <f>NOT(ISBLANK(MasterTable[[#This Row],[Total
Time]]))</f>
        <v>1</v>
      </c>
    </row>
    <row r="475" spans="4:46" ht="28.8" x14ac:dyDescent="0.3">
      <c r="D475" s="22">
        <v>44349</v>
      </c>
      <c r="E475" s="8" t="s">
        <v>121</v>
      </c>
      <c r="F475" s="8" t="s">
        <v>204</v>
      </c>
      <c r="G475" s="8" t="s">
        <v>204</v>
      </c>
      <c r="I475" s="10">
        <v>0.6</v>
      </c>
      <c r="J475" s="10">
        <v>0.6</v>
      </c>
      <c r="L475" s="10">
        <v>0</v>
      </c>
      <c r="M475" s="13">
        <v>0</v>
      </c>
      <c r="N475" s="13"/>
      <c r="O475" s="10">
        <v>0.6</v>
      </c>
      <c r="P475" s="10">
        <v>0</v>
      </c>
      <c r="Q475" s="14">
        <v>0</v>
      </c>
      <c r="R475" s="14">
        <v>0</v>
      </c>
      <c r="S475" s="10">
        <v>0</v>
      </c>
      <c r="T475" s="10">
        <v>0</v>
      </c>
      <c r="U475" s="14">
        <v>0</v>
      </c>
      <c r="V475" s="10"/>
      <c r="W475" s="11">
        <v>1</v>
      </c>
      <c r="X475" s="11">
        <v>1</v>
      </c>
      <c r="Y475" s="11">
        <v>0</v>
      </c>
      <c r="Z475" s="11">
        <v>0</v>
      </c>
      <c r="AA475" s="11">
        <f>MasterTable[[#This Row],[Landings
Night]]+MasterTable[[#This Row],[Landings
Day]]</f>
        <v>1</v>
      </c>
      <c r="AB475" s="10">
        <v>0</v>
      </c>
      <c r="AC475" s="10">
        <v>0</v>
      </c>
      <c r="AD475" s="11">
        <v>0</v>
      </c>
      <c r="AE475" s="21">
        <f>SUM(MasterTable[[#This Row],[ILS]:[PAR]])</f>
        <v>0</v>
      </c>
      <c r="AL475" s="11"/>
      <c r="AR475" s="140" t="str">
        <f>_xlfn.XLOOKUP(MasterTable[[#This Row],[Aircraft ID]],Aircraft!A:A,Aircraft!H:H)</f>
        <v>Airplane Single Engine Land</v>
      </c>
      <c r="AS475" s="8" t="b">
        <f>OR((SUM(MasterTable[[#This Row],[ILS]:[PAR]]) = MasterTable[[#This Row],[APPR]]))</f>
        <v>1</v>
      </c>
      <c r="AT475" s="8" t="b">
        <f>NOT(ISBLANK(MasterTable[[#This Row],[Total
Time]]))</f>
        <v>1</v>
      </c>
    </row>
    <row r="476" spans="4:46" ht="28.8" x14ac:dyDescent="0.3">
      <c r="D476" s="22">
        <v>44348</v>
      </c>
      <c r="E476" s="8" t="s">
        <v>75</v>
      </c>
      <c r="F476" s="8" t="s">
        <v>204</v>
      </c>
      <c r="G476" s="8" t="s">
        <v>214</v>
      </c>
      <c r="I476" s="10">
        <v>1.8</v>
      </c>
      <c r="J476" s="10">
        <v>1.8</v>
      </c>
      <c r="L476" s="10">
        <v>0</v>
      </c>
      <c r="M476" s="13">
        <v>0</v>
      </c>
      <c r="N476" s="13"/>
      <c r="O476" s="10">
        <v>1.8</v>
      </c>
      <c r="P476" s="10">
        <v>0</v>
      </c>
      <c r="Q476" s="14">
        <v>0</v>
      </c>
      <c r="R476" s="14">
        <v>0</v>
      </c>
      <c r="S476" s="10">
        <v>0</v>
      </c>
      <c r="T476" s="10">
        <v>0</v>
      </c>
      <c r="U476" s="14">
        <v>0</v>
      </c>
      <c r="V476" s="10"/>
      <c r="W476" s="11">
        <v>5</v>
      </c>
      <c r="X476" s="11">
        <v>5</v>
      </c>
      <c r="Y476" s="11">
        <v>0</v>
      </c>
      <c r="Z476" s="11">
        <v>0</v>
      </c>
      <c r="AA476" s="11">
        <f>MasterTable[[#This Row],[Landings
Night]]+MasterTable[[#This Row],[Landings
Day]]</f>
        <v>5</v>
      </c>
      <c r="AB476" s="10">
        <v>0</v>
      </c>
      <c r="AC476" s="10">
        <v>0</v>
      </c>
      <c r="AD476" s="11">
        <v>0</v>
      </c>
      <c r="AE476" s="21">
        <f>SUM(MasterTable[[#This Row],[ILS]:[PAR]])</f>
        <v>0</v>
      </c>
      <c r="AL476" s="11"/>
      <c r="AR476" s="140" t="str">
        <f>_xlfn.XLOOKUP(MasterTable[[#This Row],[Aircraft ID]],Aircraft!A:A,Aircraft!H:H)</f>
        <v>Airplane Single Engine Land</v>
      </c>
      <c r="AS476" s="8" t="b">
        <f>OR((SUM(MasterTable[[#This Row],[ILS]:[PAR]]) = MasterTable[[#This Row],[APPR]]))</f>
        <v>1</v>
      </c>
      <c r="AT476" s="8" t="b">
        <f>NOT(ISBLANK(MasterTable[[#This Row],[Total
Time]]))</f>
        <v>1</v>
      </c>
    </row>
    <row r="477" spans="4:46" ht="28.8" x14ac:dyDescent="0.3">
      <c r="D477" s="22">
        <v>44348</v>
      </c>
      <c r="E477" s="8" t="s">
        <v>64</v>
      </c>
      <c r="F477" s="8" t="s">
        <v>204</v>
      </c>
      <c r="G477" s="8" t="s">
        <v>204</v>
      </c>
      <c r="I477" s="10">
        <v>0.9</v>
      </c>
      <c r="J477" s="10">
        <v>0.9</v>
      </c>
      <c r="L477" s="10">
        <v>0</v>
      </c>
      <c r="M477" s="13">
        <v>0</v>
      </c>
      <c r="N477" s="13"/>
      <c r="O477" s="10">
        <v>0.9</v>
      </c>
      <c r="P477" s="10">
        <v>0</v>
      </c>
      <c r="Q477" s="14">
        <v>0</v>
      </c>
      <c r="R477" s="14">
        <v>0</v>
      </c>
      <c r="S477" s="10">
        <v>0</v>
      </c>
      <c r="T477" s="10">
        <v>0</v>
      </c>
      <c r="U477" s="14">
        <v>0</v>
      </c>
      <c r="V477" s="10"/>
      <c r="W477" s="11">
        <v>6</v>
      </c>
      <c r="X477" s="11">
        <v>6</v>
      </c>
      <c r="Y477" s="11">
        <v>0</v>
      </c>
      <c r="Z477" s="11">
        <v>0</v>
      </c>
      <c r="AA477" s="11">
        <f>MasterTable[[#This Row],[Landings
Night]]+MasterTable[[#This Row],[Landings
Day]]</f>
        <v>6</v>
      </c>
      <c r="AB477" s="10">
        <v>0</v>
      </c>
      <c r="AC477" s="10">
        <v>0</v>
      </c>
      <c r="AD477" s="11">
        <v>0</v>
      </c>
      <c r="AE477" s="21">
        <f>SUM(MasterTable[[#This Row],[ILS]:[PAR]])</f>
        <v>0</v>
      </c>
      <c r="AL477" s="11"/>
      <c r="AR477" s="140" t="str">
        <f>_xlfn.XLOOKUP(MasterTable[[#This Row],[Aircraft ID]],Aircraft!A:A,Aircraft!H:H)</f>
        <v>Airplane Single Engine Land</v>
      </c>
      <c r="AS477" s="8" t="b">
        <f>OR((SUM(MasterTable[[#This Row],[ILS]:[PAR]]) = MasterTable[[#This Row],[APPR]]))</f>
        <v>1</v>
      </c>
      <c r="AT477" s="8" t="b">
        <f>NOT(ISBLANK(MasterTable[[#This Row],[Total
Time]]))</f>
        <v>1</v>
      </c>
    </row>
    <row r="478" spans="4:46" ht="28.8" x14ac:dyDescent="0.3">
      <c r="D478" s="22">
        <v>44346</v>
      </c>
      <c r="E478" s="8" t="s">
        <v>75</v>
      </c>
      <c r="F478" s="8" t="s">
        <v>204</v>
      </c>
      <c r="G478" s="8" t="s">
        <v>204</v>
      </c>
      <c r="I478" s="10">
        <v>1.2</v>
      </c>
      <c r="J478" s="10">
        <v>1.2</v>
      </c>
      <c r="L478" s="10">
        <v>0</v>
      </c>
      <c r="M478" s="13">
        <v>0</v>
      </c>
      <c r="N478" s="13"/>
      <c r="O478" s="10">
        <v>1.2</v>
      </c>
      <c r="P478" s="10">
        <v>0</v>
      </c>
      <c r="Q478" s="14">
        <v>0</v>
      </c>
      <c r="R478" s="14">
        <v>0</v>
      </c>
      <c r="S478" s="10">
        <v>0</v>
      </c>
      <c r="T478" s="10">
        <v>0</v>
      </c>
      <c r="U478" s="14">
        <v>0</v>
      </c>
      <c r="V478" s="10"/>
      <c r="W478" s="11">
        <v>7</v>
      </c>
      <c r="X478" s="11">
        <v>7</v>
      </c>
      <c r="Y478" s="11">
        <v>0</v>
      </c>
      <c r="Z478" s="11">
        <v>0</v>
      </c>
      <c r="AA478" s="11">
        <f>MasterTable[[#This Row],[Landings
Night]]+MasterTable[[#This Row],[Landings
Day]]</f>
        <v>7</v>
      </c>
      <c r="AB478" s="10">
        <v>0</v>
      </c>
      <c r="AC478" s="10">
        <v>0</v>
      </c>
      <c r="AD478" s="11">
        <v>0</v>
      </c>
      <c r="AE478" s="21">
        <f>SUM(MasterTable[[#This Row],[ILS]:[PAR]])</f>
        <v>0</v>
      </c>
      <c r="AL478" s="11"/>
      <c r="AR478" s="140" t="str">
        <f>_xlfn.XLOOKUP(MasterTable[[#This Row],[Aircraft ID]],Aircraft!A:A,Aircraft!H:H)</f>
        <v>Airplane Single Engine Land</v>
      </c>
      <c r="AS478" s="8" t="b">
        <f>OR((SUM(MasterTable[[#This Row],[ILS]:[PAR]]) = MasterTable[[#This Row],[APPR]]))</f>
        <v>1</v>
      </c>
      <c r="AT478" s="8" t="b">
        <f>NOT(ISBLANK(MasterTable[[#This Row],[Total
Time]]))</f>
        <v>1</v>
      </c>
    </row>
    <row r="479" spans="4:46" ht="28.8" x14ac:dyDescent="0.3">
      <c r="D479" s="22">
        <v>44341</v>
      </c>
      <c r="E479" s="8" t="s">
        <v>75</v>
      </c>
      <c r="F479" s="8" t="s">
        <v>204</v>
      </c>
      <c r="G479" s="8" t="s">
        <v>214</v>
      </c>
      <c r="I479" s="10">
        <v>1.6</v>
      </c>
      <c r="J479" s="10">
        <v>1.6</v>
      </c>
      <c r="L479" s="10">
        <v>0</v>
      </c>
      <c r="M479" s="13">
        <v>0</v>
      </c>
      <c r="N479" s="13"/>
      <c r="O479" s="10">
        <v>1.6</v>
      </c>
      <c r="P479" s="10">
        <v>0</v>
      </c>
      <c r="Q479" s="14">
        <v>0</v>
      </c>
      <c r="R479" s="14">
        <v>0</v>
      </c>
      <c r="S479" s="10">
        <v>0</v>
      </c>
      <c r="T479" s="10">
        <v>0</v>
      </c>
      <c r="U479" s="14">
        <v>0</v>
      </c>
      <c r="V479" s="10"/>
      <c r="W479" s="11">
        <v>8</v>
      </c>
      <c r="X479" s="11">
        <v>8</v>
      </c>
      <c r="Y479" s="11">
        <v>0</v>
      </c>
      <c r="Z479" s="11">
        <v>0</v>
      </c>
      <c r="AA479" s="11">
        <f>MasterTable[[#This Row],[Landings
Night]]+MasterTable[[#This Row],[Landings
Day]]</f>
        <v>8</v>
      </c>
      <c r="AB479" s="10">
        <v>0</v>
      </c>
      <c r="AC479" s="10">
        <v>0</v>
      </c>
      <c r="AD479" s="11">
        <v>0</v>
      </c>
      <c r="AE479" s="21">
        <f>SUM(MasterTable[[#This Row],[ILS]:[PAR]])</f>
        <v>0</v>
      </c>
      <c r="AL479" s="11"/>
      <c r="AR479" s="140" t="str">
        <f>_xlfn.XLOOKUP(MasterTable[[#This Row],[Aircraft ID]],Aircraft!A:A,Aircraft!H:H)</f>
        <v>Airplane Single Engine Land</v>
      </c>
      <c r="AS479" s="8" t="b">
        <f>OR((SUM(MasterTable[[#This Row],[ILS]:[PAR]]) = MasterTable[[#This Row],[APPR]]))</f>
        <v>1</v>
      </c>
      <c r="AT479" s="8" t="b">
        <f>NOT(ISBLANK(MasterTable[[#This Row],[Total
Time]]))</f>
        <v>1</v>
      </c>
    </row>
    <row r="480" spans="4:46" ht="28.8" x14ac:dyDescent="0.3">
      <c r="D480" s="22">
        <v>44341</v>
      </c>
      <c r="E480" s="8" t="s">
        <v>75</v>
      </c>
      <c r="F480" s="8" t="s">
        <v>204</v>
      </c>
      <c r="G480" s="8" t="s">
        <v>204</v>
      </c>
      <c r="I480" s="10">
        <v>1.1000000000000001</v>
      </c>
      <c r="J480" s="10">
        <v>1.1000000000000001</v>
      </c>
      <c r="L480" s="10">
        <v>0</v>
      </c>
      <c r="M480" s="13">
        <v>0</v>
      </c>
      <c r="N480" s="13"/>
      <c r="O480" s="10">
        <v>1.1000000000000001</v>
      </c>
      <c r="P480" s="10">
        <v>0</v>
      </c>
      <c r="Q480" s="14">
        <v>0</v>
      </c>
      <c r="R480" s="14">
        <v>0</v>
      </c>
      <c r="S480" s="10">
        <v>0</v>
      </c>
      <c r="T480" s="10">
        <v>0</v>
      </c>
      <c r="U480" s="14">
        <v>0</v>
      </c>
      <c r="V480" s="10"/>
      <c r="W480" s="11">
        <v>1</v>
      </c>
      <c r="X480" s="11">
        <v>1</v>
      </c>
      <c r="Y480" s="11">
        <v>0</v>
      </c>
      <c r="Z480" s="11">
        <v>0</v>
      </c>
      <c r="AA480" s="11">
        <f>MasterTable[[#This Row],[Landings
Night]]+MasterTable[[#This Row],[Landings
Day]]</f>
        <v>1</v>
      </c>
      <c r="AB480" s="10">
        <v>0</v>
      </c>
      <c r="AC480" s="10">
        <v>0</v>
      </c>
      <c r="AD480" s="11">
        <v>0</v>
      </c>
      <c r="AE480" s="21">
        <f>SUM(MasterTable[[#This Row],[ILS]:[PAR]])</f>
        <v>0</v>
      </c>
      <c r="AL480" s="11"/>
      <c r="AR480" s="140" t="str">
        <f>_xlfn.XLOOKUP(MasterTable[[#This Row],[Aircraft ID]],Aircraft!A:A,Aircraft!H:H)</f>
        <v>Airplane Single Engine Land</v>
      </c>
      <c r="AS480" s="8" t="b">
        <f>OR((SUM(MasterTable[[#This Row],[ILS]:[PAR]]) = MasterTable[[#This Row],[APPR]]))</f>
        <v>1</v>
      </c>
      <c r="AT480" s="8" t="b">
        <f>NOT(ISBLANK(MasterTable[[#This Row],[Total
Time]]))</f>
        <v>1</v>
      </c>
    </row>
    <row r="481" spans="4:46" ht="28.8" x14ac:dyDescent="0.3">
      <c r="D481" s="22">
        <v>44340</v>
      </c>
      <c r="E481" s="8" t="s">
        <v>121</v>
      </c>
      <c r="F481" s="8" t="s">
        <v>204</v>
      </c>
      <c r="G481" s="8" t="s">
        <v>206</v>
      </c>
      <c r="I481" s="10">
        <v>2.4</v>
      </c>
      <c r="J481" s="10">
        <v>2.4</v>
      </c>
      <c r="L481" s="10">
        <v>0</v>
      </c>
      <c r="M481" s="13">
        <v>0</v>
      </c>
      <c r="N481" s="13"/>
      <c r="O481" s="10">
        <v>0</v>
      </c>
      <c r="P481" s="10">
        <v>0</v>
      </c>
      <c r="Q481" s="14">
        <v>0</v>
      </c>
      <c r="R481" s="14">
        <v>0</v>
      </c>
      <c r="S481" s="10">
        <v>0</v>
      </c>
      <c r="T481" s="10">
        <v>2.4</v>
      </c>
      <c r="U481" s="14">
        <v>0</v>
      </c>
      <c r="V481" s="10"/>
      <c r="W481" s="11">
        <v>2</v>
      </c>
      <c r="X481" s="11">
        <v>2</v>
      </c>
      <c r="Y481" s="11">
        <v>0</v>
      </c>
      <c r="Z481" s="11">
        <v>0</v>
      </c>
      <c r="AA481" s="11">
        <f>MasterTable[[#This Row],[Landings
Night]]+MasterTable[[#This Row],[Landings
Day]]</f>
        <v>2</v>
      </c>
      <c r="AB481" s="10">
        <v>0</v>
      </c>
      <c r="AC481" s="10">
        <v>0</v>
      </c>
      <c r="AD481" s="11">
        <v>0</v>
      </c>
      <c r="AE481" s="21">
        <f>SUM(MasterTable[[#This Row],[ILS]:[PAR]])</f>
        <v>1</v>
      </c>
      <c r="AI481" s="11">
        <v>1</v>
      </c>
      <c r="AL481" s="11"/>
      <c r="AR481" s="140" t="str">
        <f>_xlfn.XLOOKUP(MasterTable[[#This Row],[Aircraft ID]],Aircraft!A:A,Aircraft!H:H)</f>
        <v>Airplane Single Engine Land</v>
      </c>
      <c r="AS481" s="8" t="b">
        <f>OR((SUM(MasterTable[[#This Row],[ILS]:[PAR]]) = MasterTable[[#This Row],[APPR]]))</f>
        <v>1</v>
      </c>
      <c r="AT481" s="8" t="b">
        <f>NOT(ISBLANK(MasterTable[[#This Row],[Total
Time]]))</f>
        <v>1</v>
      </c>
    </row>
    <row r="482" spans="4:46" ht="28.8" x14ac:dyDescent="0.3">
      <c r="D482" s="22">
        <v>44339</v>
      </c>
      <c r="E482" s="8" t="s">
        <v>75</v>
      </c>
      <c r="F482" s="8" t="s">
        <v>204</v>
      </c>
      <c r="G482" s="8" t="s">
        <v>233</v>
      </c>
      <c r="I482" s="10">
        <v>2.2000000000000002</v>
      </c>
      <c r="J482" s="10">
        <v>2.2000000000000002</v>
      </c>
      <c r="L482" s="10">
        <v>0</v>
      </c>
      <c r="M482" s="13">
        <v>0</v>
      </c>
      <c r="N482" s="13"/>
      <c r="O482" s="10">
        <v>2.2000000000000002</v>
      </c>
      <c r="P482" s="10">
        <v>0</v>
      </c>
      <c r="Q482" s="14">
        <v>0</v>
      </c>
      <c r="R482" s="14">
        <v>0</v>
      </c>
      <c r="S482" s="10">
        <v>0</v>
      </c>
      <c r="T482" s="10">
        <v>2.2000000000000002</v>
      </c>
      <c r="U482" s="14">
        <v>0</v>
      </c>
      <c r="V482" s="10"/>
      <c r="W482" s="11">
        <v>2</v>
      </c>
      <c r="X482" s="11">
        <v>2</v>
      </c>
      <c r="Y482" s="11">
        <v>0</v>
      </c>
      <c r="Z482" s="11">
        <v>0</v>
      </c>
      <c r="AA482" s="11">
        <f>MasterTable[[#This Row],[Landings
Night]]+MasterTable[[#This Row],[Landings
Day]]</f>
        <v>2</v>
      </c>
      <c r="AB482" s="10">
        <v>0</v>
      </c>
      <c r="AC482" s="10">
        <v>0</v>
      </c>
      <c r="AD482" s="11">
        <v>0</v>
      </c>
      <c r="AE482" s="21">
        <f>SUM(MasterTable[[#This Row],[ILS]:[PAR]])</f>
        <v>0</v>
      </c>
      <c r="AL482" s="11"/>
      <c r="AR482" s="140" t="str">
        <f>_xlfn.XLOOKUP(MasterTable[[#This Row],[Aircraft ID]],Aircraft!A:A,Aircraft!H:H)</f>
        <v>Airplane Single Engine Land</v>
      </c>
      <c r="AS482" s="8" t="b">
        <f>OR((SUM(MasterTable[[#This Row],[ILS]:[PAR]]) = MasterTable[[#This Row],[APPR]]))</f>
        <v>1</v>
      </c>
      <c r="AT482" s="8" t="b">
        <f>NOT(ISBLANK(MasterTable[[#This Row],[Total
Time]]))</f>
        <v>1</v>
      </c>
    </row>
    <row r="483" spans="4:46" ht="28.8" x14ac:dyDescent="0.3">
      <c r="D483" s="22">
        <v>44339</v>
      </c>
      <c r="E483" s="8" t="s">
        <v>75</v>
      </c>
      <c r="F483" s="8" t="s">
        <v>204</v>
      </c>
      <c r="G483" s="8" t="s">
        <v>204</v>
      </c>
      <c r="I483" s="10">
        <v>1.3</v>
      </c>
      <c r="J483" s="10">
        <v>1.3</v>
      </c>
      <c r="L483" s="10">
        <v>0</v>
      </c>
      <c r="M483" s="13">
        <v>0</v>
      </c>
      <c r="N483" s="13"/>
      <c r="O483" s="10">
        <v>1.3</v>
      </c>
      <c r="P483" s="10">
        <v>0</v>
      </c>
      <c r="Q483" s="14">
        <v>0</v>
      </c>
      <c r="R483" s="14">
        <v>0</v>
      </c>
      <c r="S483" s="10">
        <v>0</v>
      </c>
      <c r="T483" s="10">
        <v>0</v>
      </c>
      <c r="U483" s="14">
        <v>0</v>
      </c>
      <c r="V483" s="10"/>
      <c r="W483" s="11">
        <v>6</v>
      </c>
      <c r="X483" s="11">
        <v>6</v>
      </c>
      <c r="Y483" s="11">
        <v>0</v>
      </c>
      <c r="Z483" s="11">
        <v>0</v>
      </c>
      <c r="AA483" s="11">
        <f>MasterTable[[#This Row],[Landings
Night]]+MasterTable[[#This Row],[Landings
Day]]</f>
        <v>6</v>
      </c>
      <c r="AB483" s="10">
        <v>0</v>
      </c>
      <c r="AC483" s="10">
        <v>0</v>
      </c>
      <c r="AD483" s="11">
        <v>0</v>
      </c>
      <c r="AE483" s="21">
        <f>SUM(MasterTable[[#This Row],[ILS]:[PAR]])</f>
        <v>0</v>
      </c>
      <c r="AL483" s="11"/>
      <c r="AR483" s="140" t="str">
        <f>_xlfn.XLOOKUP(MasterTable[[#This Row],[Aircraft ID]],Aircraft!A:A,Aircraft!H:H)</f>
        <v>Airplane Single Engine Land</v>
      </c>
      <c r="AS483" s="8" t="b">
        <f>OR((SUM(MasterTable[[#This Row],[ILS]:[PAR]]) = MasterTable[[#This Row],[APPR]]))</f>
        <v>1</v>
      </c>
      <c r="AT483" s="8" t="b">
        <f>NOT(ISBLANK(MasterTable[[#This Row],[Total
Time]]))</f>
        <v>1</v>
      </c>
    </row>
    <row r="484" spans="4:46" ht="28.8" x14ac:dyDescent="0.3">
      <c r="D484" s="22">
        <v>44335</v>
      </c>
      <c r="E484" s="8" t="s">
        <v>75</v>
      </c>
      <c r="F484" s="8" t="s">
        <v>204</v>
      </c>
      <c r="G484" s="8" t="s">
        <v>257</v>
      </c>
      <c r="I484" s="10">
        <v>3.8</v>
      </c>
      <c r="J484" s="10">
        <v>3.8</v>
      </c>
      <c r="L484" s="10">
        <v>0</v>
      </c>
      <c r="M484" s="13">
        <v>0</v>
      </c>
      <c r="N484" s="13"/>
      <c r="O484" s="10">
        <v>3.8</v>
      </c>
      <c r="P484" s="10">
        <v>0</v>
      </c>
      <c r="Q484" s="14">
        <v>0</v>
      </c>
      <c r="R484" s="14">
        <v>0</v>
      </c>
      <c r="S484" s="10">
        <v>3.8</v>
      </c>
      <c r="T484" s="10">
        <v>3.8</v>
      </c>
      <c r="U484" s="14">
        <v>0</v>
      </c>
      <c r="V484" s="10"/>
      <c r="W484" s="11">
        <v>0</v>
      </c>
      <c r="X484" s="11">
        <v>0</v>
      </c>
      <c r="Y484" s="11">
        <v>3</v>
      </c>
      <c r="Z484" s="11">
        <v>3</v>
      </c>
      <c r="AA484" s="11">
        <f>MasterTable[[#This Row],[Landings
Night]]+MasterTable[[#This Row],[Landings
Day]]</f>
        <v>3</v>
      </c>
      <c r="AB484" s="10">
        <v>0</v>
      </c>
      <c r="AC484" s="10">
        <v>0</v>
      </c>
      <c r="AD484" s="11">
        <v>0</v>
      </c>
      <c r="AE484" s="21">
        <f>SUM(MasterTable[[#This Row],[ILS]:[PAR]])</f>
        <v>0</v>
      </c>
      <c r="AL484" s="11"/>
      <c r="AR484" s="140" t="str">
        <f>_xlfn.XLOOKUP(MasterTable[[#This Row],[Aircraft ID]],Aircraft!A:A,Aircraft!H:H)</f>
        <v>Airplane Single Engine Land</v>
      </c>
      <c r="AS484" s="8" t="b">
        <f>OR((SUM(MasterTable[[#This Row],[ILS]:[PAR]]) = MasterTable[[#This Row],[APPR]]))</f>
        <v>1</v>
      </c>
      <c r="AT484" s="8" t="b">
        <f>NOT(ISBLANK(MasterTable[[#This Row],[Total
Time]]))</f>
        <v>1</v>
      </c>
    </row>
    <row r="485" spans="4:46" ht="28.8" x14ac:dyDescent="0.3">
      <c r="D485" s="22">
        <v>44334</v>
      </c>
      <c r="E485" s="8" t="s">
        <v>64</v>
      </c>
      <c r="F485" s="8" t="s">
        <v>204</v>
      </c>
      <c r="G485" s="8" t="s">
        <v>204</v>
      </c>
      <c r="I485" s="10">
        <v>0.9</v>
      </c>
      <c r="J485" s="10">
        <v>0.9</v>
      </c>
      <c r="L485" s="10">
        <v>0</v>
      </c>
      <c r="M485" s="13">
        <v>0</v>
      </c>
      <c r="N485" s="13"/>
      <c r="O485" s="10">
        <v>0.9</v>
      </c>
      <c r="P485" s="10">
        <v>0</v>
      </c>
      <c r="Q485" s="14">
        <v>0</v>
      </c>
      <c r="R485" s="14">
        <v>0</v>
      </c>
      <c r="S485" s="10">
        <v>0</v>
      </c>
      <c r="T485" s="10">
        <v>0</v>
      </c>
      <c r="U485" s="14">
        <v>0</v>
      </c>
      <c r="V485" s="10"/>
      <c r="W485" s="11">
        <v>1</v>
      </c>
      <c r="X485" s="11">
        <v>1</v>
      </c>
      <c r="Y485" s="11">
        <v>0</v>
      </c>
      <c r="Z485" s="11">
        <v>0</v>
      </c>
      <c r="AA485" s="11">
        <f>MasterTable[[#This Row],[Landings
Night]]+MasterTable[[#This Row],[Landings
Day]]</f>
        <v>1</v>
      </c>
      <c r="AB485" s="10">
        <v>0</v>
      </c>
      <c r="AC485" s="10">
        <v>0</v>
      </c>
      <c r="AD485" s="11">
        <v>0</v>
      </c>
      <c r="AE485" s="21">
        <f>SUM(MasterTable[[#This Row],[ILS]:[PAR]])</f>
        <v>0</v>
      </c>
      <c r="AL485" s="11"/>
      <c r="AR485" s="140" t="str">
        <f>_xlfn.XLOOKUP(MasterTable[[#This Row],[Aircraft ID]],Aircraft!A:A,Aircraft!H:H)</f>
        <v>Airplane Single Engine Land</v>
      </c>
      <c r="AS485" s="8" t="b">
        <f>OR((SUM(MasterTable[[#This Row],[ILS]:[PAR]]) = MasterTable[[#This Row],[APPR]]))</f>
        <v>1</v>
      </c>
      <c r="AT485" s="8" t="b">
        <f>NOT(ISBLANK(MasterTable[[#This Row],[Total
Time]]))</f>
        <v>1</v>
      </c>
    </row>
    <row r="486" spans="4:46" ht="28.8" x14ac:dyDescent="0.3">
      <c r="D486" s="22">
        <v>44327</v>
      </c>
      <c r="E486" s="8" t="s">
        <v>75</v>
      </c>
      <c r="F486" s="8" t="s">
        <v>204</v>
      </c>
      <c r="G486" s="8" t="s">
        <v>204</v>
      </c>
      <c r="I486" s="10">
        <v>1</v>
      </c>
      <c r="J486" s="10">
        <v>1</v>
      </c>
      <c r="L486" s="10">
        <v>0</v>
      </c>
      <c r="M486" s="13">
        <v>0</v>
      </c>
      <c r="N486" s="13"/>
      <c r="O486" s="10">
        <v>1</v>
      </c>
      <c r="P486" s="10">
        <v>0</v>
      </c>
      <c r="Q486" s="14">
        <v>0</v>
      </c>
      <c r="R486" s="14">
        <v>0</v>
      </c>
      <c r="S486" s="10">
        <v>0</v>
      </c>
      <c r="T486" s="10">
        <v>0</v>
      </c>
      <c r="U486" s="14">
        <v>0</v>
      </c>
      <c r="V486" s="10"/>
      <c r="W486" s="11">
        <v>6</v>
      </c>
      <c r="X486" s="11">
        <v>6</v>
      </c>
      <c r="Y486" s="11">
        <v>0</v>
      </c>
      <c r="Z486" s="11">
        <v>0</v>
      </c>
      <c r="AA486" s="11">
        <f>MasterTable[[#This Row],[Landings
Night]]+MasterTable[[#This Row],[Landings
Day]]</f>
        <v>6</v>
      </c>
      <c r="AB486" s="10">
        <v>0</v>
      </c>
      <c r="AC486" s="10">
        <v>0</v>
      </c>
      <c r="AD486" s="11">
        <v>0</v>
      </c>
      <c r="AE486" s="21">
        <f>SUM(MasterTable[[#This Row],[ILS]:[PAR]])</f>
        <v>0</v>
      </c>
      <c r="AL486" s="11"/>
      <c r="AR486" s="140" t="str">
        <f>_xlfn.XLOOKUP(MasterTable[[#This Row],[Aircraft ID]],Aircraft!A:A,Aircraft!H:H)</f>
        <v>Airplane Single Engine Land</v>
      </c>
      <c r="AS486" s="8" t="b">
        <f>OR((SUM(MasterTable[[#This Row],[ILS]:[PAR]]) = MasterTable[[#This Row],[APPR]]))</f>
        <v>1</v>
      </c>
      <c r="AT486" s="8" t="b">
        <f>NOT(ISBLANK(MasterTable[[#This Row],[Total
Time]]))</f>
        <v>1</v>
      </c>
    </row>
    <row r="487" spans="4:46" ht="28.8" x14ac:dyDescent="0.3">
      <c r="D487" s="22">
        <v>44327</v>
      </c>
      <c r="E487" s="8" t="s">
        <v>64</v>
      </c>
      <c r="F487" s="8" t="s">
        <v>204</v>
      </c>
      <c r="G487" s="8" t="s">
        <v>204</v>
      </c>
      <c r="I487" s="10">
        <v>1.2</v>
      </c>
      <c r="J487" s="10">
        <v>1.2</v>
      </c>
      <c r="L487" s="10">
        <v>0</v>
      </c>
      <c r="M487" s="13">
        <v>0</v>
      </c>
      <c r="N487" s="13"/>
      <c r="O487" s="10">
        <v>1.2</v>
      </c>
      <c r="P487" s="10">
        <v>0</v>
      </c>
      <c r="Q487" s="14">
        <v>0</v>
      </c>
      <c r="R487" s="14">
        <v>0</v>
      </c>
      <c r="S487" s="10">
        <v>0</v>
      </c>
      <c r="T487" s="10">
        <v>0</v>
      </c>
      <c r="U487" s="14">
        <v>0</v>
      </c>
      <c r="V487" s="10"/>
      <c r="W487" s="11">
        <v>1</v>
      </c>
      <c r="X487" s="11">
        <v>1</v>
      </c>
      <c r="Y487" s="11">
        <v>0</v>
      </c>
      <c r="Z487" s="11">
        <v>0</v>
      </c>
      <c r="AA487" s="11">
        <f>MasterTable[[#This Row],[Landings
Night]]+MasterTable[[#This Row],[Landings
Day]]</f>
        <v>1</v>
      </c>
      <c r="AB487" s="10">
        <v>0</v>
      </c>
      <c r="AC487" s="10">
        <v>0</v>
      </c>
      <c r="AD487" s="11">
        <v>0</v>
      </c>
      <c r="AE487" s="21">
        <f>SUM(MasterTable[[#This Row],[ILS]:[PAR]])</f>
        <v>0</v>
      </c>
      <c r="AL487" s="11"/>
      <c r="AR487" s="140" t="str">
        <f>_xlfn.XLOOKUP(MasterTable[[#This Row],[Aircraft ID]],Aircraft!A:A,Aircraft!H:H)</f>
        <v>Airplane Single Engine Land</v>
      </c>
      <c r="AS487" s="8" t="b">
        <f>OR((SUM(MasterTable[[#This Row],[ILS]:[PAR]]) = MasterTable[[#This Row],[APPR]]))</f>
        <v>1</v>
      </c>
      <c r="AT487" s="8" t="b">
        <f>NOT(ISBLANK(MasterTable[[#This Row],[Total
Time]]))</f>
        <v>1</v>
      </c>
    </row>
    <row r="488" spans="4:46" ht="28.8" x14ac:dyDescent="0.3">
      <c r="D488" s="22">
        <v>44326</v>
      </c>
      <c r="E488" s="8" t="s">
        <v>75</v>
      </c>
      <c r="F488" s="8" t="s">
        <v>204</v>
      </c>
      <c r="G488" s="8" t="s">
        <v>204</v>
      </c>
      <c r="I488" s="10">
        <v>0.7</v>
      </c>
      <c r="J488" s="10">
        <v>0.7</v>
      </c>
      <c r="L488" s="10">
        <v>0</v>
      </c>
      <c r="M488" s="13">
        <v>0</v>
      </c>
      <c r="N488" s="13"/>
      <c r="O488" s="10">
        <v>0.7</v>
      </c>
      <c r="P488" s="10">
        <v>0</v>
      </c>
      <c r="Q488" s="14">
        <v>0</v>
      </c>
      <c r="R488" s="14">
        <v>0</v>
      </c>
      <c r="S488" s="10">
        <v>0</v>
      </c>
      <c r="T488" s="10">
        <v>0</v>
      </c>
      <c r="U488" s="14">
        <v>0</v>
      </c>
      <c r="V488" s="10"/>
      <c r="W488" s="11">
        <v>1</v>
      </c>
      <c r="X488" s="11">
        <v>1</v>
      </c>
      <c r="Y488" s="11">
        <v>0</v>
      </c>
      <c r="Z488" s="11">
        <v>0</v>
      </c>
      <c r="AA488" s="11">
        <f>MasterTable[[#This Row],[Landings
Night]]+MasterTable[[#This Row],[Landings
Day]]</f>
        <v>1</v>
      </c>
      <c r="AB488" s="10">
        <v>0</v>
      </c>
      <c r="AC488" s="10">
        <v>0</v>
      </c>
      <c r="AD488" s="11">
        <v>0</v>
      </c>
      <c r="AE488" s="21">
        <f>SUM(MasterTable[[#This Row],[ILS]:[PAR]])</f>
        <v>0</v>
      </c>
      <c r="AL488" s="11"/>
      <c r="AR488" s="140" t="str">
        <f>_xlfn.XLOOKUP(MasterTable[[#This Row],[Aircraft ID]],Aircraft!A:A,Aircraft!H:H)</f>
        <v>Airplane Single Engine Land</v>
      </c>
      <c r="AS488" s="8" t="b">
        <f>OR((SUM(MasterTable[[#This Row],[ILS]:[PAR]]) = MasterTable[[#This Row],[APPR]]))</f>
        <v>1</v>
      </c>
      <c r="AT488" s="8" t="b">
        <f>NOT(ISBLANK(MasterTable[[#This Row],[Total
Time]]))</f>
        <v>1</v>
      </c>
    </row>
    <row r="489" spans="4:46" ht="28.8" x14ac:dyDescent="0.3">
      <c r="D489" s="22">
        <v>44325</v>
      </c>
      <c r="E489" s="8" t="s">
        <v>75</v>
      </c>
      <c r="F489" s="8" t="s">
        <v>204</v>
      </c>
      <c r="G489" s="8" t="s">
        <v>258</v>
      </c>
      <c r="I489" s="10">
        <v>1.3</v>
      </c>
      <c r="J489" s="10">
        <v>1.3</v>
      </c>
      <c r="L489" s="10">
        <v>0</v>
      </c>
      <c r="M489" s="13">
        <v>0</v>
      </c>
      <c r="N489" s="13"/>
      <c r="O489" s="10">
        <v>1.3</v>
      </c>
      <c r="P489" s="10">
        <v>0</v>
      </c>
      <c r="Q489" s="14">
        <v>0</v>
      </c>
      <c r="R489" s="14">
        <v>0</v>
      </c>
      <c r="S489" s="10">
        <v>0</v>
      </c>
      <c r="T489" s="10">
        <v>0</v>
      </c>
      <c r="U489" s="14">
        <v>0</v>
      </c>
      <c r="V489" s="10"/>
      <c r="W489" s="11">
        <v>5</v>
      </c>
      <c r="X489" s="11">
        <v>5</v>
      </c>
      <c r="Y489" s="11">
        <v>0</v>
      </c>
      <c r="Z489" s="11">
        <v>0</v>
      </c>
      <c r="AA489" s="11">
        <f>MasterTable[[#This Row],[Landings
Night]]+MasterTable[[#This Row],[Landings
Day]]</f>
        <v>5</v>
      </c>
      <c r="AB489" s="10">
        <v>0</v>
      </c>
      <c r="AC489" s="10">
        <v>0</v>
      </c>
      <c r="AD489" s="11">
        <v>0</v>
      </c>
      <c r="AE489" s="21">
        <f>SUM(MasterTable[[#This Row],[ILS]:[PAR]])</f>
        <v>0</v>
      </c>
      <c r="AL489" s="11"/>
      <c r="AR489" s="140" t="str">
        <f>_xlfn.XLOOKUP(MasterTable[[#This Row],[Aircraft ID]],Aircraft!A:A,Aircraft!H:H)</f>
        <v>Airplane Single Engine Land</v>
      </c>
      <c r="AS489" s="8" t="b">
        <f>OR((SUM(MasterTable[[#This Row],[ILS]:[PAR]]) = MasterTable[[#This Row],[APPR]]))</f>
        <v>1</v>
      </c>
      <c r="AT489" s="8" t="b">
        <f>NOT(ISBLANK(MasterTable[[#This Row],[Total
Time]]))</f>
        <v>1</v>
      </c>
    </row>
    <row r="490" spans="4:46" ht="28.8" x14ac:dyDescent="0.3">
      <c r="D490" s="22">
        <v>44323</v>
      </c>
      <c r="E490" s="8" t="s">
        <v>75</v>
      </c>
      <c r="F490" s="8" t="s">
        <v>204</v>
      </c>
      <c r="G490" s="8" t="s">
        <v>204</v>
      </c>
      <c r="I490" s="10">
        <v>1.2</v>
      </c>
      <c r="J490" s="10">
        <v>1.2</v>
      </c>
      <c r="L490" s="10">
        <v>0</v>
      </c>
      <c r="M490" s="13">
        <v>0</v>
      </c>
      <c r="N490" s="13"/>
      <c r="O490" s="10">
        <v>1.2</v>
      </c>
      <c r="P490" s="10">
        <v>0</v>
      </c>
      <c r="Q490" s="14">
        <v>0</v>
      </c>
      <c r="R490" s="14">
        <v>0</v>
      </c>
      <c r="S490" s="10">
        <v>0</v>
      </c>
      <c r="T490" s="10">
        <v>0</v>
      </c>
      <c r="U490" s="14">
        <v>0</v>
      </c>
      <c r="V490" s="10"/>
      <c r="W490" s="11">
        <v>5</v>
      </c>
      <c r="X490" s="11">
        <v>5</v>
      </c>
      <c r="Y490" s="11">
        <v>0</v>
      </c>
      <c r="Z490" s="11">
        <v>0</v>
      </c>
      <c r="AA490" s="11">
        <f>MasterTable[[#This Row],[Landings
Night]]+MasterTable[[#This Row],[Landings
Day]]</f>
        <v>5</v>
      </c>
      <c r="AB490" s="10">
        <v>0</v>
      </c>
      <c r="AC490" s="10">
        <v>0</v>
      </c>
      <c r="AD490" s="11">
        <v>0</v>
      </c>
      <c r="AE490" s="21">
        <f>SUM(MasterTable[[#This Row],[ILS]:[PAR]])</f>
        <v>0</v>
      </c>
      <c r="AL490" s="11"/>
      <c r="AR490" s="140" t="str">
        <f>_xlfn.XLOOKUP(MasterTable[[#This Row],[Aircraft ID]],Aircraft!A:A,Aircraft!H:H)</f>
        <v>Airplane Single Engine Land</v>
      </c>
      <c r="AS490" s="8" t="b">
        <f>OR((SUM(MasterTable[[#This Row],[ILS]:[PAR]]) = MasterTable[[#This Row],[APPR]]))</f>
        <v>1</v>
      </c>
      <c r="AT490" s="8" t="b">
        <f>NOT(ISBLANK(MasterTable[[#This Row],[Total
Time]]))</f>
        <v>1</v>
      </c>
    </row>
    <row r="491" spans="4:46" ht="28.8" x14ac:dyDescent="0.3">
      <c r="D491" s="22">
        <v>44321</v>
      </c>
      <c r="E491" s="8" t="s">
        <v>64</v>
      </c>
      <c r="F491" s="8" t="s">
        <v>204</v>
      </c>
      <c r="G491" s="8" t="s">
        <v>204</v>
      </c>
      <c r="I491" s="10">
        <v>0.8</v>
      </c>
      <c r="J491" s="10">
        <v>0.8</v>
      </c>
      <c r="L491" s="10">
        <v>0</v>
      </c>
      <c r="M491" s="13">
        <v>0</v>
      </c>
      <c r="N491" s="13"/>
      <c r="O491" s="10">
        <v>0.8</v>
      </c>
      <c r="P491" s="10">
        <v>0</v>
      </c>
      <c r="Q491" s="14">
        <v>0</v>
      </c>
      <c r="R491" s="14">
        <v>0</v>
      </c>
      <c r="S491" s="10">
        <v>0</v>
      </c>
      <c r="T491" s="10">
        <v>0</v>
      </c>
      <c r="U491" s="14">
        <v>0</v>
      </c>
      <c r="V491" s="10"/>
      <c r="W491" s="11">
        <v>1</v>
      </c>
      <c r="X491" s="11">
        <v>1</v>
      </c>
      <c r="Y491" s="11">
        <v>0</v>
      </c>
      <c r="Z491" s="11">
        <v>0</v>
      </c>
      <c r="AA491" s="11">
        <f>MasterTable[[#This Row],[Landings
Night]]+MasterTable[[#This Row],[Landings
Day]]</f>
        <v>1</v>
      </c>
      <c r="AB491" s="10">
        <v>0</v>
      </c>
      <c r="AC491" s="10">
        <v>0</v>
      </c>
      <c r="AD491" s="11">
        <v>0</v>
      </c>
      <c r="AE491" s="21">
        <f>SUM(MasterTable[[#This Row],[ILS]:[PAR]])</f>
        <v>0</v>
      </c>
      <c r="AL491" s="11"/>
      <c r="AR491" s="140" t="str">
        <f>_xlfn.XLOOKUP(MasterTable[[#This Row],[Aircraft ID]],Aircraft!A:A,Aircraft!H:H)</f>
        <v>Airplane Single Engine Land</v>
      </c>
      <c r="AS491" s="8" t="b">
        <f>OR((SUM(MasterTable[[#This Row],[ILS]:[PAR]]) = MasterTable[[#This Row],[APPR]]))</f>
        <v>1</v>
      </c>
      <c r="AT491" s="8" t="b">
        <f>NOT(ISBLANK(MasterTable[[#This Row],[Total
Time]]))</f>
        <v>1</v>
      </c>
    </row>
    <row r="492" spans="4:46" ht="28.8" x14ac:dyDescent="0.3">
      <c r="D492" s="22">
        <v>44320</v>
      </c>
      <c r="E492" s="8" t="s">
        <v>75</v>
      </c>
      <c r="F492" s="8" t="s">
        <v>204</v>
      </c>
      <c r="G492" s="8" t="s">
        <v>204</v>
      </c>
      <c r="I492" s="10">
        <v>1</v>
      </c>
      <c r="J492" s="10">
        <v>1</v>
      </c>
      <c r="L492" s="10">
        <v>0</v>
      </c>
      <c r="M492" s="13">
        <v>0</v>
      </c>
      <c r="N492" s="13"/>
      <c r="O492" s="10">
        <v>1</v>
      </c>
      <c r="P492" s="10">
        <v>0</v>
      </c>
      <c r="Q492" s="14">
        <v>0</v>
      </c>
      <c r="R492" s="14">
        <v>0</v>
      </c>
      <c r="S492" s="10">
        <v>0</v>
      </c>
      <c r="T492" s="10">
        <v>0</v>
      </c>
      <c r="U492" s="14">
        <v>0</v>
      </c>
      <c r="V492" s="10"/>
      <c r="W492" s="11">
        <v>1</v>
      </c>
      <c r="X492" s="11">
        <v>1</v>
      </c>
      <c r="Y492" s="11">
        <v>0</v>
      </c>
      <c r="Z492" s="11">
        <v>0</v>
      </c>
      <c r="AA492" s="11">
        <f>MasterTable[[#This Row],[Landings
Night]]+MasterTable[[#This Row],[Landings
Day]]</f>
        <v>1</v>
      </c>
      <c r="AB492" s="10">
        <v>0</v>
      </c>
      <c r="AC492" s="10">
        <v>0</v>
      </c>
      <c r="AD492" s="11">
        <v>0</v>
      </c>
      <c r="AE492" s="21">
        <f>SUM(MasterTable[[#This Row],[ILS]:[PAR]])</f>
        <v>0</v>
      </c>
      <c r="AL492" s="11"/>
      <c r="AR492" s="140" t="str">
        <f>_xlfn.XLOOKUP(MasterTable[[#This Row],[Aircraft ID]],Aircraft!A:A,Aircraft!H:H)</f>
        <v>Airplane Single Engine Land</v>
      </c>
      <c r="AS492" s="8" t="b">
        <f>OR((SUM(MasterTable[[#This Row],[ILS]:[PAR]]) = MasterTable[[#This Row],[APPR]]))</f>
        <v>1</v>
      </c>
      <c r="AT492" s="8" t="b">
        <f>NOT(ISBLANK(MasterTable[[#This Row],[Total
Time]]))</f>
        <v>1</v>
      </c>
    </row>
    <row r="493" spans="4:46" ht="28.8" x14ac:dyDescent="0.3">
      <c r="D493" s="22">
        <v>44320</v>
      </c>
      <c r="E493" s="8" t="s">
        <v>64</v>
      </c>
      <c r="F493" s="8" t="s">
        <v>204</v>
      </c>
      <c r="G493" s="8" t="s">
        <v>204</v>
      </c>
      <c r="I493" s="10">
        <v>1.2</v>
      </c>
      <c r="J493" s="10">
        <v>1.2</v>
      </c>
      <c r="L493" s="10">
        <v>0</v>
      </c>
      <c r="M493" s="13">
        <v>0</v>
      </c>
      <c r="N493" s="13"/>
      <c r="O493" s="10">
        <v>1.2</v>
      </c>
      <c r="P493" s="10">
        <v>0</v>
      </c>
      <c r="Q493" s="14">
        <v>0</v>
      </c>
      <c r="R493" s="14">
        <v>0</v>
      </c>
      <c r="S493" s="10">
        <v>0</v>
      </c>
      <c r="T493" s="10">
        <v>0</v>
      </c>
      <c r="U493" s="14">
        <v>0</v>
      </c>
      <c r="V493" s="10"/>
      <c r="W493" s="11">
        <v>1</v>
      </c>
      <c r="X493" s="11">
        <v>1</v>
      </c>
      <c r="Y493" s="11">
        <v>0</v>
      </c>
      <c r="Z493" s="11">
        <v>0</v>
      </c>
      <c r="AA493" s="11">
        <f>MasterTable[[#This Row],[Landings
Night]]+MasterTable[[#This Row],[Landings
Day]]</f>
        <v>1</v>
      </c>
      <c r="AB493" s="10">
        <v>0</v>
      </c>
      <c r="AC493" s="10">
        <v>0</v>
      </c>
      <c r="AD493" s="11">
        <v>0</v>
      </c>
      <c r="AE493" s="21">
        <f>SUM(MasterTable[[#This Row],[ILS]:[PAR]])</f>
        <v>0</v>
      </c>
      <c r="AL493" s="11"/>
      <c r="AR493" s="140" t="str">
        <f>_xlfn.XLOOKUP(MasterTable[[#This Row],[Aircraft ID]],Aircraft!A:A,Aircraft!H:H)</f>
        <v>Airplane Single Engine Land</v>
      </c>
      <c r="AS493" s="8" t="b">
        <f>OR((SUM(MasterTable[[#This Row],[ILS]:[PAR]]) = MasterTable[[#This Row],[APPR]]))</f>
        <v>1</v>
      </c>
      <c r="AT493" s="8" t="b">
        <f>NOT(ISBLANK(MasterTable[[#This Row],[Total
Time]]))</f>
        <v>1</v>
      </c>
    </row>
    <row r="494" spans="4:46" ht="28.8" x14ac:dyDescent="0.3">
      <c r="D494" s="22">
        <v>44319</v>
      </c>
      <c r="E494" s="8" t="s">
        <v>75</v>
      </c>
      <c r="F494" s="8" t="s">
        <v>204</v>
      </c>
      <c r="G494" s="8" t="s">
        <v>204</v>
      </c>
      <c r="I494" s="10">
        <v>0.8</v>
      </c>
      <c r="J494" s="10">
        <v>0.8</v>
      </c>
      <c r="L494" s="10">
        <v>0</v>
      </c>
      <c r="M494" s="13">
        <v>0</v>
      </c>
      <c r="N494" s="13"/>
      <c r="O494" s="10">
        <v>0.8</v>
      </c>
      <c r="P494" s="10">
        <v>0</v>
      </c>
      <c r="Q494" s="14">
        <v>0</v>
      </c>
      <c r="R494" s="14">
        <v>0</v>
      </c>
      <c r="S494" s="10">
        <v>0</v>
      </c>
      <c r="T494" s="10">
        <v>0</v>
      </c>
      <c r="U494" s="14">
        <v>0</v>
      </c>
      <c r="V494" s="10"/>
      <c r="W494" s="11">
        <v>1</v>
      </c>
      <c r="X494" s="11">
        <v>1</v>
      </c>
      <c r="Y494" s="11">
        <v>0</v>
      </c>
      <c r="Z494" s="11">
        <v>0</v>
      </c>
      <c r="AA494" s="11">
        <f>MasterTable[[#This Row],[Landings
Night]]+MasterTable[[#This Row],[Landings
Day]]</f>
        <v>1</v>
      </c>
      <c r="AB494" s="10">
        <v>0</v>
      </c>
      <c r="AC494" s="10">
        <v>0</v>
      </c>
      <c r="AD494" s="11">
        <v>0</v>
      </c>
      <c r="AE494" s="21">
        <f>SUM(MasterTable[[#This Row],[ILS]:[PAR]])</f>
        <v>0</v>
      </c>
      <c r="AL494" s="11"/>
      <c r="AR494" s="140" t="str">
        <f>_xlfn.XLOOKUP(MasterTable[[#This Row],[Aircraft ID]],Aircraft!A:A,Aircraft!H:H)</f>
        <v>Airplane Single Engine Land</v>
      </c>
      <c r="AS494" s="8" t="b">
        <f>OR((SUM(MasterTable[[#This Row],[ILS]:[PAR]]) = MasterTable[[#This Row],[APPR]]))</f>
        <v>1</v>
      </c>
      <c r="AT494" s="8" t="b">
        <f>NOT(ISBLANK(MasterTable[[#This Row],[Total
Time]]))</f>
        <v>1</v>
      </c>
    </row>
    <row r="495" spans="4:46" ht="28.8" x14ac:dyDescent="0.3">
      <c r="D495" s="22">
        <v>44319</v>
      </c>
      <c r="E495" s="8" t="s">
        <v>121</v>
      </c>
      <c r="F495" s="8" t="s">
        <v>204</v>
      </c>
      <c r="G495" s="8" t="s">
        <v>204</v>
      </c>
      <c r="I495" s="10">
        <v>0.8</v>
      </c>
      <c r="J495" s="10">
        <v>0.8</v>
      </c>
      <c r="L495" s="10">
        <v>0</v>
      </c>
      <c r="M495" s="13">
        <v>0</v>
      </c>
      <c r="N495" s="13"/>
      <c r="O495" s="10">
        <v>0.8</v>
      </c>
      <c r="P495" s="10">
        <v>0</v>
      </c>
      <c r="Q495" s="14">
        <v>0</v>
      </c>
      <c r="R495" s="14">
        <v>0</v>
      </c>
      <c r="S495" s="10">
        <v>0</v>
      </c>
      <c r="T495" s="10">
        <v>0</v>
      </c>
      <c r="U495" s="14">
        <v>0</v>
      </c>
      <c r="V495" s="10"/>
      <c r="W495" s="11">
        <v>1</v>
      </c>
      <c r="X495" s="11">
        <v>1</v>
      </c>
      <c r="Y495" s="11">
        <v>0</v>
      </c>
      <c r="Z495" s="11">
        <v>0</v>
      </c>
      <c r="AA495" s="11">
        <f>MasterTable[[#This Row],[Landings
Night]]+MasterTable[[#This Row],[Landings
Day]]</f>
        <v>1</v>
      </c>
      <c r="AB495" s="10">
        <v>0</v>
      </c>
      <c r="AC495" s="10">
        <v>0</v>
      </c>
      <c r="AD495" s="11">
        <v>0</v>
      </c>
      <c r="AE495" s="21">
        <f>SUM(MasterTable[[#This Row],[ILS]:[PAR]])</f>
        <v>0</v>
      </c>
      <c r="AL495" s="11"/>
      <c r="AR495" s="140" t="str">
        <f>_xlfn.XLOOKUP(MasterTable[[#This Row],[Aircraft ID]],Aircraft!A:A,Aircraft!H:H)</f>
        <v>Airplane Single Engine Land</v>
      </c>
      <c r="AS495" s="8" t="b">
        <f>OR((SUM(MasterTable[[#This Row],[ILS]:[PAR]]) = MasterTable[[#This Row],[APPR]]))</f>
        <v>1</v>
      </c>
      <c r="AT495" s="8" t="b">
        <f>NOT(ISBLANK(MasterTable[[#This Row],[Total
Time]]))</f>
        <v>1</v>
      </c>
    </row>
    <row r="496" spans="4:46" ht="28.8" x14ac:dyDescent="0.3">
      <c r="D496" s="22">
        <v>44318</v>
      </c>
      <c r="E496" s="8" t="s">
        <v>121</v>
      </c>
      <c r="F496" s="8" t="s">
        <v>204</v>
      </c>
      <c r="G496" s="8" t="s">
        <v>259</v>
      </c>
      <c r="I496" s="10">
        <v>2</v>
      </c>
      <c r="J496" s="10">
        <v>2</v>
      </c>
      <c r="L496" s="10">
        <v>0</v>
      </c>
      <c r="M496" s="13">
        <v>0</v>
      </c>
      <c r="N496" s="13"/>
      <c r="O496" s="10">
        <v>2</v>
      </c>
      <c r="P496" s="10">
        <v>0</v>
      </c>
      <c r="Q496" s="14">
        <v>0</v>
      </c>
      <c r="R496" s="14">
        <v>0</v>
      </c>
      <c r="S496" s="10">
        <v>0</v>
      </c>
      <c r="T496" s="10">
        <v>2</v>
      </c>
      <c r="U496" s="14">
        <v>0</v>
      </c>
      <c r="V496" s="10"/>
      <c r="W496" s="11">
        <v>2</v>
      </c>
      <c r="X496" s="11">
        <v>2</v>
      </c>
      <c r="Y496" s="11">
        <v>0</v>
      </c>
      <c r="Z496" s="11">
        <v>0</v>
      </c>
      <c r="AA496" s="11">
        <f>MasterTable[[#This Row],[Landings
Night]]+MasterTable[[#This Row],[Landings
Day]]</f>
        <v>2</v>
      </c>
      <c r="AB496" s="10">
        <v>0</v>
      </c>
      <c r="AC496" s="10">
        <v>0</v>
      </c>
      <c r="AD496" s="11">
        <v>0</v>
      </c>
      <c r="AE496" s="21">
        <f>SUM(MasterTable[[#This Row],[ILS]:[PAR]])</f>
        <v>0</v>
      </c>
      <c r="AL496" s="11"/>
      <c r="AR496" s="140" t="str">
        <f>_xlfn.XLOOKUP(MasterTable[[#This Row],[Aircraft ID]],Aircraft!A:A,Aircraft!H:H)</f>
        <v>Airplane Single Engine Land</v>
      </c>
      <c r="AS496" s="8" t="b">
        <f>OR((SUM(MasterTable[[#This Row],[ILS]:[PAR]]) = MasterTable[[#This Row],[APPR]]))</f>
        <v>1</v>
      </c>
      <c r="AT496" s="8" t="b">
        <f>NOT(ISBLANK(MasterTable[[#This Row],[Total
Time]]))</f>
        <v>1</v>
      </c>
    </row>
    <row r="497" spans="4:46" ht="28.8" x14ac:dyDescent="0.3">
      <c r="D497" s="22">
        <v>44317</v>
      </c>
      <c r="E497" s="8" t="s">
        <v>75</v>
      </c>
      <c r="F497" s="8" t="s">
        <v>204</v>
      </c>
      <c r="G497" s="8" t="s">
        <v>204</v>
      </c>
      <c r="I497" s="10">
        <v>1.1000000000000001</v>
      </c>
      <c r="J497" s="10">
        <v>1.1000000000000001</v>
      </c>
      <c r="L497" s="10">
        <v>0</v>
      </c>
      <c r="M497" s="13">
        <v>0</v>
      </c>
      <c r="N497" s="13"/>
      <c r="O497" s="10">
        <v>1.1000000000000001</v>
      </c>
      <c r="P497" s="10">
        <v>0</v>
      </c>
      <c r="Q497" s="14">
        <v>0</v>
      </c>
      <c r="R497" s="14">
        <v>0</v>
      </c>
      <c r="S497" s="10">
        <v>0</v>
      </c>
      <c r="T497" s="10">
        <v>0</v>
      </c>
      <c r="U497" s="14">
        <v>0</v>
      </c>
      <c r="V497" s="10"/>
      <c r="W497" s="11">
        <v>1</v>
      </c>
      <c r="X497" s="11">
        <v>1</v>
      </c>
      <c r="Y497" s="11">
        <v>0</v>
      </c>
      <c r="Z497" s="11">
        <v>0</v>
      </c>
      <c r="AA497" s="11">
        <f>MasterTable[[#This Row],[Landings
Night]]+MasterTable[[#This Row],[Landings
Day]]</f>
        <v>1</v>
      </c>
      <c r="AB497" s="10">
        <v>0</v>
      </c>
      <c r="AC497" s="10">
        <v>0</v>
      </c>
      <c r="AD497" s="11">
        <v>0</v>
      </c>
      <c r="AE497" s="21">
        <f>SUM(MasterTable[[#This Row],[ILS]:[PAR]])</f>
        <v>0</v>
      </c>
      <c r="AL497" s="11"/>
      <c r="AR497" s="140" t="str">
        <f>_xlfn.XLOOKUP(MasterTable[[#This Row],[Aircraft ID]],Aircraft!A:A,Aircraft!H:H)</f>
        <v>Airplane Single Engine Land</v>
      </c>
      <c r="AS497" s="8" t="b">
        <f>OR((SUM(MasterTable[[#This Row],[ILS]:[PAR]]) = MasterTable[[#This Row],[APPR]]))</f>
        <v>1</v>
      </c>
      <c r="AT497" s="8" t="b">
        <f>NOT(ISBLANK(MasterTable[[#This Row],[Total
Time]]))</f>
        <v>1</v>
      </c>
    </row>
    <row r="498" spans="4:46" ht="28.8" x14ac:dyDescent="0.3">
      <c r="D498" s="22">
        <v>44317</v>
      </c>
      <c r="E498" s="8" t="s">
        <v>121</v>
      </c>
      <c r="F498" s="8" t="s">
        <v>204</v>
      </c>
      <c r="G498" s="8" t="s">
        <v>204</v>
      </c>
      <c r="I498" s="10">
        <v>1.3</v>
      </c>
      <c r="J498" s="10">
        <v>1.3</v>
      </c>
      <c r="L498" s="10">
        <v>0</v>
      </c>
      <c r="M498" s="13">
        <v>0</v>
      </c>
      <c r="N498" s="13"/>
      <c r="O498" s="10">
        <v>1.3</v>
      </c>
      <c r="P498" s="10">
        <v>0</v>
      </c>
      <c r="Q498" s="14">
        <v>0</v>
      </c>
      <c r="R498" s="14">
        <v>0</v>
      </c>
      <c r="S498" s="10">
        <v>0</v>
      </c>
      <c r="T498" s="10">
        <v>0</v>
      </c>
      <c r="U498" s="14">
        <v>0</v>
      </c>
      <c r="V498" s="10"/>
      <c r="W498" s="11">
        <v>1</v>
      </c>
      <c r="X498" s="11">
        <v>1</v>
      </c>
      <c r="Y498" s="11">
        <v>0</v>
      </c>
      <c r="Z498" s="11">
        <v>0</v>
      </c>
      <c r="AA498" s="11">
        <f>MasterTable[[#This Row],[Landings
Night]]+MasterTable[[#This Row],[Landings
Day]]</f>
        <v>1</v>
      </c>
      <c r="AB498" s="10">
        <v>0</v>
      </c>
      <c r="AC498" s="10">
        <v>0</v>
      </c>
      <c r="AD498" s="11">
        <v>0</v>
      </c>
      <c r="AE498" s="21">
        <f>SUM(MasterTable[[#This Row],[ILS]:[PAR]])</f>
        <v>0</v>
      </c>
      <c r="AL498" s="11"/>
      <c r="AR498" s="140" t="str">
        <f>_xlfn.XLOOKUP(MasterTable[[#This Row],[Aircraft ID]],Aircraft!A:A,Aircraft!H:H)</f>
        <v>Airplane Single Engine Land</v>
      </c>
      <c r="AS498" s="8" t="b">
        <f>OR((SUM(MasterTable[[#This Row],[ILS]:[PAR]]) = MasterTable[[#This Row],[APPR]]))</f>
        <v>1</v>
      </c>
      <c r="AT498" s="8" t="b">
        <f>NOT(ISBLANK(MasterTable[[#This Row],[Total
Time]]))</f>
        <v>1</v>
      </c>
    </row>
    <row r="499" spans="4:46" ht="28.8" x14ac:dyDescent="0.3">
      <c r="D499" s="22">
        <v>44314</v>
      </c>
      <c r="E499" s="8" t="s">
        <v>75</v>
      </c>
      <c r="F499" s="8" t="s">
        <v>204</v>
      </c>
      <c r="G499" s="8" t="s">
        <v>204</v>
      </c>
      <c r="I499" s="10">
        <v>1.1000000000000001</v>
      </c>
      <c r="J499" s="10">
        <v>1.1000000000000001</v>
      </c>
      <c r="L499" s="10">
        <v>0</v>
      </c>
      <c r="M499" s="13">
        <v>0</v>
      </c>
      <c r="N499" s="13"/>
      <c r="O499" s="10">
        <v>1.1000000000000001</v>
      </c>
      <c r="P499" s="10">
        <v>0</v>
      </c>
      <c r="Q499" s="14">
        <v>0</v>
      </c>
      <c r="R499" s="14">
        <v>0</v>
      </c>
      <c r="S499" s="10">
        <v>0</v>
      </c>
      <c r="T499" s="10">
        <v>0</v>
      </c>
      <c r="U499" s="14">
        <v>0</v>
      </c>
      <c r="V499" s="10"/>
      <c r="W499" s="11">
        <v>1</v>
      </c>
      <c r="X499" s="11">
        <v>1</v>
      </c>
      <c r="Y499" s="11">
        <v>0</v>
      </c>
      <c r="Z499" s="11">
        <v>0</v>
      </c>
      <c r="AA499" s="11">
        <f>MasterTable[[#This Row],[Landings
Night]]+MasterTable[[#This Row],[Landings
Day]]</f>
        <v>1</v>
      </c>
      <c r="AB499" s="10">
        <v>0</v>
      </c>
      <c r="AC499" s="10">
        <v>0</v>
      </c>
      <c r="AD499" s="11">
        <v>0</v>
      </c>
      <c r="AE499" s="21">
        <f>SUM(MasterTable[[#This Row],[ILS]:[PAR]])</f>
        <v>0</v>
      </c>
      <c r="AL499" s="11"/>
      <c r="AR499" s="140" t="str">
        <f>_xlfn.XLOOKUP(MasterTable[[#This Row],[Aircraft ID]],Aircraft!A:A,Aircraft!H:H)</f>
        <v>Airplane Single Engine Land</v>
      </c>
      <c r="AS499" s="8" t="b">
        <f>OR((SUM(MasterTable[[#This Row],[ILS]:[PAR]]) = MasterTable[[#This Row],[APPR]]))</f>
        <v>1</v>
      </c>
      <c r="AT499" s="8" t="b">
        <f>NOT(ISBLANK(MasterTable[[#This Row],[Total
Time]]))</f>
        <v>1</v>
      </c>
    </row>
    <row r="500" spans="4:46" ht="28.8" x14ac:dyDescent="0.3">
      <c r="D500" s="22">
        <v>44314</v>
      </c>
      <c r="E500" s="8" t="s">
        <v>75</v>
      </c>
      <c r="F500" s="8" t="s">
        <v>204</v>
      </c>
      <c r="G500" s="8" t="s">
        <v>204</v>
      </c>
      <c r="I500" s="10">
        <v>0.6</v>
      </c>
      <c r="J500" s="10">
        <v>0.6</v>
      </c>
      <c r="L500" s="10">
        <v>0</v>
      </c>
      <c r="M500" s="13">
        <v>0</v>
      </c>
      <c r="N500" s="13"/>
      <c r="O500" s="10">
        <v>0.6</v>
      </c>
      <c r="P500" s="10">
        <v>0</v>
      </c>
      <c r="Q500" s="14">
        <v>0</v>
      </c>
      <c r="R500" s="14">
        <v>0</v>
      </c>
      <c r="S500" s="10">
        <v>0</v>
      </c>
      <c r="T500" s="10">
        <v>0</v>
      </c>
      <c r="U500" s="14">
        <v>0</v>
      </c>
      <c r="V500" s="10"/>
      <c r="W500" s="11">
        <v>3</v>
      </c>
      <c r="X500" s="11">
        <v>3</v>
      </c>
      <c r="Y500" s="11">
        <v>0</v>
      </c>
      <c r="Z500" s="11">
        <v>0</v>
      </c>
      <c r="AA500" s="11">
        <f>MasterTable[[#This Row],[Landings
Night]]+MasterTable[[#This Row],[Landings
Day]]</f>
        <v>3</v>
      </c>
      <c r="AB500" s="10">
        <v>0</v>
      </c>
      <c r="AC500" s="10">
        <v>0</v>
      </c>
      <c r="AD500" s="11">
        <v>0</v>
      </c>
      <c r="AE500" s="21">
        <f>SUM(MasterTable[[#This Row],[ILS]:[PAR]])</f>
        <v>0</v>
      </c>
      <c r="AL500" s="11"/>
      <c r="AR500" s="140" t="str">
        <f>_xlfn.XLOOKUP(MasterTable[[#This Row],[Aircraft ID]],Aircraft!A:A,Aircraft!H:H)</f>
        <v>Airplane Single Engine Land</v>
      </c>
      <c r="AS500" s="8" t="b">
        <f>OR((SUM(MasterTable[[#This Row],[ILS]:[PAR]]) = MasterTable[[#This Row],[APPR]]))</f>
        <v>1</v>
      </c>
      <c r="AT500" s="8" t="b">
        <f>NOT(ISBLANK(MasterTable[[#This Row],[Total
Time]]))</f>
        <v>1</v>
      </c>
    </row>
    <row r="501" spans="4:46" ht="28.8" x14ac:dyDescent="0.3">
      <c r="D501" s="22">
        <v>44313</v>
      </c>
      <c r="E501" s="8" t="s">
        <v>121</v>
      </c>
      <c r="F501" s="8" t="s">
        <v>204</v>
      </c>
      <c r="G501" s="8" t="s">
        <v>204</v>
      </c>
      <c r="I501" s="10">
        <v>0.6</v>
      </c>
      <c r="J501" s="10">
        <v>0.6</v>
      </c>
      <c r="L501" s="10">
        <v>0</v>
      </c>
      <c r="M501" s="13">
        <v>0</v>
      </c>
      <c r="N501" s="13"/>
      <c r="O501" s="10">
        <v>0.6</v>
      </c>
      <c r="P501" s="10">
        <v>0</v>
      </c>
      <c r="Q501" s="14">
        <v>0</v>
      </c>
      <c r="R501" s="14">
        <v>0</v>
      </c>
      <c r="S501" s="10">
        <v>0</v>
      </c>
      <c r="T501" s="10">
        <v>0</v>
      </c>
      <c r="U501" s="14">
        <v>0</v>
      </c>
      <c r="V501" s="10"/>
      <c r="W501" s="11">
        <v>1</v>
      </c>
      <c r="X501" s="11">
        <v>1</v>
      </c>
      <c r="Y501" s="11">
        <v>0</v>
      </c>
      <c r="Z501" s="11">
        <v>0</v>
      </c>
      <c r="AA501" s="11">
        <f>MasterTable[[#This Row],[Landings
Night]]+MasterTable[[#This Row],[Landings
Day]]</f>
        <v>1</v>
      </c>
      <c r="AB501" s="10">
        <v>0</v>
      </c>
      <c r="AC501" s="10">
        <v>0</v>
      </c>
      <c r="AD501" s="11">
        <v>0</v>
      </c>
      <c r="AE501" s="21">
        <f>SUM(MasterTable[[#This Row],[ILS]:[PAR]])</f>
        <v>0</v>
      </c>
      <c r="AL501" s="11"/>
      <c r="AR501" s="140" t="str">
        <f>_xlfn.XLOOKUP(MasterTable[[#This Row],[Aircraft ID]],Aircraft!A:A,Aircraft!H:H)</f>
        <v>Airplane Single Engine Land</v>
      </c>
      <c r="AS501" s="8" t="b">
        <f>OR((SUM(MasterTable[[#This Row],[ILS]:[PAR]]) = MasterTable[[#This Row],[APPR]]))</f>
        <v>1</v>
      </c>
      <c r="AT501" s="8" t="b">
        <f>NOT(ISBLANK(MasterTable[[#This Row],[Total
Time]]))</f>
        <v>1</v>
      </c>
    </row>
    <row r="502" spans="4:46" ht="28.8" x14ac:dyDescent="0.3">
      <c r="D502" s="22">
        <v>44313</v>
      </c>
      <c r="E502" s="8" t="s">
        <v>75</v>
      </c>
      <c r="F502" s="8" t="s">
        <v>204</v>
      </c>
      <c r="G502" s="8" t="s">
        <v>204</v>
      </c>
      <c r="I502" s="10">
        <v>1.1000000000000001</v>
      </c>
      <c r="J502" s="10">
        <v>1.1000000000000001</v>
      </c>
      <c r="L502" s="10">
        <v>0</v>
      </c>
      <c r="M502" s="13">
        <v>0</v>
      </c>
      <c r="N502" s="13"/>
      <c r="O502" s="10">
        <v>1.1000000000000001</v>
      </c>
      <c r="P502" s="10">
        <v>0</v>
      </c>
      <c r="Q502" s="14">
        <v>0</v>
      </c>
      <c r="R502" s="14">
        <v>0</v>
      </c>
      <c r="S502" s="10">
        <v>0</v>
      </c>
      <c r="T502" s="10">
        <v>0</v>
      </c>
      <c r="U502" s="14">
        <v>0</v>
      </c>
      <c r="V502" s="10"/>
      <c r="W502" s="11">
        <v>1</v>
      </c>
      <c r="X502" s="11">
        <v>1</v>
      </c>
      <c r="Y502" s="11">
        <v>0</v>
      </c>
      <c r="Z502" s="11">
        <v>0</v>
      </c>
      <c r="AA502" s="11">
        <f>MasterTable[[#This Row],[Landings
Night]]+MasterTable[[#This Row],[Landings
Day]]</f>
        <v>1</v>
      </c>
      <c r="AB502" s="10">
        <v>0</v>
      </c>
      <c r="AC502" s="10">
        <v>0</v>
      </c>
      <c r="AD502" s="11">
        <v>0</v>
      </c>
      <c r="AE502" s="21">
        <f>SUM(MasterTable[[#This Row],[ILS]:[PAR]])</f>
        <v>0</v>
      </c>
      <c r="AL502" s="11"/>
      <c r="AR502" s="140" t="str">
        <f>_xlfn.XLOOKUP(MasterTable[[#This Row],[Aircraft ID]],Aircraft!A:A,Aircraft!H:H)</f>
        <v>Airplane Single Engine Land</v>
      </c>
      <c r="AS502" s="8" t="b">
        <f>OR((SUM(MasterTable[[#This Row],[ILS]:[PAR]]) = MasterTable[[#This Row],[APPR]]))</f>
        <v>1</v>
      </c>
      <c r="AT502" s="8" t="b">
        <f>NOT(ISBLANK(MasterTable[[#This Row],[Total
Time]]))</f>
        <v>1</v>
      </c>
    </row>
    <row r="503" spans="4:46" ht="28.8" x14ac:dyDescent="0.3">
      <c r="D503" s="22">
        <v>44313</v>
      </c>
      <c r="E503" s="8" t="s">
        <v>64</v>
      </c>
      <c r="F503" s="8" t="s">
        <v>204</v>
      </c>
      <c r="G503" s="8" t="s">
        <v>204</v>
      </c>
      <c r="I503" s="10">
        <v>0.8</v>
      </c>
      <c r="J503" s="10">
        <v>0.8</v>
      </c>
      <c r="L503" s="10">
        <v>0</v>
      </c>
      <c r="M503" s="13">
        <v>0</v>
      </c>
      <c r="N503" s="13"/>
      <c r="O503" s="10">
        <v>0.8</v>
      </c>
      <c r="P503" s="10">
        <v>0</v>
      </c>
      <c r="Q503" s="14">
        <v>0</v>
      </c>
      <c r="R503" s="14">
        <v>0</v>
      </c>
      <c r="S503" s="10">
        <v>0</v>
      </c>
      <c r="T503" s="10">
        <v>0</v>
      </c>
      <c r="U503" s="14">
        <v>0</v>
      </c>
      <c r="V503" s="10"/>
      <c r="W503" s="11">
        <v>1</v>
      </c>
      <c r="X503" s="11">
        <v>1</v>
      </c>
      <c r="Y503" s="11">
        <v>0</v>
      </c>
      <c r="Z503" s="11">
        <v>0</v>
      </c>
      <c r="AA503" s="11">
        <f>MasterTable[[#This Row],[Landings
Night]]+MasterTable[[#This Row],[Landings
Day]]</f>
        <v>1</v>
      </c>
      <c r="AB503" s="10">
        <v>0</v>
      </c>
      <c r="AC503" s="10">
        <v>0</v>
      </c>
      <c r="AD503" s="11">
        <v>0</v>
      </c>
      <c r="AE503" s="21">
        <f>SUM(MasterTable[[#This Row],[ILS]:[PAR]])</f>
        <v>0</v>
      </c>
      <c r="AL503" s="11"/>
      <c r="AR503" s="140" t="str">
        <f>_xlfn.XLOOKUP(MasterTable[[#This Row],[Aircraft ID]],Aircraft!A:A,Aircraft!H:H)</f>
        <v>Airplane Single Engine Land</v>
      </c>
      <c r="AS503" s="8" t="b">
        <f>OR((SUM(MasterTable[[#This Row],[ILS]:[PAR]]) = MasterTable[[#This Row],[APPR]]))</f>
        <v>1</v>
      </c>
      <c r="AT503" s="8" t="b">
        <f>NOT(ISBLANK(MasterTable[[#This Row],[Total
Time]]))</f>
        <v>1</v>
      </c>
    </row>
    <row r="504" spans="4:46" ht="28.8" x14ac:dyDescent="0.3">
      <c r="D504" s="22">
        <v>44311</v>
      </c>
      <c r="E504" s="8" t="s">
        <v>75</v>
      </c>
      <c r="F504" s="8" t="s">
        <v>204</v>
      </c>
      <c r="G504" s="8" t="s">
        <v>204</v>
      </c>
      <c r="I504" s="10">
        <v>1</v>
      </c>
      <c r="J504" s="10">
        <v>1</v>
      </c>
      <c r="L504" s="10">
        <v>0</v>
      </c>
      <c r="M504" s="13">
        <v>0</v>
      </c>
      <c r="N504" s="13"/>
      <c r="O504" s="10">
        <v>1</v>
      </c>
      <c r="P504" s="10">
        <v>0</v>
      </c>
      <c r="Q504" s="14">
        <v>0</v>
      </c>
      <c r="R504" s="14">
        <v>0</v>
      </c>
      <c r="S504" s="10">
        <v>0</v>
      </c>
      <c r="T504" s="10">
        <v>0</v>
      </c>
      <c r="U504" s="14">
        <v>0</v>
      </c>
      <c r="V504" s="10"/>
      <c r="W504" s="11">
        <v>1</v>
      </c>
      <c r="X504" s="11">
        <v>1</v>
      </c>
      <c r="Y504" s="11">
        <v>0</v>
      </c>
      <c r="Z504" s="11">
        <v>0</v>
      </c>
      <c r="AA504" s="11">
        <f>MasterTable[[#This Row],[Landings
Night]]+MasterTable[[#This Row],[Landings
Day]]</f>
        <v>1</v>
      </c>
      <c r="AB504" s="10">
        <v>0</v>
      </c>
      <c r="AC504" s="10">
        <v>0</v>
      </c>
      <c r="AD504" s="11">
        <v>0</v>
      </c>
      <c r="AE504" s="21">
        <f>SUM(MasterTable[[#This Row],[ILS]:[PAR]])</f>
        <v>0</v>
      </c>
      <c r="AL504" s="11"/>
      <c r="AR504" s="140" t="str">
        <f>_xlfn.XLOOKUP(MasterTable[[#This Row],[Aircraft ID]],Aircraft!A:A,Aircraft!H:H)</f>
        <v>Airplane Single Engine Land</v>
      </c>
      <c r="AS504" s="8" t="b">
        <f>OR((SUM(MasterTable[[#This Row],[ILS]:[PAR]]) = MasterTable[[#This Row],[APPR]]))</f>
        <v>1</v>
      </c>
      <c r="AT504" s="8" t="b">
        <f>NOT(ISBLANK(MasterTable[[#This Row],[Total
Time]]))</f>
        <v>1</v>
      </c>
    </row>
    <row r="505" spans="4:46" ht="28.8" x14ac:dyDescent="0.3">
      <c r="D505" s="22">
        <v>44306</v>
      </c>
      <c r="E505" s="8" t="s">
        <v>64</v>
      </c>
      <c r="F505" s="8" t="s">
        <v>204</v>
      </c>
      <c r="G505" s="8" t="s">
        <v>204</v>
      </c>
      <c r="I505" s="10">
        <v>0.8</v>
      </c>
      <c r="J505" s="10">
        <v>0.8</v>
      </c>
      <c r="L505" s="10">
        <v>0</v>
      </c>
      <c r="M505" s="13">
        <v>0</v>
      </c>
      <c r="N505" s="13"/>
      <c r="O505" s="10">
        <v>0.8</v>
      </c>
      <c r="P505" s="10">
        <v>0</v>
      </c>
      <c r="Q505" s="14">
        <v>0</v>
      </c>
      <c r="R505" s="14">
        <v>0</v>
      </c>
      <c r="S505" s="10">
        <v>0</v>
      </c>
      <c r="T505" s="10">
        <v>0</v>
      </c>
      <c r="U505" s="14">
        <v>0</v>
      </c>
      <c r="V505" s="10"/>
      <c r="W505" s="11">
        <v>1</v>
      </c>
      <c r="X505" s="11">
        <v>1</v>
      </c>
      <c r="Y505" s="11">
        <v>0</v>
      </c>
      <c r="Z505" s="11">
        <v>0</v>
      </c>
      <c r="AA505" s="11">
        <f>MasterTable[[#This Row],[Landings
Night]]+MasterTable[[#This Row],[Landings
Day]]</f>
        <v>1</v>
      </c>
      <c r="AB505" s="10">
        <v>0</v>
      </c>
      <c r="AC505" s="10">
        <v>0</v>
      </c>
      <c r="AD505" s="11">
        <v>0</v>
      </c>
      <c r="AE505" s="21">
        <f>SUM(MasterTable[[#This Row],[ILS]:[PAR]])</f>
        <v>0</v>
      </c>
      <c r="AL505" s="11"/>
      <c r="AR505" s="140" t="str">
        <f>_xlfn.XLOOKUP(MasterTable[[#This Row],[Aircraft ID]],Aircraft!A:A,Aircraft!H:H)</f>
        <v>Airplane Single Engine Land</v>
      </c>
      <c r="AS505" s="8" t="b">
        <f>OR((SUM(MasterTable[[#This Row],[ILS]:[PAR]]) = MasterTable[[#This Row],[APPR]]))</f>
        <v>1</v>
      </c>
      <c r="AT505" s="8" t="b">
        <f>NOT(ISBLANK(MasterTable[[#This Row],[Total
Time]]))</f>
        <v>1</v>
      </c>
    </row>
    <row r="506" spans="4:46" ht="28.8" x14ac:dyDescent="0.3">
      <c r="D506" s="22">
        <v>44306</v>
      </c>
      <c r="E506" s="8" t="s">
        <v>75</v>
      </c>
      <c r="F506" s="8" t="s">
        <v>204</v>
      </c>
      <c r="G506" s="8" t="s">
        <v>258</v>
      </c>
      <c r="I506" s="10">
        <v>1.2</v>
      </c>
      <c r="J506" s="10">
        <v>1.2</v>
      </c>
      <c r="L506" s="10">
        <v>0</v>
      </c>
      <c r="M506" s="13">
        <v>0</v>
      </c>
      <c r="N506" s="13"/>
      <c r="O506" s="10">
        <v>1.2</v>
      </c>
      <c r="P506" s="10">
        <v>0</v>
      </c>
      <c r="Q506" s="14">
        <v>0</v>
      </c>
      <c r="R506" s="14">
        <v>0</v>
      </c>
      <c r="S506" s="10">
        <v>0</v>
      </c>
      <c r="T506" s="10">
        <v>0</v>
      </c>
      <c r="U506" s="14">
        <v>0</v>
      </c>
      <c r="V506" s="10"/>
      <c r="W506" s="11">
        <v>2</v>
      </c>
      <c r="X506" s="11">
        <v>2</v>
      </c>
      <c r="Y506" s="11">
        <v>0</v>
      </c>
      <c r="Z506" s="11">
        <v>0</v>
      </c>
      <c r="AA506" s="11">
        <f>MasterTable[[#This Row],[Landings
Night]]+MasterTable[[#This Row],[Landings
Day]]</f>
        <v>2</v>
      </c>
      <c r="AB506" s="10">
        <v>0</v>
      </c>
      <c r="AC506" s="10">
        <v>0</v>
      </c>
      <c r="AD506" s="11">
        <v>0</v>
      </c>
      <c r="AE506" s="21">
        <f>SUM(MasterTable[[#This Row],[ILS]:[PAR]])</f>
        <v>0</v>
      </c>
      <c r="AL506" s="11"/>
      <c r="AR506" s="140" t="str">
        <f>_xlfn.XLOOKUP(MasterTable[[#This Row],[Aircraft ID]],Aircraft!A:A,Aircraft!H:H)</f>
        <v>Airplane Single Engine Land</v>
      </c>
      <c r="AS506" s="8" t="b">
        <f>OR((SUM(MasterTable[[#This Row],[ILS]:[PAR]]) = MasterTable[[#This Row],[APPR]]))</f>
        <v>1</v>
      </c>
      <c r="AT506" s="8" t="b">
        <f>NOT(ISBLANK(MasterTable[[#This Row],[Total
Time]]))</f>
        <v>1</v>
      </c>
    </row>
    <row r="507" spans="4:46" ht="28.8" x14ac:dyDescent="0.3">
      <c r="D507" s="22">
        <v>44305</v>
      </c>
      <c r="E507" s="8" t="s">
        <v>75</v>
      </c>
      <c r="F507" s="8" t="s">
        <v>204</v>
      </c>
      <c r="G507" s="8" t="s">
        <v>204</v>
      </c>
      <c r="I507" s="10">
        <v>1</v>
      </c>
      <c r="J507" s="10">
        <v>1</v>
      </c>
      <c r="L507" s="10">
        <v>0</v>
      </c>
      <c r="M507" s="13">
        <v>0</v>
      </c>
      <c r="N507" s="13"/>
      <c r="O507" s="10">
        <v>1</v>
      </c>
      <c r="P507" s="10">
        <v>0</v>
      </c>
      <c r="Q507" s="14">
        <v>0</v>
      </c>
      <c r="R507" s="14">
        <v>0</v>
      </c>
      <c r="S507" s="10">
        <v>0</v>
      </c>
      <c r="T507" s="10">
        <v>0</v>
      </c>
      <c r="U507" s="14">
        <v>0</v>
      </c>
      <c r="V507" s="10"/>
      <c r="W507" s="11">
        <v>1</v>
      </c>
      <c r="X507" s="11">
        <v>1</v>
      </c>
      <c r="Y507" s="11">
        <v>0</v>
      </c>
      <c r="Z507" s="11">
        <v>0</v>
      </c>
      <c r="AA507" s="11">
        <f>MasterTable[[#This Row],[Landings
Night]]+MasterTable[[#This Row],[Landings
Day]]</f>
        <v>1</v>
      </c>
      <c r="AB507" s="10">
        <v>0</v>
      </c>
      <c r="AC507" s="10">
        <v>0</v>
      </c>
      <c r="AD507" s="11">
        <v>0</v>
      </c>
      <c r="AE507" s="21">
        <f>SUM(MasterTable[[#This Row],[ILS]:[PAR]])</f>
        <v>0</v>
      </c>
      <c r="AL507" s="11"/>
      <c r="AR507" s="140" t="str">
        <f>_xlfn.XLOOKUP(MasterTable[[#This Row],[Aircraft ID]],Aircraft!A:A,Aircraft!H:H)</f>
        <v>Airplane Single Engine Land</v>
      </c>
      <c r="AS507" s="8" t="b">
        <f>OR((SUM(MasterTable[[#This Row],[ILS]:[PAR]]) = MasterTable[[#This Row],[APPR]]))</f>
        <v>1</v>
      </c>
      <c r="AT507" s="8" t="b">
        <f>NOT(ISBLANK(MasterTable[[#This Row],[Total
Time]]))</f>
        <v>1</v>
      </c>
    </row>
    <row r="508" spans="4:46" ht="28.8" x14ac:dyDescent="0.3">
      <c r="D508" s="22">
        <v>44304</v>
      </c>
      <c r="E508" s="8" t="s">
        <v>75</v>
      </c>
      <c r="F508" s="8" t="s">
        <v>204</v>
      </c>
      <c r="G508" s="8" t="s">
        <v>204</v>
      </c>
      <c r="I508" s="10">
        <v>1.4</v>
      </c>
      <c r="J508" s="10">
        <v>1.4</v>
      </c>
      <c r="L508" s="10">
        <v>0</v>
      </c>
      <c r="M508" s="13">
        <v>0</v>
      </c>
      <c r="N508" s="13"/>
      <c r="O508" s="10">
        <v>1.4</v>
      </c>
      <c r="P508" s="10">
        <v>0</v>
      </c>
      <c r="Q508" s="14">
        <v>0</v>
      </c>
      <c r="R508" s="14">
        <v>0</v>
      </c>
      <c r="S508" s="10">
        <v>0</v>
      </c>
      <c r="T508" s="10">
        <v>0</v>
      </c>
      <c r="U508" s="14">
        <v>0</v>
      </c>
      <c r="V508" s="10"/>
      <c r="W508" s="11">
        <v>3</v>
      </c>
      <c r="X508" s="11">
        <v>3</v>
      </c>
      <c r="Y508" s="11">
        <v>0</v>
      </c>
      <c r="Z508" s="11">
        <v>0</v>
      </c>
      <c r="AA508" s="11">
        <f>MasterTable[[#This Row],[Landings
Night]]+MasterTable[[#This Row],[Landings
Day]]</f>
        <v>3</v>
      </c>
      <c r="AB508" s="10">
        <v>0</v>
      </c>
      <c r="AC508" s="10">
        <v>0</v>
      </c>
      <c r="AD508" s="11">
        <v>0</v>
      </c>
      <c r="AE508" s="21">
        <f>SUM(MasterTable[[#This Row],[ILS]:[PAR]])</f>
        <v>0</v>
      </c>
      <c r="AL508" s="11"/>
      <c r="AR508" s="140" t="str">
        <f>_xlfn.XLOOKUP(MasterTable[[#This Row],[Aircraft ID]],Aircraft!A:A,Aircraft!H:H)</f>
        <v>Airplane Single Engine Land</v>
      </c>
      <c r="AS508" s="8" t="b">
        <f>OR((SUM(MasterTable[[#This Row],[ILS]:[PAR]]) = MasterTable[[#This Row],[APPR]]))</f>
        <v>1</v>
      </c>
      <c r="AT508" s="8" t="b">
        <f>NOT(ISBLANK(MasterTable[[#This Row],[Total
Time]]))</f>
        <v>1</v>
      </c>
    </row>
    <row r="509" spans="4:46" ht="28.8" x14ac:dyDescent="0.3">
      <c r="D509" s="22">
        <v>44304</v>
      </c>
      <c r="E509" s="8" t="s">
        <v>121</v>
      </c>
      <c r="F509" s="8" t="s">
        <v>204</v>
      </c>
      <c r="G509" s="8" t="s">
        <v>204</v>
      </c>
      <c r="I509" s="10">
        <v>1.2</v>
      </c>
      <c r="J509" s="10">
        <v>1.2</v>
      </c>
      <c r="L509" s="10">
        <v>0</v>
      </c>
      <c r="M509" s="13">
        <v>0</v>
      </c>
      <c r="N509" s="13"/>
      <c r="O509" s="10">
        <v>1.2</v>
      </c>
      <c r="P509" s="10">
        <v>0</v>
      </c>
      <c r="Q509" s="14">
        <v>0</v>
      </c>
      <c r="R509" s="14">
        <v>0</v>
      </c>
      <c r="S509" s="10">
        <v>0</v>
      </c>
      <c r="T509" s="10">
        <v>0</v>
      </c>
      <c r="U509" s="14">
        <v>0</v>
      </c>
      <c r="V509" s="10"/>
      <c r="W509" s="11">
        <v>2</v>
      </c>
      <c r="X509" s="11">
        <v>2</v>
      </c>
      <c r="Y509" s="11">
        <v>0</v>
      </c>
      <c r="Z509" s="11">
        <v>0</v>
      </c>
      <c r="AA509" s="11">
        <f>MasterTable[[#This Row],[Landings
Night]]+MasterTable[[#This Row],[Landings
Day]]</f>
        <v>2</v>
      </c>
      <c r="AB509" s="10">
        <v>0</v>
      </c>
      <c r="AC509" s="10">
        <v>0</v>
      </c>
      <c r="AD509" s="11">
        <v>0</v>
      </c>
      <c r="AE509" s="21">
        <f>SUM(MasterTable[[#This Row],[ILS]:[PAR]])</f>
        <v>0</v>
      </c>
      <c r="AL509" s="11"/>
      <c r="AR509" s="140" t="str">
        <f>_xlfn.XLOOKUP(MasterTable[[#This Row],[Aircraft ID]],Aircraft!A:A,Aircraft!H:H)</f>
        <v>Airplane Single Engine Land</v>
      </c>
      <c r="AS509" s="8" t="b">
        <f>OR((SUM(MasterTable[[#This Row],[ILS]:[PAR]]) = MasterTable[[#This Row],[APPR]]))</f>
        <v>1</v>
      </c>
      <c r="AT509" s="8" t="b">
        <f>NOT(ISBLANK(MasterTable[[#This Row],[Total
Time]]))</f>
        <v>1</v>
      </c>
    </row>
    <row r="510" spans="4:46" ht="28.8" x14ac:dyDescent="0.3">
      <c r="D510" s="22">
        <v>44303</v>
      </c>
      <c r="E510" s="8" t="s">
        <v>121</v>
      </c>
      <c r="F510" s="8" t="s">
        <v>204</v>
      </c>
      <c r="G510" s="8" t="s">
        <v>204</v>
      </c>
      <c r="I510" s="10">
        <v>0.7</v>
      </c>
      <c r="J510" s="10">
        <v>0.7</v>
      </c>
      <c r="L510" s="10">
        <v>0</v>
      </c>
      <c r="M510" s="13">
        <v>0</v>
      </c>
      <c r="N510" s="13"/>
      <c r="O510" s="10">
        <v>0.7</v>
      </c>
      <c r="P510" s="10">
        <v>0</v>
      </c>
      <c r="Q510" s="14">
        <v>0</v>
      </c>
      <c r="R510" s="14">
        <v>0</v>
      </c>
      <c r="S510" s="10">
        <v>0</v>
      </c>
      <c r="T510" s="10">
        <v>0</v>
      </c>
      <c r="U510" s="14">
        <v>0</v>
      </c>
      <c r="V510" s="10"/>
      <c r="W510" s="11">
        <v>1</v>
      </c>
      <c r="X510" s="11">
        <v>1</v>
      </c>
      <c r="Y510" s="11">
        <v>0</v>
      </c>
      <c r="Z510" s="11">
        <v>0</v>
      </c>
      <c r="AA510" s="11">
        <f>MasterTable[[#This Row],[Landings
Night]]+MasterTable[[#This Row],[Landings
Day]]</f>
        <v>1</v>
      </c>
      <c r="AB510" s="10">
        <v>0</v>
      </c>
      <c r="AC510" s="10">
        <v>0</v>
      </c>
      <c r="AD510" s="11">
        <v>0</v>
      </c>
      <c r="AE510" s="21">
        <f>SUM(MasterTable[[#This Row],[ILS]:[PAR]])</f>
        <v>0</v>
      </c>
      <c r="AL510" s="11"/>
      <c r="AR510" s="140" t="str">
        <f>_xlfn.XLOOKUP(MasterTable[[#This Row],[Aircraft ID]],Aircraft!A:A,Aircraft!H:H)</f>
        <v>Airplane Single Engine Land</v>
      </c>
      <c r="AS510" s="8" t="b">
        <f>OR((SUM(MasterTable[[#This Row],[ILS]:[PAR]]) = MasterTable[[#This Row],[APPR]]))</f>
        <v>1</v>
      </c>
      <c r="AT510" s="8" t="b">
        <f>NOT(ISBLANK(MasterTable[[#This Row],[Total
Time]]))</f>
        <v>1</v>
      </c>
    </row>
    <row r="511" spans="4:46" ht="28.8" x14ac:dyDescent="0.3">
      <c r="D511" s="22">
        <v>44303</v>
      </c>
      <c r="E511" s="8" t="s">
        <v>75</v>
      </c>
      <c r="F511" s="8" t="s">
        <v>204</v>
      </c>
      <c r="G511" s="8" t="s">
        <v>204</v>
      </c>
      <c r="I511" s="10">
        <v>0.7</v>
      </c>
      <c r="J511" s="10">
        <v>0.7</v>
      </c>
      <c r="L511" s="10">
        <v>0</v>
      </c>
      <c r="M511" s="13">
        <v>0</v>
      </c>
      <c r="N511" s="13"/>
      <c r="O511" s="10">
        <v>0.7</v>
      </c>
      <c r="P511" s="10">
        <v>0</v>
      </c>
      <c r="Q511" s="14">
        <v>0</v>
      </c>
      <c r="R511" s="14">
        <v>0</v>
      </c>
      <c r="S511" s="10">
        <v>0</v>
      </c>
      <c r="T511" s="10">
        <v>0</v>
      </c>
      <c r="U511" s="14">
        <v>0</v>
      </c>
      <c r="V511" s="10"/>
      <c r="W511" s="11">
        <v>1</v>
      </c>
      <c r="X511" s="11">
        <v>1</v>
      </c>
      <c r="Y511" s="11">
        <v>0</v>
      </c>
      <c r="Z511" s="11">
        <v>0</v>
      </c>
      <c r="AA511" s="11">
        <f>MasterTable[[#This Row],[Landings
Night]]+MasterTable[[#This Row],[Landings
Day]]</f>
        <v>1</v>
      </c>
      <c r="AB511" s="10">
        <v>0</v>
      </c>
      <c r="AC511" s="10">
        <v>0</v>
      </c>
      <c r="AD511" s="11">
        <v>0</v>
      </c>
      <c r="AE511" s="21">
        <f>SUM(MasterTable[[#This Row],[ILS]:[PAR]])</f>
        <v>0</v>
      </c>
      <c r="AL511" s="11"/>
      <c r="AR511" s="140" t="str">
        <f>_xlfn.XLOOKUP(MasterTable[[#This Row],[Aircraft ID]],Aircraft!A:A,Aircraft!H:H)</f>
        <v>Airplane Single Engine Land</v>
      </c>
      <c r="AS511" s="8" t="b">
        <f>OR((SUM(MasterTable[[#This Row],[ILS]:[PAR]]) = MasterTable[[#This Row],[APPR]]))</f>
        <v>1</v>
      </c>
      <c r="AT511" s="8" t="b">
        <f>NOT(ISBLANK(MasterTable[[#This Row],[Total
Time]]))</f>
        <v>1</v>
      </c>
    </row>
    <row r="512" spans="4:46" ht="28.8" x14ac:dyDescent="0.3">
      <c r="D512" s="22">
        <v>44303</v>
      </c>
      <c r="E512" s="8" t="s">
        <v>75</v>
      </c>
      <c r="F512" s="8" t="s">
        <v>204</v>
      </c>
      <c r="G512" s="8" t="s">
        <v>204</v>
      </c>
      <c r="I512" s="10">
        <v>0.5</v>
      </c>
      <c r="J512" s="10">
        <v>0.5</v>
      </c>
      <c r="L512" s="10">
        <v>0</v>
      </c>
      <c r="M512" s="13">
        <v>0</v>
      </c>
      <c r="N512" s="13"/>
      <c r="O512" s="10">
        <v>0.5</v>
      </c>
      <c r="P512" s="10">
        <v>0</v>
      </c>
      <c r="Q512" s="14">
        <v>0</v>
      </c>
      <c r="R512" s="14">
        <v>0</v>
      </c>
      <c r="S512" s="10">
        <v>0</v>
      </c>
      <c r="T512" s="10">
        <v>0</v>
      </c>
      <c r="U512" s="14">
        <v>0</v>
      </c>
      <c r="V512" s="10"/>
      <c r="W512" s="11">
        <v>1</v>
      </c>
      <c r="X512" s="11">
        <v>1</v>
      </c>
      <c r="Y512" s="11">
        <v>0</v>
      </c>
      <c r="Z512" s="11">
        <v>0</v>
      </c>
      <c r="AA512" s="11">
        <f>MasterTable[[#This Row],[Landings
Night]]+MasterTable[[#This Row],[Landings
Day]]</f>
        <v>1</v>
      </c>
      <c r="AB512" s="10">
        <v>0</v>
      </c>
      <c r="AC512" s="10">
        <v>0</v>
      </c>
      <c r="AD512" s="11">
        <v>0</v>
      </c>
      <c r="AE512" s="21">
        <f>SUM(MasterTable[[#This Row],[ILS]:[PAR]])</f>
        <v>0</v>
      </c>
      <c r="AL512" s="11"/>
      <c r="AR512" s="140" t="str">
        <f>_xlfn.XLOOKUP(MasterTable[[#This Row],[Aircraft ID]],Aircraft!A:A,Aircraft!H:H)</f>
        <v>Airplane Single Engine Land</v>
      </c>
      <c r="AS512" s="8" t="b">
        <f>OR((SUM(MasterTable[[#This Row],[ILS]:[PAR]]) = MasterTable[[#This Row],[APPR]]))</f>
        <v>1</v>
      </c>
      <c r="AT512" s="8" t="b">
        <f>NOT(ISBLANK(MasterTable[[#This Row],[Total
Time]]))</f>
        <v>1</v>
      </c>
    </row>
    <row r="513" spans="4:46" ht="28.8" x14ac:dyDescent="0.3">
      <c r="D513" s="22">
        <v>44303</v>
      </c>
      <c r="E513" s="8" t="s">
        <v>75</v>
      </c>
      <c r="F513" s="8" t="s">
        <v>204</v>
      </c>
      <c r="G513" s="8" t="s">
        <v>204</v>
      </c>
      <c r="I513" s="10">
        <v>0.8</v>
      </c>
      <c r="J513" s="10">
        <v>0.8</v>
      </c>
      <c r="L513" s="10">
        <v>0</v>
      </c>
      <c r="M513" s="13">
        <v>0</v>
      </c>
      <c r="N513" s="13"/>
      <c r="O513" s="10">
        <v>0.8</v>
      </c>
      <c r="P513" s="10">
        <v>0</v>
      </c>
      <c r="Q513" s="14">
        <v>0</v>
      </c>
      <c r="R513" s="14">
        <v>0</v>
      </c>
      <c r="S513" s="10">
        <v>0</v>
      </c>
      <c r="T513" s="10">
        <v>0</v>
      </c>
      <c r="U513" s="14">
        <v>0</v>
      </c>
      <c r="V513" s="10"/>
      <c r="W513" s="11">
        <v>1</v>
      </c>
      <c r="X513" s="11">
        <v>1</v>
      </c>
      <c r="Y513" s="11">
        <v>0</v>
      </c>
      <c r="Z513" s="11">
        <v>0</v>
      </c>
      <c r="AA513" s="11">
        <f>MasterTable[[#This Row],[Landings
Night]]+MasterTable[[#This Row],[Landings
Day]]</f>
        <v>1</v>
      </c>
      <c r="AB513" s="10">
        <v>0</v>
      </c>
      <c r="AC513" s="10">
        <v>0</v>
      </c>
      <c r="AD513" s="11">
        <v>0</v>
      </c>
      <c r="AE513" s="21">
        <f>SUM(MasterTable[[#This Row],[ILS]:[PAR]])</f>
        <v>0</v>
      </c>
      <c r="AL513" s="11"/>
      <c r="AR513" s="140" t="str">
        <f>_xlfn.XLOOKUP(MasterTable[[#This Row],[Aircraft ID]],Aircraft!A:A,Aircraft!H:H)</f>
        <v>Airplane Single Engine Land</v>
      </c>
      <c r="AS513" s="8" t="b">
        <f>OR((SUM(MasterTable[[#This Row],[ILS]:[PAR]]) = MasterTable[[#This Row],[APPR]]))</f>
        <v>1</v>
      </c>
      <c r="AT513" s="8" t="b">
        <f>NOT(ISBLANK(MasterTable[[#This Row],[Total
Time]]))</f>
        <v>1</v>
      </c>
    </row>
    <row r="514" spans="4:46" ht="28.8" x14ac:dyDescent="0.3">
      <c r="D514" s="22">
        <v>44302</v>
      </c>
      <c r="E514" s="8" t="s">
        <v>75</v>
      </c>
      <c r="F514" s="8" t="s">
        <v>204</v>
      </c>
      <c r="G514" s="8" t="s">
        <v>260</v>
      </c>
      <c r="I514" s="10">
        <v>1.9</v>
      </c>
      <c r="J514" s="10">
        <v>1.9</v>
      </c>
      <c r="L514" s="10">
        <v>0</v>
      </c>
      <c r="M514" s="13">
        <v>0</v>
      </c>
      <c r="N514" s="13"/>
      <c r="O514" s="10">
        <v>1.9</v>
      </c>
      <c r="P514" s="10">
        <v>0</v>
      </c>
      <c r="Q514" s="14">
        <v>0</v>
      </c>
      <c r="R514" s="14">
        <v>0</v>
      </c>
      <c r="S514" s="10">
        <v>0</v>
      </c>
      <c r="T514" s="10">
        <v>1.9</v>
      </c>
      <c r="U514" s="14">
        <v>0</v>
      </c>
      <c r="V514" s="10"/>
      <c r="W514" s="11">
        <v>2</v>
      </c>
      <c r="X514" s="11">
        <v>2</v>
      </c>
      <c r="Y514" s="11">
        <v>0</v>
      </c>
      <c r="Z514" s="11">
        <v>0</v>
      </c>
      <c r="AA514" s="11">
        <f>MasterTable[[#This Row],[Landings
Night]]+MasterTable[[#This Row],[Landings
Day]]</f>
        <v>2</v>
      </c>
      <c r="AB514" s="10">
        <v>0</v>
      </c>
      <c r="AC514" s="10">
        <v>0</v>
      </c>
      <c r="AD514" s="11">
        <v>0</v>
      </c>
      <c r="AE514" s="21">
        <f>SUM(MasterTable[[#This Row],[ILS]:[PAR]])</f>
        <v>0</v>
      </c>
      <c r="AL514" s="11"/>
      <c r="AR514" s="140" t="str">
        <f>_xlfn.XLOOKUP(MasterTable[[#This Row],[Aircraft ID]],Aircraft!A:A,Aircraft!H:H)</f>
        <v>Airplane Single Engine Land</v>
      </c>
      <c r="AS514" s="8" t="b">
        <f>OR((SUM(MasterTable[[#This Row],[ILS]:[PAR]]) = MasterTable[[#This Row],[APPR]]))</f>
        <v>1</v>
      </c>
      <c r="AT514" s="8" t="b">
        <f>NOT(ISBLANK(MasterTable[[#This Row],[Total
Time]]))</f>
        <v>1</v>
      </c>
    </row>
    <row r="515" spans="4:46" ht="28.8" x14ac:dyDescent="0.3">
      <c r="D515" s="22">
        <v>44300</v>
      </c>
      <c r="E515" s="8" t="s">
        <v>121</v>
      </c>
      <c r="F515" s="8" t="s">
        <v>204</v>
      </c>
      <c r="G515" s="8" t="s">
        <v>204</v>
      </c>
      <c r="I515" s="10">
        <v>1</v>
      </c>
      <c r="J515" s="10">
        <v>1</v>
      </c>
      <c r="L515" s="10">
        <v>0</v>
      </c>
      <c r="M515" s="13">
        <v>0</v>
      </c>
      <c r="N515" s="13"/>
      <c r="O515" s="10">
        <v>1</v>
      </c>
      <c r="P515" s="10">
        <v>0</v>
      </c>
      <c r="Q515" s="14">
        <v>0</v>
      </c>
      <c r="R515" s="14">
        <v>0</v>
      </c>
      <c r="S515" s="10">
        <v>1</v>
      </c>
      <c r="T515" s="10">
        <v>0</v>
      </c>
      <c r="U515" s="14">
        <v>0</v>
      </c>
      <c r="V515" s="10"/>
      <c r="W515" s="11">
        <v>0</v>
      </c>
      <c r="X515" s="11">
        <v>0</v>
      </c>
      <c r="Y515" s="11">
        <v>3</v>
      </c>
      <c r="Z515" s="11">
        <v>3</v>
      </c>
      <c r="AA515" s="11">
        <f>MasterTable[[#This Row],[Landings
Night]]+MasterTable[[#This Row],[Landings
Day]]</f>
        <v>3</v>
      </c>
      <c r="AB515" s="10">
        <v>0</v>
      </c>
      <c r="AC515" s="10">
        <v>0</v>
      </c>
      <c r="AD515" s="11">
        <v>0</v>
      </c>
      <c r="AE515" s="21">
        <f>SUM(MasterTable[[#This Row],[ILS]:[PAR]])</f>
        <v>0</v>
      </c>
      <c r="AL515" s="11"/>
      <c r="AR515" s="140" t="str">
        <f>_xlfn.XLOOKUP(MasterTable[[#This Row],[Aircraft ID]],Aircraft!A:A,Aircraft!H:H)</f>
        <v>Airplane Single Engine Land</v>
      </c>
      <c r="AS515" s="8" t="b">
        <f>OR((SUM(MasterTable[[#This Row],[ILS]:[PAR]]) = MasterTable[[#This Row],[APPR]]))</f>
        <v>1</v>
      </c>
      <c r="AT515" s="8" t="b">
        <f>NOT(ISBLANK(MasterTable[[#This Row],[Total
Time]]))</f>
        <v>1</v>
      </c>
    </row>
    <row r="516" spans="4:46" ht="28.8" x14ac:dyDescent="0.3">
      <c r="D516" s="22">
        <v>44299</v>
      </c>
      <c r="E516" s="8" t="s">
        <v>121</v>
      </c>
      <c r="F516" s="8" t="s">
        <v>204</v>
      </c>
      <c r="G516" s="8" t="s">
        <v>204</v>
      </c>
      <c r="I516" s="10">
        <v>1.2</v>
      </c>
      <c r="J516" s="10">
        <v>1.2</v>
      </c>
      <c r="L516" s="10">
        <v>0</v>
      </c>
      <c r="M516" s="13">
        <v>0</v>
      </c>
      <c r="N516" s="13"/>
      <c r="O516" s="10">
        <v>1.2</v>
      </c>
      <c r="P516" s="10">
        <v>0</v>
      </c>
      <c r="Q516" s="14">
        <v>0</v>
      </c>
      <c r="R516" s="14">
        <v>0</v>
      </c>
      <c r="S516" s="10">
        <v>0</v>
      </c>
      <c r="T516" s="10">
        <v>0</v>
      </c>
      <c r="U516" s="14">
        <v>0</v>
      </c>
      <c r="V516" s="10"/>
      <c r="W516" s="11">
        <v>8</v>
      </c>
      <c r="X516" s="11">
        <v>8</v>
      </c>
      <c r="Y516" s="11">
        <v>0</v>
      </c>
      <c r="Z516" s="11">
        <v>0</v>
      </c>
      <c r="AA516" s="11">
        <f>MasterTable[[#This Row],[Landings
Night]]+MasterTable[[#This Row],[Landings
Day]]</f>
        <v>8</v>
      </c>
      <c r="AB516" s="10">
        <v>0</v>
      </c>
      <c r="AC516" s="10">
        <v>0</v>
      </c>
      <c r="AD516" s="11">
        <v>0</v>
      </c>
      <c r="AE516" s="21">
        <f>SUM(MasterTable[[#This Row],[ILS]:[PAR]])</f>
        <v>0</v>
      </c>
      <c r="AL516" s="11"/>
      <c r="AR516" s="140" t="str">
        <f>_xlfn.XLOOKUP(MasterTable[[#This Row],[Aircraft ID]],Aircraft!A:A,Aircraft!H:H)</f>
        <v>Airplane Single Engine Land</v>
      </c>
      <c r="AS516" s="8" t="b">
        <f>OR((SUM(MasterTable[[#This Row],[ILS]:[PAR]]) = MasterTable[[#This Row],[APPR]]))</f>
        <v>1</v>
      </c>
      <c r="AT516" s="8" t="b">
        <f>NOT(ISBLANK(MasterTable[[#This Row],[Total
Time]]))</f>
        <v>1</v>
      </c>
    </row>
    <row r="517" spans="4:46" ht="28.8" x14ac:dyDescent="0.3">
      <c r="D517" s="22">
        <v>44299</v>
      </c>
      <c r="E517" s="8" t="s">
        <v>121</v>
      </c>
      <c r="F517" s="8" t="s">
        <v>204</v>
      </c>
      <c r="G517" s="8" t="s">
        <v>204</v>
      </c>
      <c r="I517" s="10">
        <v>1.3</v>
      </c>
      <c r="J517" s="10">
        <v>1.3</v>
      </c>
      <c r="L517" s="10">
        <v>0</v>
      </c>
      <c r="M517" s="13">
        <v>0</v>
      </c>
      <c r="N517" s="13"/>
      <c r="O517" s="10">
        <v>1.3</v>
      </c>
      <c r="P517" s="10">
        <v>0</v>
      </c>
      <c r="Q517" s="14">
        <v>0</v>
      </c>
      <c r="R517" s="14">
        <v>0</v>
      </c>
      <c r="S517" s="10">
        <v>0</v>
      </c>
      <c r="T517" s="10">
        <v>0</v>
      </c>
      <c r="U517" s="14">
        <v>0</v>
      </c>
      <c r="V517" s="10"/>
      <c r="W517" s="11">
        <v>3</v>
      </c>
      <c r="X517" s="11">
        <v>3</v>
      </c>
      <c r="Y517" s="11">
        <v>0</v>
      </c>
      <c r="Z517" s="11">
        <v>0</v>
      </c>
      <c r="AA517" s="11">
        <f>MasterTable[[#This Row],[Landings
Night]]+MasterTable[[#This Row],[Landings
Day]]</f>
        <v>3</v>
      </c>
      <c r="AB517" s="10">
        <v>0</v>
      </c>
      <c r="AC517" s="10">
        <v>0</v>
      </c>
      <c r="AD517" s="11">
        <v>0</v>
      </c>
      <c r="AE517" s="21">
        <f>SUM(MasterTable[[#This Row],[ILS]:[PAR]])</f>
        <v>0</v>
      </c>
      <c r="AL517" s="11"/>
      <c r="AR517" s="140" t="str">
        <f>_xlfn.XLOOKUP(MasterTable[[#This Row],[Aircraft ID]],Aircraft!A:A,Aircraft!H:H)</f>
        <v>Airplane Single Engine Land</v>
      </c>
      <c r="AS517" s="8" t="b">
        <f>OR((SUM(MasterTable[[#This Row],[ILS]:[PAR]]) = MasterTable[[#This Row],[APPR]]))</f>
        <v>1</v>
      </c>
      <c r="AT517" s="8" t="b">
        <f>NOT(ISBLANK(MasterTable[[#This Row],[Total
Time]]))</f>
        <v>1</v>
      </c>
    </row>
    <row r="518" spans="4:46" ht="28.8" x14ac:dyDescent="0.3">
      <c r="D518" s="22">
        <v>44297</v>
      </c>
      <c r="E518" s="8" t="s">
        <v>174</v>
      </c>
      <c r="F518" s="8" t="s">
        <v>204</v>
      </c>
      <c r="G518" s="8" t="s">
        <v>224</v>
      </c>
      <c r="H518" s="8" t="s">
        <v>261</v>
      </c>
      <c r="I518" s="10">
        <v>7.9</v>
      </c>
      <c r="J518" s="10">
        <v>7.9</v>
      </c>
      <c r="L518" s="10">
        <v>0</v>
      </c>
      <c r="M518" s="13">
        <v>0</v>
      </c>
      <c r="N518" s="13"/>
      <c r="O518" s="10">
        <v>0</v>
      </c>
      <c r="P518" s="10">
        <v>0</v>
      </c>
      <c r="Q518" s="14">
        <v>0</v>
      </c>
      <c r="R518" s="14">
        <v>0</v>
      </c>
      <c r="S518" s="10">
        <v>0</v>
      </c>
      <c r="T518" s="10">
        <v>7.9</v>
      </c>
      <c r="U518" s="14">
        <v>0</v>
      </c>
      <c r="V518" s="10">
        <v>5.6</v>
      </c>
      <c r="W518" s="11">
        <v>6</v>
      </c>
      <c r="X518" s="11">
        <v>6</v>
      </c>
      <c r="Y518" s="11">
        <v>0</v>
      </c>
      <c r="Z518" s="11">
        <v>0</v>
      </c>
      <c r="AA518" s="11">
        <f>MasterTable[[#This Row],[Landings
Night]]+MasterTable[[#This Row],[Landings
Day]]</f>
        <v>6</v>
      </c>
      <c r="AB518" s="10">
        <v>0</v>
      </c>
      <c r="AC518" s="10">
        <v>0</v>
      </c>
      <c r="AD518" s="11">
        <v>0</v>
      </c>
      <c r="AE518" s="21">
        <f>SUM(MasterTable[[#This Row],[ILS]:[PAR]])</f>
        <v>0</v>
      </c>
      <c r="AL518" s="11"/>
      <c r="AR518" s="140" t="str">
        <f>_xlfn.XLOOKUP(MasterTable[[#This Row],[Aircraft ID]],Aircraft!A:A,Aircraft!H:H)</f>
        <v>Airplane Single Engine Land</v>
      </c>
      <c r="AS518" s="8" t="b">
        <f>OR((SUM(MasterTable[[#This Row],[ILS]:[PAR]]) = MasterTable[[#This Row],[APPR]]))</f>
        <v>1</v>
      </c>
      <c r="AT518" s="8" t="b">
        <f>NOT(ISBLANK(MasterTable[[#This Row],[Total
Time]]))</f>
        <v>1</v>
      </c>
    </row>
    <row r="519" spans="4:46" ht="28.8" x14ac:dyDescent="0.3">
      <c r="D519" s="22">
        <v>44295</v>
      </c>
      <c r="E519" s="8" t="s">
        <v>174</v>
      </c>
      <c r="F519" s="8" t="s">
        <v>204</v>
      </c>
      <c r="G519" s="8" t="s">
        <v>204</v>
      </c>
      <c r="I519" s="10">
        <v>0.9</v>
      </c>
      <c r="J519" s="10">
        <v>0.9</v>
      </c>
      <c r="L519" s="10">
        <v>0</v>
      </c>
      <c r="M519" s="13">
        <v>0</v>
      </c>
      <c r="N519" s="13"/>
      <c r="O519" s="10">
        <v>0</v>
      </c>
      <c r="P519" s="10">
        <v>0</v>
      </c>
      <c r="Q519" s="14">
        <v>0</v>
      </c>
      <c r="R519" s="14">
        <v>0</v>
      </c>
      <c r="S519" s="10">
        <v>0</v>
      </c>
      <c r="T519" s="10">
        <v>0</v>
      </c>
      <c r="U519" s="14">
        <v>0</v>
      </c>
      <c r="V519" s="10"/>
      <c r="W519" s="11">
        <v>1</v>
      </c>
      <c r="X519" s="11">
        <v>1</v>
      </c>
      <c r="Y519" s="11">
        <v>0</v>
      </c>
      <c r="Z519" s="11">
        <v>0</v>
      </c>
      <c r="AA519" s="11">
        <f>MasterTable[[#This Row],[Landings
Night]]+MasterTable[[#This Row],[Landings
Day]]</f>
        <v>1</v>
      </c>
      <c r="AB519" s="10">
        <v>0</v>
      </c>
      <c r="AC519" s="10">
        <v>0</v>
      </c>
      <c r="AD519" s="11">
        <v>0</v>
      </c>
      <c r="AE519" s="21">
        <f>SUM(MasterTable[[#This Row],[ILS]:[PAR]])</f>
        <v>0</v>
      </c>
      <c r="AL519" s="11"/>
      <c r="AR519" s="140" t="str">
        <f>_xlfn.XLOOKUP(MasterTable[[#This Row],[Aircraft ID]],Aircraft!A:A,Aircraft!H:H)</f>
        <v>Airplane Single Engine Land</v>
      </c>
      <c r="AS519" s="8" t="b">
        <f>OR((SUM(MasterTable[[#This Row],[ILS]:[PAR]]) = MasterTable[[#This Row],[APPR]]))</f>
        <v>1</v>
      </c>
      <c r="AT519" s="8" t="b">
        <f>NOT(ISBLANK(MasterTable[[#This Row],[Total
Time]]))</f>
        <v>1</v>
      </c>
    </row>
    <row r="520" spans="4:46" ht="28.8" x14ac:dyDescent="0.3">
      <c r="D520" s="22">
        <v>44295</v>
      </c>
      <c r="E520" s="8" t="s">
        <v>174</v>
      </c>
      <c r="F520" s="8" t="s">
        <v>202</v>
      </c>
      <c r="G520" s="8" t="s">
        <v>204</v>
      </c>
      <c r="I520" s="10">
        <v>1.2</v>
      </c>
      <c r="J520" s="10">
        <v>1.2</v>
      </c>
      <c r="L520" s="10">
        <v>0</v>
      </c>
      <c r="M520" s="13">
        <v>0</v>
      </c>
      <c r="N520" s="13"/>
      <c r="O520" s="10">
        <v>0</v>
      </c>
      <c r="P520" s="10">
        <v>0</v>
      </c>
      <c r="Q520" s="14">
        <v>0</v>
      </c>
      <c r="R520" s="14">
        <v>0</v>
      </c>
      <c r="S520" s="10">
        <v>0</v>
      </c>
      <c r="T520" s="10">
        <v>1.2</v>
      </c>
      <c r="U520" s="14">
        <v>0</v>
      </c>
      <c r="V520" s="10"/>
      <c r="W520" s="11">
        <v>1</v>
      </c>
      <c r="X520" s="11">
        <v>1</v>
      </c>
      <c r="Y520" s="11">
        <v>0</v>
      </c>
      <c r="Z520" s="11">
        <v>0</v>
      </c>
      <c r="AA520" s="11">
        <f>MasterTable[[#This Row],[Landings
Night]]+MasterTable[[#This Row],[Landings
Day]]</f>
        <v>1</v>
      </c>
      <c r="AB520" s="10">
        <v>0</v>
      </c>
      <c r="AC520" s="10">
        <v>0</v>
      </c>
      <c r="AD520" s="11">
        <v>1</v>
      </c>
      <c r="AE520" s="21">
        <f>SUM(MasterTable[[#This Row],[ILS]:[PAR]])</f>
        <v>0</v>
      </c>
      <c r="AL520" s="11"/>
      <c r="AR520" s="140" t="str">
        <f>_xlfn.XLOOKUP(MasterTable[[#This Row],[Aircraft ID]],Aircraft!A:A,Aircraft!H:H)</f>
        <v>Airplane Single Engine Land</v>
      </c>
      <c r="AS520" s="8" t="b">
        <f>OR((SUM(MasterTable[[#This Row],[ILS]:[PAR]]) = MasterTable[[#This Row],[APPR]]))</f>
        <v>1</v>
      </c>
      <c r="AT520" s="8" t="b">
        <f>NOT(ISBLANK(MasterTable[[#This Row],[Total
Time]]))</f>
        <v>1</v>
      </c>
    </row>
    <row r="521" spans="4:46" ht="28.8" x14ac:dyDescent="0.3">
      <c r="D521" s="22">
        <v>44293</v>
      </c>
      <c r="E521" s="8" t="s">
        <v>121</v>
      </c>
      <c r="F521" s="8" t="s">
        <v>204</v>
      </c>
      <c r="G521" s="8" t="s">
        <v>214</v>
      </c>
      <c r="I521" s="10">
        <v>1.2</v>
      </c>
      <c r="J521" s="10">
        <v>1.2</v>
      </c>
      <c r="L521" s="10">
        <v>0</v>
      </c>
      <c r="M521" s="13">
        <v>0</v>
      </c>
      <c r="N521" s="13"/>
      <c r="O521" s="10">
        <v>1.2</v>
      </c>
      <c r="P521" s="10">
        <v>0</v>
      </c>
      <c r="Q521" s="14">
        <v>0</v>
      </c>
      <c r="R521" s="14">
        <v>0</v>
      </c>
      <c r="S521" s="10">
        <v>0</v>
      </c>
      <c r="T521" s="10">
        <v>0</v>
      </c>
      <c r="U521" s="14">
        <v>0</v>
      </c>
      <c r="V521" s="10"/>
      <c r="W521" s="11">
        <v>2</v>
      </c>
      <c r="X521" s="11">
        <v>2</v>
      </c>
      <c r="Y521" s="11">
        <v>0</v>
      </c>
      <c r="Z521" s="11">
        <v>0</v>
      </c>
      <c r="AA521" s="11">
        <f>MasterTable[[#This Row],[Landings
Night]]+MasterTable[[#This Row],[Landings
Day]]</f>
        <v>2</v>
      </c>
      <c r="AB521" s="10">
        <v>0</v>
      </c>
      <c r="AC521" s="10">
        <v>0</v>
      </c>
      <c r="AD521" s="11">
        <v>0</v>
      </c>
      <c r="AE521" s="21">
        <f>SUM(MasterTable[[#This Row],[ILS]:[PAR]])</f>
        <v>0</v>
      </c>
      <c r="AL521" s="11"/>
      <c r="AR521" s="140" t="str">
        <f>_xlfn.XLOOKUP(MasterTable[[#This Row],[Aircraft ID]],Aircraft!A:A,Aircraft!H:H)</f>
        <v>Airplane Single Engine Land</v>
      </c>
      <c r="AS521" s="8" t="b">
        <f>OR((SUM(MasterTable[[#This Row],[ILS]:[PAR]]) = MasterTable[[#This Row],[APPR]]))</f>
        <v>1</v>
      </c>
      <c r="AT521" s="8" t="b">
        <f>NOT(ISBLANK(MasterTable[[#This Row],[Total
Time]]))</f>
        <v>1</v>
      </c>
    </row>
    <row r="522" spans="4:46" ht="28.8" x14ac:dyDescent="0.3">
      <c r="D522" s="22">
        <v>44292</v>
      </c>
      <c r="E522" s="8" t="s">
        <v>121</v>
      </c>
      <c r="F522" s="8" t="s">
        <v>204</v>
      </c>
      <c r="G522" s="8" t="s">
        <v>204</v>
      </c>
      <c r="I522" s="10">
        <v>1.2</v>
      </c>
      <c r="J522" s="10">
        <v>1.2</v>
      </c>
      <c r="L522" s="10">
        <v>0</v>
      </c>
      <c r="M522" s="13">
        <v>0</v>
      </c>
      <c r="N522" s="13"/>
      <c r="O522" s="10">
        <v>1.2</v>
      </c>
      <c r="P522" s="10">
        <v>0</v>
      </c>
      <c r="Q522" s="14">
        <v>0</v>
      </c>
      <c r="R522" s="14">
        <v>0</v>
      </c>
      <c r="S522" s="10">
        <v>0</v>
      </c>
      <c r="T522" s="10">
        <v>0</v>
      </c>
      <c r="U522" s="14">
        <v>0</v>
      </c>
      <c r="V522" s="10"/>
      <c r="W522" s="11">
        <v>1</v>
      </c>
      <c r="X522" s="11">
        <v>1</v>
      </c>
      <c r="Y522" s="11">
        <v>0</v>
      </c>
      <c r="Z522" s="11">
        <v>0</v>
      </c>
      <c r="AA522" s="11">
        <f>MasterTable[[#This Row],[Landings
Night]]+MasterTable[[#This Row],[Landings
Day]]</f>
        <v>1</v>
      </c>
      <c r="AB522" s="10">
        <v>0</v>
      </c>
      <c r="AC522" s="10">
        <v>0</v>
      </c>
      <c r="AD522" s="11">
        <v>0</v>
      </c>
      <c r="AE522" s="21">
        <f>SUM(MasterTable[[#This Row],[ILS]:[PAR]])</f>
        <v>0</v>
      </c>
      <c r="AL522" s="11"/>
      <c r="AR522" s="140" t="str">
        <f>_xlfn.XLOOKUP(MasterTable[[#This Row],[Aircraft ID]],Aircraft!A:A,Aircraft!H:H)</f>
        <v>Airplane Single Engine Land</v>
      </c>
      <c r="AS522" s="8" t="b">
        <f>OR((SUM(MasterTable[[#This Row],[ILS]:[PAR]]) = MasterTable[[#This Row],[APPR]]))</f>
        <v>1</v>
      </c>
      <c r="AT522" s="8" t="b">
        <f>NOT(ISBLANK(MasterTable[[#This Row],[Total
Time]]))</f>
        <v>1</v>
      </c>
    </row>
    <row r="523" spans="4:46" ht="28.8" x14ac:dyDescent="0.3">
      <c r="D523" s="22">
        <v>44290</v>
      </c>
      <c r="E523" s="8" t="s">
        <v>75</v>
      </c>
      <c r="F523" s="8" t="s">
        <v>204</v>
      </c>
      <c r="G523" s="8" t="s">
        <v>259</v>
      </c>
      <c r="I523" s="10">
        <v>2.1</v>
      </c>
      <c r="J523" s="10">
        <v>2.1</v>
      </c>
      <c r="L523" s="10">
        <v>0</v>
      </c>
      <c r="M523" s="13">
        <v>0</v>
      </c>
      <c r="N523" s="13"/>
      <c r="O523" s="10">
        <v>2.1</v>
      </c>
      <c r="P523" s="10">
        <v>0</v>
      </c>
      <c r="Q523" s="14">
        <v>0</v>
      </c>
      <c r="R523" s="14">
        <v>0</v>
      </c>
      <c r="S523" s="10">
        <v>0</v>
      </c>
      <c r="T523" s="10">
        <v>2.1</v>
      </c>
      <c r="U523" s="14">
        <v>0</v>
      </c>
      <c r="V523" s="10"/>
      <c r="W523" s="11">
        <v>2</v>
      </c>
      <c r="X523" s="11">
        <v>2</v>
      </c>
      <c r="Y523" s="11">
        <v>0</v>
      </c>
      <c r="Z523" s="11">
        <v>0</v>
      </c>
      <c r="AA523" s="11">
        <f>MasterTable[[#This Row],[Landings
Night]]+MasterTable[[#This Row],[Landings
Day]]</f>
        <v>2</v>
      </c>
      <c r="AB523" s="10">
        <v>0</v>
      </c>
      <c r="AC523" s="10">
        <v>0</v>
      </c>
      <c r="AD523" s="11">
        <v>0</v>
      </c>
      <c r="AE523" s="21">
        <f>SUM(MasterTable[[#This Row],[ILS]:[PAR]])</f>
        <v>0</v>
      </c>
      <c r="AL523" s="11"/>
      <c r="AR523" s="140" t="str">
        <f>_xlfn.XLOOKUP(MasterTable[[#This Row],[Aircraft ID]],Aircraft!A:A,Aircraft!H:H)</f>
        <v>Airplane Single Engine Land</v>
      </c>
      <c r="AS523" s="8" t="b">
        <f>OR((SUM(MasterTable[[#This Row],[ILS]:[PAR]]) = MasterTable[[#This Row],[APPR]]))</f>
        <v>1</v>
      </c>
      <c r="AT523" s="8" t="b">
        <f>NOT(ISBLANK(MasterTable[[#This Row],[Total
Time]]))</f>
        <v>1</v>
      </c>
    </row>
    <row r="524" spans="4:46" ht="28.8" x14ac:dyDescent="0.3">
      <c r="D524" s="22">
        <v>44289</v>
      </c>
      <c r="E524" s="8" t="s">
        <v>64</v>
      </c>
      <c r="F524" s="8" t="s">
        <v>204</v>
      </c>
      <c r="G524" s="8" t="s">
        <v>204</v>
      </c>
      <c r="I524" s="10">
        <v>0.7</v>
      </c>
      <c r="J524" s="10">
        <v>0.7</v>
      </c>
      <c r="L524" s="10">
        <v>0</v>
      </c>
      <c r="M524" s="13">
        <v>0</v>
      </c>
      <c r="N524" s="13"/>
      <c r="O524" s="10">
        <v>0.7</v>
      </c>
      <c r="P524" s="10">
        <v>0</v>
      </c>
      <c r="Q524" s="14">
        <v>0</v>
      </c>
      <c r="R524" s="14">
        <v>0</v>
      </c>
      <c r="S524" s="10">
        <v>0</v>
      </c>
      <c r="T524" s="10">
        <v>0</v>
      </c>
      <c r="U524" s="14">
        <v>0</v>
      </c>
      <c r="V524" s="10"/>
      <c r="W524" s="11">
        <v>1</v>
      </c>
      <c r="X524" s="11">
        <v>1</v>
      </c>
      <c r="Y524" s="11">
        <v>0</v>
      </c>
      <c r="Z524" s="11">
        <v>0</v>
      </c>
      <c r="AA524" s="11">
        <f>MasterTable[[#This Row],[Landings
Night]]+MasterTable[[#This Row],[Landings
Day]]</f>
        <v>1</v>
      </c>
      <c r="AB524" s="10">
        <v>0</v>
      </c>
      <c r="AC524" s="10">
        <v>0</v>
      </c>
      <c r="AD524" s="11">
        <v>0</v>
      </c>
      <c r="AE524" s="21">
        <f>SUM(MasterTable[[#This Row],[ILS]:[PAR]])</f>
        <v>0</v>
      </c>
      <c r="AL524" s="11"/>
      <c r="AR524" s="140" t="str">
        <f>_xlfn.XLOOKUP(MasterTable[[#This Row],[Aircraft ID]],Aircraft!A:A,Aircraft!H:H)</f>
        <v>Airplane Single Engine Land</v>
      </c>
      <c r="AS524" s="8" t="b">
        <f>OR((SUM(MasterTable[[#This Row],[ILS]:[PAR]]) = MasterTable[[#This Row],[APPR]]))</f>
        <v>1</v>
      </c>
      <c r="AT524" s="8" t="b">
        <f>NOT(ISBLANK(MasterTable[[#This Row],[Total
Time]]))</f>
        <v>1</v>
      </c>
    </row>
    <row r="525" spans="4:46" ht="28.8" x14ac:dyDescent="0.3">
      <c r="D525" s="22">
        <v>44289</v>
      </c>
      <c r="E525" s="8" t="s">
        <v>75</v>
      </c>
      <c r="F525" s="8" t="s">
        <v>204</v>
      </c>
      <c r="G525" s="8" t="s">
        <v>204</v>
      </c>
      <c r="I525" s="10">
        <v>1</v>
      </c>
      <c r="J525" s="10">
        <v>1</v>
      </c>
      <c r="L525" s="10">
        <v>0</v>
      </c>
      <c r="M525" s="13">
        <v>0</v>
      </c>
      <c r="N525" s="13"/>
      <c r="O525" s="10">
        <v>1</v>
      </c>
      <c r="P525" s="10">
        <v>0</v>
      </c>
      <c r="Q525" s="14">
        <v>0</v>
      </c>
      <c r="R525" s="14">
        <v>0</v>
      </c>
      <c r="S525" s="10">
        <v>0</v>
      </c>
      <c r="T525" s="10">
        <v>0</v>
      </c>
      <c r="U525" s="14">
        <v>0</v>
      </c>
      <c r="V525" s="10"/>
      <c r="W525" s="11">
        <v>1</v>
      </c>
      <c r="X525" s="11">
        <v>1</v>
      </c>
      <c r="Y525" s="11">
        <v>0</v>
      </c>
      <c r="Z525" s="11">
        <v>0</v>
      </c>
      <c r="AA525" s="11">
        <f>MasterTable[[#This Row],[Landings
Night]]+MasterTable[[#This Row],[Landings
Day]]</f>
        <v>1</v>
      </c>
      <c r="AB525" s="10">
        <v>0</v>
      </c>
      <c r="AC525" s="10">
        <v>0</v>
      </c>
      <c r="AD525" s="11">
        <v>0</v>
      </c>
      <c r="AE525" s="21">
        <f>SUM(MasterTable[[#This Row],[ILS]:[PAR]])</f>
        <v>0</v>
      </c>
      <c r="AL525" s="11"/>
      <c r="AR525" s="140" t="str">
        <f>_xlfn.XLOOKUP(MasterTable[[#This Row],[Aircraft ID]],Aircraft!A:A,Aircraft!H:H)</f>
        <v>Airplane Single Engine Land</v>
      </c>
      <c r="AS525" s="8" t="b">
        <f>OR((SUM(MasterTable[[#This Row],[ILS]:[PAR]]) = MasterTable[[#This Row],[APPR]]))</f>
        <v>1</v>
      </c>
      <c r="AT525" s="8" t="b">
        <f>NOT(ISBLANK(MasterTable[[#This Row],[Total
Time]]))</f>
        <v>1</v>
      </c>
    </row>
    <row r="526" spans="4:46" ht="28.8" x14ac:dyDescent="0.3">
      <c r="D526" s="22">
        <v>44287</v>
      </c>
      <c r="E526" s="8" t="s">
        <v>121</v>
      </c>
      <c r="F526" s="8" t="s">
        <v>204</v>
      </c>
      <c r="G526" s="8" t="s">
        <v>204</v>
      </c>
      <c r="I526" s="10">
        <v>0.3</v>
      </c>
      <c r="J526" s="10">
        <v>0.3</v>
      </c>
      <c r="L526" s="10">
        <v>0</v>
      </c>
      <c r="M526" s="13">
        <v>0</v>
      </c>
      <c r="N526" s="13"/>
      <c r="O526" s="10">
        <v>0.3</v>
      </c>
      <c r="P526" s="10">
        <v>0</v>
      </c>
      <c r="Q526" s="14">
        <v>0</v>
      </c>
      <c r="R526" s="14">
        <v>0</v>
      </c>
      <c r="S526" s="10">
        <v>0</v>
      </c>
      <c r="T526" s="10">
        <v>0</v>
      </c>
      <c r="U526" s="14">
        <v>0</v>
      </c>
      <c r="V526" s="10"/>
      <c r="W526" s="11">
        <v>2</v>
      </c>
      <c r="X526" s="11">
        <v>2</v>
      </c>
      <c r="Y526" s="11">
        <v>0</v>
      </c>
      <c r="Z526" s="11">
        <v>0</v>
      </c>
      <c r="AA526" s="11">
        <f>MasterTable[[#This Row],[Landings
Night]]+MasterTable[[#This Row],[Landings
Day]]</f>
        <v>2</v>
      </c>
      <c r="AB526" s="10">
        <v>0</v>
      </c>
      <c r="AC526" s="10">
        <v>0</v>
      </c>
      <c r="AD526" s="11">
        <v>0</v>
      </c>
      <c r="AE526" s="21">
        <f>SUM(MasterTable[[#This Row],[ILS]:[PAR]])</f>
        <v>0</v>
      </c>
      <c r="AL526" s="11"/>
      <c r="AR526" s="140" t="str">
        <f>_xlfn.XLOOKUP(MasterTable[[#This Row],[Aircraft ID]],Aircraft!A:A,Aircraft!H:H)</f>
        <v>Airplane Single Engine Land</v>
      </c>
      <c r="AS526" s="8" t="b">
        <f>OR((SUM(MasterTable[[#This Row],[ILS]:[PAR]]) = MasterTable[[#This Row],[APPR]]))</f>
        <v>1</v>
      </c>
      <c r="AT526" s="8" t="b">
        <f>NOT(ISBLANK(MasterTable[[#This Row],[Total
Time]]))</f>
        <v>1</v>
      </c>
    </row>
    <row r="527" spans="4:46" ht="28.8" x14ac:dyDescent="0.3">
      <c r="D527" s="22">
        <v>44285</v>
      </c>
      <c r="E527" s="8" t="s">
        <v>75</v>
      </c>
      <c r="F527" s="8" t="s">
        <v>204</v>
      </c>
      <c r="G527" s="8" t="s">
        <v>204</v>
      </c>
      <c r="I527" s="10">
        <v>1</v>
      </c>
      <c r="J527" s="10">
        <v>1</v>
      </c>
      <c r="L527" s="10">
        <v>0</v>
      </c>
      <c r="M527" s="13">
        <v>0</v>
      </c>
      <c r="N527" s="13"/>
      <c r="O527" s="10">
        <v>1</v>
      </c>
      <c r="P527" s="10">
        <v>0</v>
      </c>
      <c r="Q527" s="14">
        <v>0</v>
      </c>
      <c r="R527" s="14">
        <v>0</v>
      </c>
      <c r="S527" s="10">
        <v>0</v>
      </c>
      <c r="T527" s="10">
        <v>0</v>
      </c>
      <c r="U527" s="14">
        <v>0</v>
      </c>
      <c r="V527" s="10"/>
      <c r="W527" s="11">
        <v>1</v>
      </c>
      <c r="X527" s="11">
        <v>1</v>
      </c>
      <c r="Y527" s="11">
        <v>0</v>
      </c>
      <c r="Z527" s="11">
        <v>0</v>
      </c>
      <c r="AA527" s="11">
        <f>MasterTable[[#This Row],[Landings
Night]]+MasterTable[[#This Row],[Landings
Day]]</f>
        <v>1</v>
      </c>
      <c r="AB527" s="10">
        <v>0</v>
      </c>
      <c r="AC527" s="10">
        <v>0</v>
      </c>
      <c r="AD527" s="11">
        <v>0</v>
      </c>
      <c r="AE527" s="21">
        <f>SUM(MasterTable[[#This Row],[ILS]:[PAR]])</f>
        <v>0</v>
      </c>
      <c r="AL527" s="11"/>
      <c r="AR527" s="140" t="str">
        <f>_xlfn.XLOOKUP(MasterTable[[#This Row],[Aircraft ID]],Aircraft!A:A,Aircraft!H:H)</f>
        <v>Airplane Single Engine Land</v>
      </c>
      <c r="AS527" s="8" t="b">
        <f>OR((SUM(MasterTable[[#This Row],[ILS]:[PAR]]) = MasterTable[[#This Row],[APPR]]))</f>
        <v>1</v>
      </c>
      <c r="AT527" s="8" t="b">
        <f>NOT(ISBLANK(MasterTable[[#This Row],[Total
Time]]))</f>
        <v>1</v>
      </c>
    </row>
    <row r="528" spans="4:46" ht="28.8" x14ac:dyDescent="0.3">
      <c r="D528" s="22">
        <v>44284</v>
      </c>
      <c r="E528" s="8" t="s">
        <v>75</v>
      </c>
      <c r="F528" s="8" t="s">
        <v>204</v>
      </c>
      <c r="G528" s="8" t="s">
        <v>207</v>
      </c>
      <c r="I528" s="10">
        <v>2.7</v>
      </c>
      <c r="J528" s="10">
        <v>2.7</v>
      </c>
      <c r="L528" s="10">
        <v>0</v>
      </c>
      <c r="M528" s="13">
        <v>0</v>
      </c>
      <c r="N528" s="13"/>
      <c r="O528" s="10">
        <v>0</v>
      </c>
      <c r="P528" s="10">
        <v>0</v>
      </c>
      <c r="Q528" s="14">
        <v>0</v>
      </c>
      <c r="R528" s="14">
        <v>0</v>
      </c>
      <c r="S528" s="10">
        <v>0</v>
      </c>
      <c r="T528" s="10">
        <v>2.7</v>
      </c>
      <c r="U528" s="14">
        <v>0</v>
      </c>
      <c r="V528" s="10"/>
      <c r="W528" s="11">
        <v>2</v>
      </c>
      <c r="X528" s="11">
        <v>2</v>
      </c>
      <c r="Y528" s="11">
        <v>0</v>
      </c>
      <c r="Z528" s="11">
        <v>0</v>
      </c>
      <c r="AA528" s="11">
        <f>MasterTable[[#This Row],[Landings
Night]]+MasterTable[[#This Row],[Landings
Day]]</f>
        <v>2</v>
      </c>
      <c r="AB528" s="10">
        <v>0</v>
      </c>
      <c r="AC528" s="10">
        <v>0</v>
      </c>
      <c r="AD528" s="11">
        <v>0</v>
      </c>
      <c r="AE528" s="21">
        <f>SUM(MasterTable[[#This Row],[ILS]:[PAR]])</f>
        <v>0</v>
      </c>
      <c r="AL528" s="11"/>
      <c r="AR528" s="140" t="str">
        <f>_xlfn.XLOOKUP(MasterTable[[#This Row],[Aircraft ID]],Aircraft!A:A,Aircraft!H:H)</f>
        <v>Airplane Single Engine Land</v>
      </c>
      <c r="AS528" s="8" t="b">
        <f>OR((SUM(MasterTable[[#This Row],[ILS]:[PAR]]) = MasterTable[[#This Row],[APPR]]))</f>
        <v>1</v>
      </c>
      <c r="AT528" s="8" t="b">
        <f>NOT(ISBLANK(MasterTable[[#This Row],[Total
Time]]))</f>
        <v>1</v>
      </c>
    </row>
    <row r="529" spans="4:46" ht="28.8" x14ac:dyDescent="0.3">
      <c r="D529" s="22">
        <v>44283</v>
      </c>
      <c r="E529" s="8" t="s">
        <v>121</v>
      </c>
      <c r="F529" s="8" t="s">
        <v>204</v>
      </c>
      <c r="G529" s="8" t="s">
        <v>214</v>
      </c>
      <c r="I529" s="10">
        <v>1.4</v>
      </c>
      <c r="J529" s="10">
        <v>1.4</v>
      </c>
      <c r="L529" s="10">
        <v>0</v>
      </c>
      <c r="M529" s="13">
        <v>0</v>
      </c>
      <c r="N529" s="13"/>
      <c r="O529" s="10">
        <v>1.4</v>
      </c>
      <c r="P529" s="10">
        <v>0</v>
      </c>
      <c r="Q529" s="14">
        <v>0</v>
      </c>
      <c r="R529" s="14">
        <v>0</v>
      </c>
      <c r="S529" s="10">
        <v>0</v>
      </c>
      <c r="T529" s="10">
        <v>0</v>
      </c>
      <c r="U529" s="14">
        <v>0</v>
      </c>
      <c r="V529" s="10"/>
      <c r="W529" s="11">
        <v>5</v>
      </c>
      <c r="X529" s="11">
        <v>5</v>
      </c>
      <c r="Y529" s="11">
        <v>0</v>
      </c>
      <c r="Z529" s="11">
        <v>0</v>
      </c>
      <c r="AA529" s="11">
        <f>MasterTable[[#This Row],[Landings
Night]]+MasterTable[[#This Row],[Landings
Day]]</f>
        <v>5</v>
      </c>
      <c r="AB529" s="10">
        <v>0</v>
      </c>
      <c r="AC529" s="10">
        <v>0</v>
      </c>
      <c r="AD529" s="11">
        <v>0</v>
      </c>
      <c r="AE529" s="21">
        <f>SUM(MasterTable[[#This Row],[ILS]:[PAR]])</f>
        <v>0</v>
      </c>
      <c r="AL529" s="11"/>
      <c r="AR529" s="140" t="str">
        <f>_xlfn.XLOOKUP(MasterTable[[#This Row],[Aircraft ID]],Aircraft!A:A,Aircraft!H:H)</f>
        <v>Airplane Single Engine Land</v>
      </c>
      <c r="AS529" s="8" t="b">
        <f>OR((SUM(MasterTable[[#This Row],[ILS]:[PAR]]) = MasterTable[[#This Row],[APPR]]))</f>
        <v>1</v>
      </c>
      <c r="AT529" s="8" t="b">
        <f>NOT(ISBLANK(MasterTable[[#This Row],[Total
Time]]))</f>
        <v>1</v>
      </c>
    </row>
    <row r="530" spans="4:46" ht="28.8" x14ac:dyDescent="0.3">
      <c r="D530" s="22">
        <v>44280</v>
      </c>
      <c r="E530" s="8" t="s">
        <v>62</v>
      </c>
      <c r="F530" s="8" t="s">
        <v>262</v>
      </c>
      <c r="G530" s="8" t="s">
        <v>202</v>
      </c>
      <c r="I530" s="10">
        <v>3.9</v>
      </c>
      <c r="J530" s="10">
        <v>3.9</v>
      </c>
      <c r="L530" s="10">
        <v>0</v>
      </c>
      <c r="M530" s="13">
        <v>0</v>
      </c>
      <c r="N530" s="13"/>
      <c r="O530" s="10">
        <v>0</v>
      </c>
      <c r="P530" s="10">
        <v>0</v>
      </c>
      <c r="Q530" s="14">
        <v>0</v>
      </c>
      <c r="R530" s="14">
        <v>0</v>
      </c>
      <c r="S530" s="10">
        <v>0</v>
      </c>
      <c r="T530" s="10">
        <v>3.9</v>
      </c>
      <c r="U530" s="14">
        <v>0</v>
      </c>
      <c r="V530" s="10"/>
      <c r="W530" s="11">
        <v>1</v>
      </c>
      <c r="X530" s="11">
        <v>1</v>
      </c>
      <c r="Y530" s="11">
        <v>0</v>
      </c>
      <c r="Z530" s="11">
        <v>0</v>
      </c>
      <c r="AA530" s="11">
        <f>MasterTable[[#This Row],[Landings
Night]]+MasterTable[[#This Row],[Landings
Day]]</f>
        <v>1</v>
      </c>
      <c r="AB530" s="10">
        <v>3</v>
      </c>
      <c r="AC530" s="10">
        <v>0</v>
      </c>
      <c r="AD530" s="11">
        <v>0</v>
      </c>
      <c r="AE530" s="21">
        <f>SUM(MasterTable[[#This Row],[ILS]:[PAR]])</f>
        <v>1</v>
      </c>
      <c r="AH530" s="11">
        <v>1</v>
      </c>
      <c r="AL530" s="11">
        <v>1</v>
      </c>
      <c r="AR530" s="140" t="str">
        <f>_xlfn.XLOOKUP(MasterTable[[#This Row],[Aircraft ID]],Aircraft!A:A,Aircraft!H:H)</f>
        <v>Airplane Multi Engine Land</v>
      </c>
      <c r="AS530" s="8" t="b">
        <f>OR((SUM(MasterTable[[#This Row],[ILS]:[PAR]]) = MasterTable[[#This Row],[APPR]]))</f>
        <v>1</v>
      </c>
      <c r="AT530" s="8" t="b">
        <f>NOT(ISBLANK(MasterTable[[#This Row],[Total
Time]]))</f>
        <v>1</v>
      </c>
    </row>
    <row r="531" spans="4:46" ht="28.8" x14ac:dyDescent="0.3">
      <c r="D531" s="22">
        <v>44277</v>
      </c>
      <c r="E531" s="8" t="s">
        <v>62</v>
      </c>
      <c r="F531" s="8" t="s">
        <v>263</v>
      </c>
      <c r="G531" s="8" t="s">
        <v>262</v>
      </c>
      <c r="I531" s="10">
        <v>1.8</v>
      </c>
      <c r="J531" s="10">
        <v>1.8</v>
      </c>
      <c r="L531" s="10">
        <v>0</v>
      </c>
      <c r="M531" s="13">
        <v>0</v>
      </c>
      <c r="N531" s="13"/>
      <c r="O531" s="10">
        <v>0</v>
      </c>
      <c r="P531" s="10">
        <v>0</v>
      </c>
      <c r="Q531" s="14">
        <v>0</v>
      </c>
      <c r="R531" s="14">
        <v>0</v>
      </c>
      <c r="S531" s="10">
        <v>0.5</v>
      </c>
      <c r="T531" s="10">
        <v>1.8</v>
      </c>
      <c r="U531" s="14">
        <v>0</v>
      </c>
      <c r="V531" s="10"/>
      <c r="W531" s="11">
        <v>1</v>
      </c>
      <c r="X531" s="11">
        <v>0</v>
      </c>
      <c r="Y531" s="11">
        <v>0</v>
      </c>
      <c r="Z531" s="11">
        <v>1</v>
      </c>
      <c r="AA531" s="11">
        <f>MasterTable[[#This Row],[Landings
Night]]+MasterTable[[#This Row],[Landings
Day]]</f>
        <v>1</v>
      </c>
      <c r="AB531" s="10">
        <v>1.6</v>
      </c>
      <c r="AC531" s="10">
        <v>0</v>
      </c>
      <c r="AD531" s="11">
        <v>0</v>
      </c>
      <c r="AE531" s="21">
        <f>SUM(MasterTable[[#This Row],[ILS]:[PAR]])</f>
        <v>1</v>
      </c>
      <c r="AG531" s="11">
        <v>1</v>
      </c>
      <c r="AL531" s="11"/>
      <c r="AR531" s="140" t="str">
        <f>_xlfn.XLOOKUP(MasterTable[[#This Row],[Aircraft ID]],Aircraft!A:A,Aircraft!H:H)</f>
        <v>Airplane Multi Engine Land</v>
      </c>
      <c r="AS531" s="8" t="b">
        <f>OR((SUM(MasterTable[[#This Row],[ILS]:[PAR]]) = MasterTable[[#This Row],[APPR]]))</f>
        <v>1</v>
      </c>
      <c r="AT531" s="8" t="b">
        <f>NOT(ISBLANK(MasterTable[[#This Row],[Total
Time]]))</f>
        <v>1</v>
      </c>
    </row>
    <row r="532" spans="4:46" ht="28.8" x14ac:dyDescent="0.3">
      <c r="D532" s="22">
        <v>44276</v>
      </c>
      <c r="E532" s="8" t="s">
        <v>62</v>
      </c>
      <c r="F532" s="8" t="s">
        <v>202</v>
      </c>
      <c r="G532" s="8" t="s">
        <v>263</v>
      </c>
      <c r="I532" s="10">
        <v>4.5</v>
      </c>
      <c r="J532" s="10">
        <v>4.5</v>
      </c>
      <c r="L532" s="10">
        <v>0</v>
      </c>
      <c r="M532" s="13">
        <v>0</v>
      </c>
      <c r="N532" s="13"/>
      <c r="O532" s="10">
        <v>0</v>
      </c>
      <c r="P532" s="10">
        <v>0</v>
      </c>
      <c r="Q532" s="14">
        <v>0</v>
      </c>
      <c r="R532" s="14">
        <v>0</v>
      </c>
      <c r="S532" s="10">
        <v>0</v>
      </c>
      <c r="T532" s="10">
        <v>4.5</v>
      </c>
      <c r="U532" s="14">
        <v>0</v>
      </c>
      <c r="V532" s="10"/>
      <c r="W532" s="11">
        <v>1</v>
      </c>
      <c r="X532" s="11">
        <v>1</v>
      </c>
      <c r="Y532" s="11">
        <v>0</v>
      </c>
      <c r="Z532" s="11">
        <v>0</v>
      </c>
      <c r="AA532" s="11">
        <f>MasterTable[[#This Row],[Landings
Night]]+MasterTable[[#This Row],[Landings
Day]]</f>
        <v>1</v>
      </c>
      <c r="AB532" s="10">
        <v>0</v>
      </c>
      <c r="AC532" s="10">
        <v>0.3</v>
      </c>
      <c r="AD532" s="11">
        <v>0</v>
      </c>
      <c r="AE532" s="21">
        <f>SUM(MasterTable[[#This Row],[ILS]:[PAR]])</f>
        <v>1</v>
      </c>
      <c r="AF532" s="11">
        <v>1</v>
      </c>
      <c r="AL532" s="11"/>
      <c r="AR532" s="140" t="str">
        <f>_xlfn.XLOOKUP(MasterTable[[#This Row],[Aircraft ID]],Aircraft!A:A,Aircraft!H:H)</f>
        <v>Airplane Multi Engine Land</v>
      </c>
      <c r="AS532" s="8" t="b">
        <f>OR((SUM(MasterTable[[#This Row],[ILS]:[PAR]]) = MasterTable[[#This Row],[APPR]]))</f>
        <v>1</v>
      </c>
      <c r="AT532" s="8" t="b">
        <f>NOT(ISBLANK(MasterTable[[#This Row],[Total
Time]]))</f>
        <v>1</v>
      </c>
    </row>
    <row r="533" spans="4:46" ht="28.8" x14ac:dyDescent="0.3">
      <c r="D533" s="22">
        <v>44275</v>
      </c>
      <c r="E533" s="8" t="s">
        <v>121</v>
      </c>
      <c r="F533" s="8" t="s">
        <v>204</v>
      </c>
      <c r="G533" s="8" t="s">
        <v>204</v>
      </c>
      <c r="I533" s="10">
        <v>1</v>
      </c>
      <c r="J533" s="10">
        <v>1</v>
      </c>
      <c r="L533" s="10">
        <v>0</v>
      </c>
      <c r="M533" s="13">
        <v>0</v>
      </c>
      <c r="N533" s="13"/>
      <c r="O533" s="10">
        <v>1</v>
      </c>
      <c r="P533" s="10">
        <v>0</v>
      </c>
      <c r="Q533" s="14">
        <v>0</v>
      </c>
      <c r="R533" s="14">
        <v>0</v>
      </c>
      <c r="S533" s="10">
        <v>0</v>
      </c>
      <c r="T533" s="10">
        <v>0</v>
      </c>
      <c r="U533" s="14">
        <v>0</v>
      </c>
      <c r="V533" s="10"/>
      <c r="W533" s="11">
        <v>4</v>
      </c>
      <c r="X533" s="11">
        <v>4</v>
      </c>
      <c r="Y533" s="11">
        <v>0</v>
      </c>
      <c r="Z533" s="11">
        <v>0</v>
      </c>
      <c r="AA533" s="11">
        <f>MasterTable[[#This Row],[Landings
Night]]+MasterTable[[#This Row],[Landings
Day]]</f>
        <v>4</v>
      </c>
      <c r="AB533" s="10">
        <v>0</v>
      </c>
      <c r="AC533" s="10">
        <v>0</v>
      </c>
      <c r="AD533" s="11">
        <v>0</v>
      </c>
      <c r="AE533" s="21">
        <f>SUM(MasterTable[[#This Row],[ILS]:[PAR]])</f>
        <v>0</v>
      </c>
      <c r="AL533" s="11"/>
      <c r="AR533" s="140" t="str">
        <f>_xlfn.XLOOKUP(MasterTable[[#This Row],[Aircraft ID]],Aircraft!A:A,Aircraft!H:H)</f>
        <v>Airplane Single Engine Land</v>
      </c>
      <c r="AS533" s="8" t="b">
        <f>OR((SUM(MasterTable[[#This Row],[ILS]:[PAR]]) = MasterTable[[#This Row],[APPR]]))</f>
        <v>1</v>
      </c>
      <c r="AT533" s="8" t="b">
        <f>NOT(ISBLANK(MasterTable[[#This Row],[Total
Time]]))</f>
        <v>1</v>
      </c>
    </row>
    <row r="534" spans="4:46" ht="28.8" x14ac:dyDescent="0.3">
      <c r="D534" s="22">
        <v>44272</v>
      </c>
      <c r="E534" s="8" t="s">
        <v>121</v>
      </c>
      <c r="F534" s="8" t="s">
        <v>204</v>
      </c>
      <c r="G534" s="8" t="s">
        <v>214</v>
      </c>
      <c r="I534" s="10">
        <v>1.2</v>
      </c>
      <c r="J534" s="10">
        <v>1.2</v>
      </c>
      <c r="L534" s="10">
        <v>0</v>
      </c>
      <c r="M534" s="13">
        <v>0</v>
      </c>
      <c r="N534" s="13"/>
      <c r="O534" s="10">
        <v>1.2</v>
      </c>
      <c r="P534" s="10">
        <v>0</v>
      </c>
      <c r="Q534" s="14">
        <v>0</v>
      </c>
      <c r="R534" s="14">
        <v>0</v>
      </c>
      <c r="S534" s="10">
        <v>0</v>
      </c>
      <c r="T534" s="10">
        <v>0</v>
      </c>
      <c r="U534" s="14">
        <v>0</v>
      </c>
      <c r="V534" s="10"/>
      <c r="W534" s="11">
        <v>6</v>
      </c>
      <c r="X534" s="11">
        <v>6</v>
      </c>
      <c r="Y534" s="11">
        <v>0</v>
      </c>
      <c r="Z534" s="11">
        <v>0</v>
      </c>
      <c r="AA534" s="11">
        <f>MasterTable[[#This Row],[Landings
Night]]+MasterTable[[#This Row],[Landings
Day]]</f>
        <v>6</v>
      </c>
      <c r="AB534" s="10">
        <v>0</v>
      </c>
      <c r="AC534" s="10">
        <v>0</v>
      </c>
      <c r="AD534" s="11">
        <v>0</v>
      </c>
      <c r="AE534" s="21">
        <f>SUM(MasterTable[[#This Row],[ILS]:[PAR]])</f>
        <v>0</v>
      </c>
      <c r="AL534" s="11"/>
      <c r="AR534" s="140" t="str">
        <f>_xlfn.XLOOKUP(MasterTable[[#This Row],[Aircraft ID]],Aircraft!A:A,Aircraft!H:H)</f>
        <v>Airplane Single Engine Land</v>
      </c>
      <c r="AS534" s="8" t="b">
        <f>OR((SUM(MasterTable[[#This Row],[ILS]:[PAR]]) = MasterTable[[#This Row],[APPR]]))</f>
        <v>1</v>
      </c>
      <c r="AT534" s="8" t="b">
        <f>NOT(ISBLANK(MasterTable[[#This Row],[Total
Time]]))</f>
        <v>1</v>
      </c>
    </row>
    <row r="535" spans="4:46" ht="28.8" x14ac:dyDescent="0.3">
      <c r="D535" s="22">
        <v>44271</v>
      </c>
      <c r="E535" s="8" t="s">
        <v>121</v>
      </c>
      <c r="F535" s="8" t="s">
        <v>204</v>
      </c>
      <c r="G535" s="8" t="s">
        <v>204</v>
      </c>
      <c r="I535" s="10">
        <v>1.2</v>
      </c>
      <c r="J535" s="10">
        <v>1.2</v>
      </c>
      <c r="L535" s="10">
        <v>0</v>
      </c>
      <c r="M535" s="13">
        <v>0</v>
      </c>
      <c r="N535" s="13"/>
      <c r="O535" s="10">
        <v>1.2</v>
      </c>
      <c r="P535" s="10">
        <v>0</v>
      </c>
      <c r="Q535" s="14">
        <v>0</v>
      </c>
      <c r="R535" s="14">
        <v>0</v>
      </c>
      <c r="S535" s="10">
        <v>0</v>
      </c>
      <c r="T535" s="10">
        <v>0</v>
      </c>
      <c r="U535" s="14">
        <v>0</v>
      </c>
      <c r="V535" s="10"/>
      <c r="W535" s="11">
        <v>3</v>
      </c>
      <c r="X535" s="11">
        <v>3</v>
      </c>
      <c r="Y535" s="11">
        <v>0</v>
      </c>
      <c r="Z535" s="11">
        <v>0</v>
      </c>
      <c r="AA535" s="11">
        <f>MasterTable[[#This Row],[Landings
Night]]+MasterTable[[#This Row],[Landings
Day]]</f>
        <v>3</v>
      </c>
      <c r="AB535" s="10">
        <v>0</v>
      </c>
      <c r="AC535" s="10">
        <v>0</v>
      </c>
      <c r="AD535" s="11">
        <v>0</v>
      </c>
      <c r="AE535" s="21">
        <f>SUM(MasterTable[[#This Row],[ILS]:[PAR]])</f>
        <v>0</v>
      </c>
      <c r="AL535" s="11"/>
      <c r="AR535" s="140" t="str">
        <f>_xlfn.XLOOKUP(MasterTable[[#This Row],[Aircraft ID]],Aircraft!A:A,Aircraft!H:H)</f>
        <v>Airplane Single Engine Land</v>
      </c>
      <c r="AS535" s="8" t="b">
        <f>OR((SUM(MasterTable[[#This Row],[ILS]:[PAR]]) = MasterTable[[#This Row],[APPR]]))</f>
        <v>1</v>
      </c>
      <c r="AT535" s="8" t="b">
        <f>NOT(ISBLANK(MasterTable[[#This Row],[Total
Time]]))</f>
        <v>1</v>
      </c>
    </row>
    <row r="536" spans="4:46" ht="28.8" x14ac:dyDescent="0.3">
      <c r="D536" s="22">
        <v>44270</v>
      </c>
      <c r="E536" s="8" t="s">
        <v>64</v>
      </c>
      <c r="F536" s="8" t="s">
        <v>204</v>
      </c>
      <c r="G536" s="8" t="s">
        <v>204</v>
      </c>
      <c r="I536" s="10">
        <v>1.2</v>
      </c>
      <c r="J536" s="10">
        <v>1.2</v>
      </c>
      <c r="L536" s="10">
        <v>0</v>
      </c>
      <c r="M536" s="13">
        <v>0</v>
      </c>
      <c r="N536" s="13"/>
      <c r="O536" s="10">
        <v>1.2</v>
      </c>
      <c r="P536" s="10">
        <v>0</v>
      </c>
      <c r="Q536" s="14">
        <v>0</v>
      </c>
      <c r="R536" s="14">
        <v>0</v>
      </c>
      <c r="S536" s="10">
        <v>0</v>
      </c>
      <c r="T536" s="10">
        <v>0</v>
      </c>
      <c r="U536" s="14">
        <v>0</v>
      </c>
      <c r="V536" s="10"/>
      <c r="W536" s="11">
        <v>1</v>
      </c>
      <c r="X536" s="11">
        <v>1</v>
      </c>
      <c r="Y536" s="11">
        <v>0</v>
      </c>
      <c r="Z536" s="11">
        <v>0</v>
      </c>
      <c r="AA536" s="11">
        <f>MasterTable[[#This Row],[Landings
Night]]+MasterTable[[#This Row],[Landings
Day]]</f>
        <v>1</v>
      </c>
      <c r="AB536" s="10">
        <v>0</v>
      </c>
      <c r="AC536" s="10">
        <v>0</v>
      </c>
      <c r="AD536" s="11">
        <v>0</v>
      </c>
      <c r="AE536" s="21">
        <f>SUM(MasterTable[[#This Row],[ILS]:[PAR]])</f>
        <v>0</v>
      </c>
      <c r="AL536" s="11"/>
      <c r="AR536" s="140" t="str">
        <f>_xlfn.XLOOKUP(MasterTable[[#This Row],[Aircraft ID]],Aircraft!A:A,Aircraft!H:H)</f>
        <v>Airplane Single Engine Land</v>
      </c>
      <c r="AS536" s="8" t="b">
        <f>OR((SUM(MasterTable[[#This Row],[ILS]:[PAR]]) = MasterTable[[#This Row],[APPR]]))</f>
        <v>1</v>
      </c>
      <c r="AT536" s="8" t="b">
        <f>NOT(ISBLANK(MasterTable[[#This Row],[Total
Time]]))</f>
        <v>1</v>
      </c>
    </row>
    <row r="537" spans="4:46" ht="28.8" x14ac:dyDescent="0.3">
      <c r="D537" s="22">
        <v>44264</v>
      </c>
      <c r="E537" s="8" t="s">
        <v>121</v>
      </c>
      <c r="F537" s="8" t="s">
        <v>204</v>
      </c>
      <c r="G537" s="8" t="s">
        <v>204</v>
      </c>
      <c r="I537" s="10">
        <v>0.9</v>
      </c>
      <c r="J537" s="10">
        <v>0.9</v>
      </c>
      <c r="L537" s="10">
        <v>0</v>
      </c>
      <c r="M537" s="13">
        <v>0</v>
      </c>
      <c r="N537" s="13"/>
      <c r="O537" s="10">
        <v>0.9</v>
      </c>
      <c r="P537" s="10">
        <v>0</v>
      </c>
      <c r="Q537" s="14">
        <v>0</v>
      </c>
      <c r="R537" s="14">
        <v>0</v>
      </c>
      <c r="S537" s="10">
        <v>0.2</v>
      </c>
      <c r="T537" s="10">
        <v>0</v>
      </c>
      <c r="U537" s="14">
        <v>0</v>
      </c>
      <c r="V537" s="10"/>
      <c r="W537" s="11">
        <v>6</v>
      </c>
      <c r="X537" s="11">
        <v>6</v>
      </c>
      <c r="Y537" s="11">
        <v>2</v>
      </c>
      <c r="Z537" s="11">
        <v>2</v>
      </c>
      <c r="AA537" s="11">
        <f>MasterTable[[#This Row],[Landings
Night]]+MasterTable[[#This Row],[Landings
Day]]</f>
        <v>8</v>
      </c>
      <c r="AB537" s="10">
        <v>0</v>
      </c>
      <c r="AC537" s="10">
        <v>0</v>
      </c>
      <c r="AD537" s="11">
        <v>0</v>
      </c>
      <c r="AE537" s="21">
        <f>SUM(MasterTable[[#This Row],[ILS]:[PAR]])</f>
        <v>0</v>
      </c>
      <c r="AL537" s="11"/>
      <c r="AR537" s="140" t="str">
        <f>_xlfn.XLOOKUP(MasterTable[[#This Row],[Aircraft ID]],Aircraft!A:A,Aircraft!H:H)</f>
        <v>Airplane Single Engine Land</v>
      </c>
      <c r="AS537" s="8" t="b">
        <f>OR((SUM(MasterTable[[#This Row],[ILS]:[PAR]]) = MasterTable[[#This Row],[APPR]]))</f>
        <v>1</v>
      </c>
      <c r="AT537" s="8" t="b">
        <f>NOT(ISBLANK(MasterTable[[#This Row],[Total
Time]]))</f>
        <v>1</v>
      </c>
    </row>
    <row r="538" spans="4:46" ht="28.8" x14ac:dyDescent="0.3">
      <c r="D538" s="22">
        <v>44262</v>
      </c>
      <c r="E538" s="8" t="s">
        <v>121</v>
      </c>
      <c r="F538" s="8" t="s">
        <v>204</v>
      </c>
      <c r="G538" s="8" t="s">
        <v>258</v>
      </c>
      <c r="I538" s="10">
        <v>1.4</v>
      </c>
      <c r="J538" s="10">
        <v>1.4</v>
      </c>
      <c r="L538" s="10">
        <v>0</v>
      </c>
      <c r="M538" s="13">
        <v>0</v>
      </c>
      <c r="N538" s="13"/>
      <c r="O538" s="10">
        <v>1.4</v>
      </c>
      <c r="P538" s="10">
        <v>0</v>
      </c>
      <c r="Q538" s="14">
        <v>0</v>
      </c>
      <c r="R538" s="14">
        <v>0</v>
      </c>
      <c r="S538" s="10">
        <v>0</v>
      </c>
      <c r="T538" s="10">
        <v>0</v>
      </c>
      <c r="U538" s="14">
        <v>0</v>
      </c>
      <c r="V538" s="10"/>
      <c r="W538" s="11">
        <v>8</v>
      </c>
      <c r="X538" s="11">
        <v>8</v>
      </c>
      <c r="Y538" s="11">
        <v>0</v>
      </c>
      <c r="Z538" s="11">
        <v>0</v>
      </c>
      <c r="AA538" s="11">
        <f>MasterTable[[#This Row],[Landings
Night]]+MasterTable[[#This Row],[Landings
Day]]</f>
        <v>8</v>
      </c>
      <c r="AB538" s="10">
        <v>0</v>
      </c>
      <c r="AC538" s="10">
        <v>0</v>
      </c>
      <c r="AD538" s="11">
        <v>0</v>
      </c>
      <c r="AE538" s="21">
        <f>SUM(MasterTable[[#This Row],[ILS]:[PAR]])</f>
        <v>0</v>
      </c>
      <c r="AL538" s="11"/>
      <c r="AR538" s="140" t="str">
        <f>_xlfn.XLOOKUP(MasterTable[[#This Row],[Aircraft ID]],Aircraft!A:A,Aircraft!H:H)</f>
        <v>Airplane Single Engine Land</v>
      </c>
      <c r="AS538" s="8" t="b">
        <f>OR((SUM(MasterTable[[#This Row],[ILS]:[PAR]]) = MasterTable[[#This Row],[APPR]]))</f>
        <v>1</v>
      </c>
      <c r="AT538" s="8" t="b">
        <f>NOT(ISBLANK(MasterTable[[#This Row],[Total
Time]]))</f>
        <v>1</v>
      </c>
    </row>
    <row r="539" spans="4:46" ht="28.8" x14ac:dyDescent="0.3">
      <c r="D539" s="22">
        <v>44262</v>
      </c>
      <c r="E539" s="8" t="s">
        <v>121</v>
      </c>
      <c r="F539" s="8" t="s">
        <v>204</v>
      </c>
      <c r="G539" s="8" t="s">
        <v>264</v>
      </c>
      <c r="I539" s="10">
        <v>1.7</v>
      </c>
      <c r="J539" s="10">
        <v>1.7</v>
      </c>
      <c r="L539" s="10">
        <v>0</v>
      </c>
      <c r="M539" s="13">
        <v>0</v>
      </c>
      <c r="N539" s="13"/>
      <c r="O539" s="10">
        <v>1.7</v>
      </c>
      <c r="P539" s="10">
        <v>0</v>
      </c>
      <c r="Q539" s="14">
        <v>0</v>
      </c>
      <c r="R539" s="14">
        <v>0</v>
      </c>
      <c r="S539" s="10">
        <v>0</v>
      </c>
      <c r="T539" s="10">
        <v>1.7</v>
      </c>
      <c r="U539" s="14">
        <v>0</v>
      </c>
      <c r="V539" s="10"/>
      <c r="W539" s="11">
        <v>3</v>
      </c>
      <c r="X539" s="11">
        <v>3</v>
      </c>
      <c r="Y539" s="11">
        <v>0</v>
      </c>
      <c r="Z539" s="11">
        <v>0</v>
      </c>
      <c r="AA539" s="11">
        <f>MasterTable[[#This Row],[Landings
Night]]+MasterTable[[#This Row],[Landings
Day]]</f>
        <v>3</v>
      </c>
      <c r="AB539" s="10">
        <v>0</v>
      </c>
      <c r="AC539" s="10">
        <v>0</v>
      </c>
      <c r="AD539" s="11">
        <v>0</v>
      </c>
      <c r="AE539" s="21">
        <f>SUM(MasterTable[[#This Row],[ILS]:[PAR]])</f>
        <v>0</v>
      </c>
      <c r="AL539" s="11"/>
      <c r="AR539" s="140" t="str">
        <f>_xlfn.XLOOKUP(MasterTable[[#This Row],[Aircraft ID]],Aircraft!A:A,Aircraft!H:H)</f>
        <v>Airplane Single Engine Land</v>
      </c>
      <c r="AS539" s="8" t="b">
        <f>OR((SUM(MasterTable[[#This Row],[ILS]:[PAR]]) = MasterTable[[#This Row],[APPR]]))</f>
        <v>1</v>
      </c>
      <c r="AT539" s="8" t="b">
        <f>NOT(ISBLANK(MasterTable[[#This Row],[Total
Time]]))</f>
        <v>1</v>
      </c>
    </row>
    <row r="540" spans="4:46" ht="28.8" x14ac:dyDescent="0.3">
      <c r="D540" s="22">
        <v>44262</v>
      </c>
      <c r="E540" s="8" t="s">
        <v>121</v>
      </c>
      <c r="F540" s="8" t="s">
        <v>204</v>
      </c>
      <c r="G540" s="8" t="s">
        <v>204</v>
      </c>
      <c r="I540" s="10">
        <v>0.4</v>
      </c>
      <c r="J540" s="10">
        <v>0.4</v>
      </c>
      <c r="L540" s="10">
        <v>0</v>
      </c>
      <c r="M540" s="13">
        <v>0</v>
      </c>
      <c r="N540" s="13"/>
      <c r="O540" s="10">
        <v>0.4</v>
      </c>
      <c r="P540" s="10">
        <v>0</v>
      </c>
      <c r="Q540" s="14">
        <v>0</v>
      </c>
      <c r="R540" s="14">
        <v>0</v>
      </c>
      <c r="S540" s="10">
        <v>0</v>
      </c>
      <c r="T540" s="10">
        <v>0</v>
      </c>
      <c r="U540" s="14">
        <v>0</v>
      </c>
      <c r="V540" s="10"/>
      <c r="W540" s="11">
        <v>2</v>
      </c>
      <c r="X540" s="11">
        <v>2</v>
      </c>
      <c r="Y540" s="11">
        <v>0</v>
      </c>
      <c r="Z540" s="11">
        <v>0</v>
      </c>
      <c r="AA540" s="11">
        <f>MasterTable[[#This Row],[Landings
Night]]+MasterTable[[#This Row],[Landings
Day]]</f>
        <v>2</v>
      </c>
      <c r="AB540" s="10">
        <v>0</v>
      </c>
      <c r="AC540" s="10">
        <v>0</v>
      </c>
      <c r="AD540" s="11">
        <v>0</v>
      </c>
      <c r="AE540" s="21">
        <f>SUM(MasterTable[[#This Row],[ILS]:[PAR]])</f>
        <v>0</v>
      </c>
      <c r="AL540" s="11"/>
      <c r="AR540" s="140" t="str">
        <f>_xlfn.XLOOKUP(MasterTable[[#This Row],[Aircraft ID]],Aircraft!A:A,Aircraft!H:H)</f>
        <v>Airplane Single Engine Land</v>
      </c>
      <c r="AS540" s="8" t="b">
        <f>OR((SUM(MasterTable[[#This Row],[ILS]:[PAR]]) = MasterTable[[#This Row],[APPR]]))</f>
        <v>1</v>
      </c>
      <c r="AT540" s="8" t="b">
        <f>NOT(ISBLANK(MasterTable[[#This Row],[Total
Time]]))</f>
        <v>1</v>
      </c>
    </row>
    <row r="541" spans="4:46" ht="28.8" x14ac:dyDescent="0.3">
      <c r="D541" s="22">
        <v>44260</v>
      </c>
      <c r="E541" s="8" t="s">
        <v>121</v>
      </c>
      <c r="F541" s="8" t="s">
        <v>204</v>
      </c>
      <c r="G541" s="8" t="s">
        <v>204</v>
      </c>
      <c r="I541" s="10">
        <v>0.5</v>
      </c>
      <c r="J541" s="10">
        <v>0.5</v>
      </c>
      <c r="L541" s="10">
        <v>0</v>
      </c>
      <c r="M541" s="13">
        <v>0</v>
      </c>
      <c r="N541" s="13"/>
      <c r="O541" s="10">
        <v>0.5</v>
      </c>
      <c r="P541" s="10">
        <v>0</v>
      </c>
      <c r="Q541" s="14">
        <v>0</v>
      </c>
      <c r="R541" s="14">
        <v>0</v>
      </c>
      <c r="S541" s="10">
        <v>0</v>
      </c>
      <c r="T541" s="10">
        <v>0</v>
      </c>
      <c r="U541" s="14">
        <v>0</v>
      </c>
      <c r="V541" s="10"/>
      <c r="W541" s="11">
        <v>1</v>
      </c>
      <c r="X541" s="11">
        <v>1</v>
      </c>
      <c r="Y541" s="11">
        <v>0</v>
      </c>
      <c r="Z541" s="11">
        <v>0</v>
      </c>
      <c r="AA541" s="11">
        <f>MasterTable[[#This Row],[Landings
Night]]+MasterTable[[#This Row],[Landings
Day]]</f>
        <v>1</v>
      </c>
      <c r="AB541" s="10">
        <v>0</v>
      </c>
      <c r="AC541" s="10">
        <v>0</v>
      </c>
      <c r="AD541" s="11">
        <v>0</v>
      </c>
      <c r="AE541" s="21">
        <f>SUM(MasterTable[[#This Row],[ILS]:[PAR]])</f>
        <v>0</v>
      </c>
      <c r="AL541" s="11"/>
      <c r="AR541" s="140" t="str">
        <f>_xlfn.XLOOKUP(MasterTable[[#This Row],[Aircraft ID]],Aircraft!A:A,Aircraft!H:H)</f>
        <v>Airplane Single Engine Land</v>
      </c>
      <c r="AS541" s="8" t="b">
        <f>OR((SUM(MasterTable[[#This Row],[ILS]:[PAR]]) = MasterTable[[#This Row],[APPR]]))</f>
        <v>1</v>
      </c>
      <c r="AT541" s="8" t="b">
        <f>NOT(ISBLANK(MasterTable[[#This Row],[Total
Time]]))</f>
        <v>1</v>
      </c>
    </row>
    <row r="542" spans="4:46" ht="28.8" x14ac:dyDescent="0.3">
      <c r="D542" s="22">
        <v>44255</v>
      </c>
      <c r="E542" s="8" t="s">
        <v>121</v>
      </c>
      <c r="F542" s="8" t="s">
        <v>204</v>
      </c>
      <c r="G542" s="8" t="s">
        <v>204</v>
      </c>
      <c r="I542" s="10">
        <v>1.2</v>
      </c>
      <c r="J542" s="10">
        <v>1.2</v>
      </c>
      <c r="L542" s="10">
        <v>0</v>
      </c>
      <c r="M542" s="13">
        <v>0</v>
      </c>
      <c r="N542" s="13"/>
      <c r="O542" s="10">
        <v>1.2</v>
      </c>
      <c r="P542" s="10">
        <v>0</v>
      </c>
      <c r="Q542" s="14">
        <v>0</v>
      </c>
      <c r="R542" s="14">
        <v>0</v>
      </c>
      <c r="S542" s="10">
        <v>0</v>
      </c>
      <c r="T542" s="10">
        <v>0</v>
      </c>
      <c r="U542" s="14">
        <v>0</v>
      </c>
      <c r="V542" s="10"/>
      <c r="W542" s="11">
        <v>7</v>
      </c>
      <c r="X542" s="11">
        <v>7</v>
      </c>
      <c r="Y542" s="11">
        <v>0</v>
      </c>
      <c r="Z542" s="11">
        <v>0</v>
      </c>
      <c r="AA542" s="11">
        <f>MasterTable[[#This Row],[Landings
Night]]+MasterTable[[#This Row],[Landings
Day]]</f>
        <v>7</v>
      </c>
      <c r="AB542" s="10">
        <v>0</v>
      </c>
      <c r="AC542" s="10">
        <v>0</v>
      </c>
      <c r="AD542" s="11">
        <v>0</v>
      </c>
      <c r="AE542" s="21">
        <f>SUM(MasterTable[[#This Row],[ILS]:[PAR]])</f>
        <v>0</v>
      </c>
      <c r="AL542" s="11"/>
      <c r="AR542" s="140" t="str">
        <f>_xlfn.XLOOKUP(MasterTable[[#This Row],[Aircraft ID]],Aircraft!A:A,Aircraft!H:H)</f>
        <v>Airplane Single Engine Land</v>
      </c>
      <c r="AS542" s="8" t="b">
        <f>OR((SUM(MasterTable[[#This Row],[ILS]:[PAR]]) = MasterTable[[#This Row],[APPR]]))</f>
        <v>1</v>
      </c>
      <c r="AT542" s="8" t="b">
        <f>NOT(ISBLANK(MasterTable[[#This Row],[Total
Time]]))</f>
        <v>1</v>
      </c>
    </row>
    <row r="543" spans="4:46" ht="28.8" x14ac:dyDescent="0.3">
      <c r="D543" s="22">
        <v>44255</v>
      </c>
      <c r="E543" s="8" t="s">
        <v>60</v>
      </c>
      <c r="F543" s="8" t="s">
        <v>204</v>
      </c>
      <c r="G543" s="8" t="s">
        <v>204</v>
      </c>
      <c r="I543" s="10">
        <v>1.1000000000000001</v>
      </c>
      <c r="J543" s="10">
        <v>1.1000000000000001</v>
      </c>
      <c r="L543" s="10">
        <v>0</v>
      </c>
      <c r="M543" s="13">
        <v>0</v>
      </c>
      <c r="N543" s="13"/>
      <c r="O543" s="10">
        <v>1.1000000000000001</v>
      </c>
      <c r="P543" s="10">
        <v>0</v>
      </c>
      <c r="Q543" s="14">
        <v>0</v>
      </c>
      <c r="R543" s="14">
        <v>0</v>
      </c>
      <c r="S543" s="10">
        <v>0</v>
      </c>
      <c r="T543" s="10">
        <v>0</v>
      </c>
      <c r="U543" s="14">
        <v>0</v>
      </c>
      <c r="V543" s="10"/>
      <c r="W543" s="11">
        <v>5</v>
      </c>
      <c r="X543" s="11">
        <v>5</v>
      </c>
      <c r="Y543" s="11">
        <v>0</v>
      </c>
      <c r="Z543" s="11">
        <v>0</v>
      </c>
      <c r="AA543" s="11">
        <f>MasterTable[[#This Row],[Landings
Night]]+MasterTable[[#This Row],[Landings
Day]]</f>
        <v>5</v>
      </c>
      <c r="AB543" s="10">
        <v>0</v>
      </c>
      <c r="AC543" s="10">
        <v>0</v>
      </c>
      <c r="AD543" s="11">
        <v>0</v>
      </c>
      <c r="AE543" s="21">
        <f>SUM(MasterTable[[#This Row],[ILS]:[PAR]])</f>
        <v>0</v>
      </c>
      <c r="AL543" s="11"/>
      <c r="AR543" s="140" t="str">
        <f>_xlfn.XLOOKUP(MasterTable[[#This Row],[Aircraft ID]],Aircraft!A:A,Aircraft!H:H)</f>
        <v>Airplane Single Engine Land</v>
      </c>
      <c r="AS543" s="8" t="b">
        <f>OR((SUM(MasterTable[[#This Row],[ILS]:[PAR]]) = MasterTable[[#This Row],[APPR]]))</f>
        <v>1</v>
      </c>
      <c r="AT543" s="8" t="b">
        <f>NOT(ISBLANK(MasterTable[[#This Row],[Total
Time]]))</f>
        <v>1</v>
      </c>
    </row>
    <row r="544" spans="4:46" ht="28.8" x14ac:dyDescent="0.3">
      <c r="D544" s="22">
        <v>44254</v>
      </c>
      <c r="E544" s="8" t="s">
        <v>60</v>
      </c>
      <c r="F544" s="8" t="s">
        <v>204</v>
      </c>
      <c r="G544" s="8" t="s">
        <v>204</v>
      </c>
      <c r="I544" s="10">
        <v>1.3</v>
      </c>
      <c r="J544" s="10">
        <v>1.3</v>
      </c>
      <c r="L544" s="10">
        <v>0</v>
      </c>
      <c r="M544" s="13">
        <v>0</v>
      </c>
      <c r="N544" s="13"/>
      <c r="O544" s="10">
        <v>1.3</v>
      </c>
      <c r="P544" s="10">
        <v>0</v>
      </c>
      <c r="Q544" s="14">
        <v>0</v>
      </c>
      <c r="R544" s="14">
        <v>0</v>
      </c>
      <c r="S544" s="10">
        <v>0</v>
      </c>
      <c r="T544" s="10">
        <v>0</v>
      </c>
      <c r="U544" s="14">
        <v>0</v>
      </c>
      <c r="V544" s="10"/>
      <c r="W544" s="11">
        <v>1</v>
      </c>
      <c r="X544" s="11">
        <v>1</v>
      </c>
      <c r="Y544" s="11">
        <v>0</v>
      </c>
      <c r="Z544" s="11">
        <v>0</v>
      </c>
      <c r="AA544" s="11">
        <f>MasterTable[[#This Row],[Landings
Night]]+MasterTable[[#This Row],[Landings
Day]]</f>
        <v>1</v>
      </c>
      <c r="AB544" s="10">
        <v>0</v>
      </c>
      <c r="AC544" s="10">
        <v>0</v>
      </c>
      <c r="AD544" s="11">
        <v>0</v>
      </c>
      <c r="AE544" s="21">
        <f>SUM(MasterTable[[#This Row],[ILS]:[PAR]])</f>
        <v>0</v>
      </c>
      <c r="AL544" s="11"/>
      <c r="AR544" s="140" t="str">
        <f>_xlfn.XLOOKUP(MasterTable[[#This Row],[Aircraft ID]],Aircraft!A:A,Aircraft!H:H)</f>
        <v>Airplane Single Engine Land</v>
      </c>
      <c r="AS544" s="8" t="b">
        <f>OR((SUM(MasterTable[[#This Row],[ILS]:[PAR]]) = MasterTable[[#This Row],[APPR]]))</f>
        <v>1</v>
      </c>
      <c r="AT544" s="8" t="b">
        <f>NOT(ISBLANK(MasterTable[[#This Row],[Total
Time]]))</f>
        <v>1</v>
      </c>
    </row>
    <row r="545" spans="4:46" ht="28.8" x14ac:dyDescent="0.3">
      <c r="D545" s="22">
        <v>44253</v>
      </c>
      <c r="E545" s="8" t="s">
        <v>60</v>
      </c>
      <c r="F545" s="8" t="s">
        <v>204</v>
      </c>
      <c r="G545" s="8" t="s">
        <v>204</v>
      </c>
      <c r="I545" s="10">
        <v>1.2</v>
      </c>
      <c r="J545" s="10">
        <v>1.2</v>
      </c>
      <c r="L545" s="10">
        <v>0</v>
      </c>
      <c r="M545" s="13">
        <v>0</v>
      </c>
      <c r="N545" s="13"/>
      <c r="O545" s="10">
        <v>1.2</v>
      </c>
      <c r="P545" s="10">
        <v>0</v>
      </c>
      <c r="Q545" s="14">
        <v>0</v>
      </c>
      <c r="R545" s="14">
        <v>0</v>
      </c>
      <c r="S545" s="10">
        <v>0</v>
      </c>
      <c r="T545" s="10">
        <v>0</v>
      </c>
      <c r="U545" s="14">
        <v>0</v>
      </c>
      <c r="V545" s="10"/>
      <c r="W545" s="11">
        <v>2</v>
      </c>
      <c r="X545" s="11">
        <v>2</v>
      </c>
      <c r="Y545" s="11">
        <v>0</v>
      </c>
      <c r="Z545" s="11">
        <v>0</v>
      </c>
      <c r="AA545" s="11">
        <f>MasterTable[[#This Row],[Landings
Night]]+MasterTable[[#This Row],[Landings
Day]]</f>
        <v>2</v>
      </c>
      <c r="AB545" s="10">
        <v>0</v>
      </c>
      <c r="AC545" s="10">
        <v>0</v>
      </c>
      <c r="AD545" s="11">
        <v>0</v>
      </c>
      <c r="AE545" s="21">
        <f>SUM(MasterTable[[#This Row],[ILS]:[PAR]])</f>
        <v>0</v>
      </c>
      <c r="AL545" s="11"/>
      <c r="AR545" s="140" t="str">
        <f>_xlfn.XLOOKUP(MasterTable[[#This Row],[Aircraft ID]],Aircraft!A:A,Aircraft!H:H)</f>
        <v>Airplane Single Engine Land</v>
      </c>
      <c r="AS545" s="8" t="b">
        <f>OR((SUM(MasterTable[[#This Row],[ILS]:[PAR]]) = MasterTable[[#This Row],[APPR]]))</f>
        <v>1</v>
      </c>
      <c r="AT545" s="8" t="b">
        <f>NOT(ISBLANK(MasterTable[[#This Row],[Total
Time]]))</f>
        <v>1</v>
      </c>
    </row>
    <row r="546" spans="4:46" ht="28.8" x14ac:dyDescent="0.3">
      <c r="D546" s="22">
        <v>44250</v>
      </c>
      <c r="E546" s="8" t="s">
        <v>64</v>
      </c>
      <c r="F546" s="8" t="s">
        <v>204</v>
      </c>
      <c r="G546" s="8" t="s">
        <v>204</v>
      </c>
      <c r="I546" s="10">
        <v>0.7</v>
      </c>
      <c r="J546" s="10">
        <v>0.7</v>
      </c>
      <c r="L546" s="10">
        <v>0</v>
      </c>
      <c r="M546" s="13">
        <v>0</v>
      </c>
      <c r="N546" s="13"/>
      <c r="O546" s="10">
        <v>0.7</v>
      </c>
      <c r="P546" s="10">
        <v>0</v>
      </c>
      <c r="Q546" s="14">
        <v>0</v>
      </c>
      <c r="R546" s="14">
        <v>0</v>
      </c>
      <c r="S546" s="10">
        <v>0</v>
      </c>
      <c r="T546" s="10">
        <v>0</v>
      </c>
      <c r="U546" s="14">
        <v>0</v>
      </c>
      <c r="V546" s="10"/>
      <c r="W546" s="11">
        <v>1</v>
      </c>
      <c r="X546" s="11">
        <v>1</v>
      </c>
      <c r="Y546" s="11">
        <v>0</v>
      </c>
      <c r="Z546" s="11">
        <v>0</v>
      </c>
      <c r="AA546" s="11">
        <f>MasterTable[[#This Row],[Landings
Night]]+MasterTable[[#This Row],[Landings
Day]]</f>
        <v>1</v>
      </c>
      <c r="AB546" s="10">
        <v>0</v>
      </c>
      <c r="AC546" s="10">
        <v>0</v>
      </c>
      <c r="AD546" s="11">
        <v>0</v>
      </c>
      <c r="AE546" s="21">
        <f>SUM(MasterTable[[#This Row],[ILS]:[PAR]])</f>
        <v>0</v>
      </c>
      <c r="AL546" s="11"/>
      <c r="AR546" s="140" t="str">
        <f>_xlfn.XLOOKUP(MasterTable[[#This Row],[Aircraft ID]],Aircraft!A:A,Aircraft!H:H)</f>
        <v>Airplane Single Engine Land</v>
      </c>
      <c r="AS546" s="8" t="b">
        <f>OR((SUM(MasterTable[[#This Row],[ILS]:[PAR]]) = MasterTable[[#This Row],[APPR]]))</f>
        <v>1</v>
      </c>
      <c r="AT546" s="8" t="b">
        <f>NOT(ISBLANK(MasterTable[[#This Row],[Total
Time]]))</f>
        <v>1</v>
      </c>
    </row>
    <row r="547" spans="4:46" ht="28.8" x14ac:dyDescent="0.3">
      <c r="D547" s="22">
        <v>44246</v>
      </c>
      <c r="E547" s="8" t="s">
        <v>64</v>
      </c>
      <c r="F547" s="8" t="s">
        <v>204</v>
      </c>
      <c r="G547" s="8" t="s">
        <v>204</v>
      </c>
      <c r="I547" s="10">
        <v>1.1000000000000001</v>
      </c>
      <c r="J547" s="10">
        <v>1.1000000000000001</v>
      </c>
      <c r="L547" s="10">
        <v>0</v>
      </c>
      <c r="M547" s="13">
        <v>0</v>
      </c>
      <c r="N547" s="13"/>
      <c r="O547" s="10">
        <v>1.1000000000000001</v>
      </c>
      <c r="P547" s="10">
        <v>0</v>
      </c>
      <c r="Q547" s="14">
        <v>0</v>
      </c>
      <c r="R547" s="14">
        <v>0</v>
      </c>
      <c r="S547" s="10">
        <v>0</v>
      </c>
      <c r="T547" s="10">
        <v>0</v>
      </c>
      <c r="U547" s="14">
        <v>0</v>
      </c>
      <c r="V547" s="10"/>
      <c r="W547" s="11">
        <v>3</v>
      </c>
      <c r="X547" s="11">
        <v>3</v>
      </c>
      <c r="Y547" s="11">
        <v>0</v>
      </c>
      <c r="Z547" s="11">
        <v>0</v>
      </c>
      <c r="AA547" s="11">
        <f>MasterTable[[#This Row],[Landings
Night]]+MasterTable[[#This Row],[Landings
Day]]</f>
        <v>3</v>
      </c>
      <c r="AB547" s="10">
        <v>0</v>
      </c>
      <c r="AC547" s="10">
        <v>0</v>
      </c>
      <c r="AD547" s="11">
        <v>0</v>
      </c>
      <c r="AE547" s="21">
        <f>SUM(MasterTable[[#This Row],[ILS]:[PAR]])</f>
        <v>0</v>
      </c>
      <c r="AL547" s="11"/>
      <c r="AR547" s="140" t="str">
        <f>_xlfn.XLOOKUP(MasterTable[[#This Row],[Aircraft ID]],Aircraft!A:A,Aircraft!H:H)</f>
        <v>Airplane Single Engine Land</v>
      </c>
      <c r="AS547" s="8" t="b">
        <f>OR((SUM(MasterTable[[#This Row],[ILS]:[PAR]]) = MasterTable[[#This Row],[APPR]]))</f>
        <v>1</v>
      </c>
      <c r="AT547" s="8" t="b">
        <f>NOT(ISBLANK(MasterTable[[#This Row],[Total
Time]]))</f>
        <v>1</v>
      </c>
    </row>
    <row r="548" spans="4:46" ht="28.8" x14ac:dyDescent="0.3">
      <c r="D548" s="22">
        <v>44241</v>
      </c>
      <c r="E548" s="8" t="s">
        <v>121</v>
      </c>
      <c r="F548" s="8" t="s">
        <v>204</v>
      </c>
      <c r="G548" s="8" t="s">
        <v>258</v>
      </c>
      <c r="I548" s="10">
        <v>1.4</v>
      </c>
      <c r="J548" s="10">
        <v>1.4</v>
      </c>
      <c r="L548" s="10">
        <v>0</v>
      </c>
      <c r="M548" s="13">
        <v>0</v>
      </c>
      <c r="N548" s="13"/>
      <c r="O548" s="10">
        <v>1.4</v>
      </c>
      <c r="P548" s="10">
        <v>0</v>
      </c>
      <c r="Q548" s="14">
        <v>0</v>
      </c>
      <c r="R548" s="14">
        <v>0</v>
      </c>
      <c r="S548" s="10">
        <v>0</v>
      </c>
      <c r="T548" s="10">
        <v>0</v>
      </c>
      <c r="U548" s="14">
        <v>0</v>
      </c>
      <c r="V548" s="10"/>
      <c r="W548" s="11">
        <v>6</v>
      </c>
      <c r="X548" s="11">
        <v>6</v>
      </c>
      <c r="Y548" s="11">
        <v>0</v>
      </c>
      <c r="Z548" s="11">
        <v>0</v>
      </c>
      <c r="AA548" s="11">
        <f>MasterTable[[#This Row],[Landings
Night]]+MasterTable[[#This Row],[Landings
Day]]</f>
        <v>6</v>
      </c>
      <c r="AB548" s="10">
        <v>0</v>
      </c>
      <c r="AC548" s="10">
        <v>0</v>
      </c>
      <c r="AD548" s="11">
        <v>0</v>
      </c>
      <c r="AE548" s="21">
        <f>SUM(MasterTable[[#This Row],[ILS]:[PAR]])</f>
        <v>0</v>
      </c>
      <c r="AL548" s="11"/>
      <c r="AR548" s="140" t="str">
        <f>_xlfn.XLOOKUP(MasterTable[[#This Row],[Aircraft ID]],Aircraft!A:A,Aircraft!H:H)</f>
        <v>Airplane Single Engine Land</v>
      </c>
      <c r="AS548" s="8" t="b">
        <f>OR((SUM(MasterTable[[#This Row],[ILS]:[PAR]]) = MasterTable[[#This Row],[APPR]]))</f>
        <v>1</v>
      </c>
      <c r="AT548" s="8" t="b">
        <f>NOT(ISBLANK(MasterTable[[#This Row],[Total
Time]]))</f>
        <v>1</v>
      </c>
    </row>
    <row r="549" spans="4:46" ht="28.8" x14ac:dyDescent="0.3">
      <c r="D549" s="22">
        <v>44221</v>
      </c>
      <c r="E549" s="8" t="s">
        <v>174</v>
      </c>
      <c r="F549" s="8" t="s">
        <v>202</v>
      </c>
      <c r="G549" s="8" t="s">
        <v>265</v>
      </c>
      <c r="I549" s="10">
        <v>0.6</v>
      </c>
      <c r="J549" s="10">
        <v>0.6</v>
      </c>
      <c r="L549" s="10">
        <v>0</v>
      </c>
      <c r="M549" s="13">
        <v>0</v>
      </c>
      <c r="N549" s="13"/>
      <c r="O549" s="10">
        <v>0</v>
      </c>
      <c r="P549" s="10">
        <v>0</v>
      </c>
      <c r="Q549" s="14">
        <v>0</v>
      </c>
      <c r="R549" s="14">
        <v>0</v>
      </c>
      <c r="S549" s="10">
        <v>0</v>
      </c>
      <c r="T549" s="10">
        <v>0</v>
      </c>
      <c r="U549" s="14">
        <v>0</v>
      </c>
      <c r="V549" s="10"/>
      <c r="W549" s="11">
        <v>1</v>
      </c>
      <c r="X549" s="11">
        <v>1</v>
      </c>
      <c r="Y549" s="11">
        <v>0</v>
      </c>
      <c r="Z549" s="11">
        <v>0</v>
      </c>
      <c r="AA549" s="11">
        <f>MasterTable[[#This Row],[Landings
Night]]+MasterTable[[#This Row],[Landings
Day]]</f>
        <v>1</v>
      </c>
      <c r="AB549" s="10">
        <v>0</v>
      </c>
      <c r="AC549" s="10">
        <v>0</v>
      </c>
      <c r="AD549" s="11">
        <v>0</v>
      </c>
      <c r="AE549" s="21">
        <f>SUM(MasterTable[[#This Row],[ILS]:[PAR]])</f>
        <v>0</v>
      </c>
      <c r="AL549" s="11"/>
      <c r="AR549" s="140" t="str">
        <f>_xlfn.XLOOKUP(MasterTable[[#This Row],[Aircraft ID]],Aircraft!A:A,Aircraft!H:H)</f>
        <v>Airplane Single Engine Land</v>
      </c>
      <c r="AS549" s="8" t="b">
        <f>OR((SUM(MasterTable[[#This Row],[ILS]:[PAR]]) = MasterTable[[#This Row],[APPR]]))</f>
        <v>1</v>
      </c>
      <c r="AT549" s="8" t="b">
        <f>NOT(ISBLANK(MasterTable[[#This Row],[Total
Time]]))</f>
        <v>1</v>
      </c>
    </row>
    <row r="550" spans="4:46" ht="28.8" x14ac:dyDescent="0.3">
      <c r="D550" s="22">
        <v>44220</v>
      </c>
      <c r="E550" s="8" t="s">
        <v>121</v>
      </c>
      <c r="F550" s="8" t="s">
        <v>204</v>
      </c>
      <c r="G550" s="8" t="s">
        <v>204</v>
      </c>
      <c r="I550" s="10">
        <v>1.1000000000000001</v>
      </c>
      <c r="J550" s="10">
        <v>1.1000000000000001</v>
      </c>
      <c r="L550" s="10">
        <v>0</v>
      </c>
      <c r="M550" s="13">
        <v>0</v>
      </c>
      <c r="N550" s="13"/>
      <c r="O550" s="10">
        <v>1.1000000000000001</v>
      </c>
      <c r="P550" s="10">
        <v>0</v>
      </c>
      <c r="Q550" s="14">
        <v>0</v>
      </c>
      <c r="R550" s="14">
        <v>0</v>
      </c>
      <c r="S550" s="10">
        <v>0</v>
      </c>
      <c r="T550" s="10">
        <v>0</v>
      </c>
      <c r="U550" s="14">
        <v>0</v>
      </c>
      <c r="V550" s="10"/>
      <c r="W550" s="11">
        <v>2</v>
      </c>
      <c r="X550" s="11">
        <v>2</v>
      </c>
      <c r="Y550" s="11">
        <v>0</v>
      </c>
      <c r="Z550" s="11">
        <v>0</v>
      </c>
      <c r="AA550" s="11">
        <f>MasterTable[[#This Row],[Landings
Night]]+MasterTable[[#This Row],[Landings
Day]]</f>
        <v>2</v>
      </c>
      <c r="AB550" s="10">
        <v>0</v>
      </c>
      <c r="AC550" s="10">
        <v>0</v>
      </c>
      <c r="AD550" s="11">
        <v>0</v>
      </c>
      <c r="AE550" s="21">
        <f>SUM(MasterTable[[#This Row],[ILS]:[PAR]])</f>
        <v>0</v>
      </c>
      <c r="AL550" s="11"/>
      <c r="AR550" s="140" t="str">
        <f>_xlfn.XLOOKUP(MasterTable[[#This Row],[Aircraft ID]],Aircraft!A:A,Aircraft!H:H)</f>
        <v>Airplane Single Engine Land</v>
      </c>
      <c r="AS550" s="8" t="b">
        <f>OR((SUM(MasterTable[[#This Row],[ILS]:[PAR]]) = MasterTable[[#This Row],[APPR]]))</f>
        <v>1</v>
      </c>
      <c r="AT550" s="8" t="b">
        <f>NOT(ISBLANK(MasterTable[[#This Row],[Total
Time]]))</f>
        <v>1</v>
      </c>
    </row>
    <row r="551" spans="4:46" ht="28.8" x14ac:dyDescent="0.3">
      <c r="D551" s="22">
        <v>44219</v>
      </c>
      <c r="E551" s="8" t="s">
        <v>121</v>
      </c>
      <c r="F551" s="8" t="s">
        <v>204</v>
      </c>
      <c r="G551" s="8" t="s">
        <v>204</v>
      </c>
      <c r="I551" s="10">
        <v>1.1000000000000001</v>
      </c>
      <c r="J551" s="10">
        <v>1.1000000000000001</v>
      </c>
      <c r="L551" s="10">
        <v>0</v>
      </c>
      <c r="M551" s="13">
        <v>0</v>
      </c>
      <c r="N551" s="13"/>
      <c r="O551" s="10">
        <v>1.1000000000000001</v>
      </c>
      <c r="P551" s="10">
        <v>0</v>
      </c>
      <c r="Q551" s="14">
        <v>0</v>
      </c>
      <c r="R551" s="14">
        <v>0</v>
      </c>
      <c r="S551" s="10">
        <v>0</v>
      </c>
      <c r="T551" s="10">
        <v>0</v>
      </c>
      <c r="U551" s="14">
        <v>0</v>
      </c>
      <c r="V551" s="10"/>
      <c r="W551" s="11">
        <v>3</v>
      </c>
      <c r="X551" s="11">
        <v>3</v>
      </c>
      <c r="Y551" s="11">
        <v>0</v>
      </c>
      <c r="Z551" s="11">
        <v>0</v>
      </c>
      <c r="AA551" s="11">
        <f>MasterTable[[#This Row],[Landings
Night]]+MasterTable[[#This Row],[Landings
Day]]</f>
        <v>3</v>
      </c>
      <c r="AB551" s="10">
        <v>0</v>
      </c>
      <c r="AC551" s="10">
        <v>0</v>
      </c>
      <c r="AD551" s="11">
        <v>0</v>
      </c>
      <c r="AE551" s="21">
        <f>SUM(MasterTable[[#This Row],[ILS]:[PAR]])</f>
        <v>0</v>
      </c>
      <c r="AL551" s="11"/>
      <c r="AR551" s="140" t="str">
        <f>_xlfn.XLOOKUP(MasterTable[[#This Row],[Aircraft ID]],Aircraft!A:A,Aircraft!H:H)</f>
        <v>Airplane Single Engine Land</v>
      </c>
      <c r="AS551" s="8" t="b">
        <f>OR((SUM(MasterTable[[#This Row],[ILS]:[PAR]]) = MasterTable[[#This Row],[APPR]]))</f>
        <v>1</v>
      </c>
      <c r="AT551" s="8" t="b">
        <f>NOT(ISBLANK(MasterTable[[#This Row],[Total
Time]]))</f>
        <v>1</v>
      </c>
    </row>
    <row r="552" spans="4:46" ht="28.8" x14ac:dyDescent="0.3">
      <c r="D552" s="22">
        <v>44217</v>
      </c>
      <c r="E552" s="8" t="s">
        <v>121</v>
      </c>
      <c r="F552" s="8" t="s">
        <v>204</v>
      </c>
      <c r="G552" s="8" t="s">
        <v>204</v>
      </c>
      <c r="I552" s="10">
        <v>1.1000000000000001</v>
      </c>
      <c r="J552" s="10">
        <v>1.1000000000000001</v>
      </c>
      <c r="L552" s="10">
        <v>0</v>
      </c>
      <c r="M552" s="13">
        <v>0</v>
      </c>
      <c r="N552" s="13"/>
      <c r="O552" s="10">
        <v>1.1000000000000001</v>
      </c>
      <c r="P552" s="10">
        <v>0</v>
      </c>
      <c r="Q552" s="14">
        <v>0</v>
      </c>
      <c r="R552" s="14">
        <v>0</v>
      </c>
      <c r="S552" s="10">
        <v>0</v>
      </c>
      <c r="T552" s="10">
        <v>0</v>
      </c>
      <c r="U552" s="14">
        <v>0</v>
      </c>
      <c r="V552" s="10"/>
      <c r="W552" s="11">
        <v>1</v>
      </c>
      <c r="X552" s="11">
        <v>1</v>
      </c>
      <c r="Y552" s="11">
        <v>0</v>
      </c>
      <c r="Z552" s="11">
        <v>0</v>
      </c>
      <c r="AA552" s="11">
        <f>MasterTable[[#This Row],[Landings
Night]]+MasterTable[[#This Row],[Landings
Day]]</f>
        <v>1</v>
      </c>
      <c r="AB552" s="10">
        <v>0</v>
      </c>
      <c r="AC552" s="10">
        <v>0</v>
      </c>
      <c r="AD552" s="11">
        <v>0</v>
      </c>
      <c r="AE552" s="21">
        <f>SUM(MasterTable[[#This Row],[ILS]:[PAR]])</f>
        <v>0</v>
      </c>
      <c r="AL552" s="11"/>
      <c r="AR552" s="140" t="str">
        <f>_xlfn.XLOOKUP(MasterTable[[#This Row],[Aircraft ID]],Aircraft!A:A,Aircraft!H:H)</f>
        <v>Airplane Single Engine Land</v>
      </c>
      <c r="AS552" s="8" t="b">
        <f>OR((SUM(MasterTable[[#This Row],[ILS]:[PAR]]) = MasterTable[[#This Row],[APPR]]))</f>
        <v>1</v>
      </c>
      <c r="AT552" s="8" t="b">
        <f>NOT(ISBLANK(MasterTable[[#This Row],[Total
Time]]))</f>
        <v>1</v>
      </c>
    </row>
    <row r="553" spans="4:46" ht="28.8" x14ac:dyDescent="0.3">
      <c r="D553" s="22">
        <v>44216</v>
      </c>
      <c r="E553" s="8" t="s">
        <v>64</v>
      </c>
      <c r="F553" s="8" t="s">
        <v>204</v>
      </c>
      <c r="G553" s="8" t="s">
        <v>204</v>
      </c>
      <c r="I553" s="10">
        <v>0.4</v>
      </c>
      <c r="J553" s="10">
        <v>0.4</v>
      </c>
      <c r="L553" s="10">
        <v>0</v>
      </c>
      <c r="M553" s="13">
        <v>0</v>
      </c>
      <c r="N553" s="13"/>
      <c r="O553" s="10">
        <v>0.4</v>
      </c>
      <c r="P553" s="10">
        <v>0</v>
      </c>
      <c r="Q553" s="14">
        <v>0</v>
      </c>
      <c r="R553" s="14">
        <v>0</v>
      </c>
      <c r="S553" s="10">
        <v>0</v>
      </c>
      <c r="T553" s="10">
        <v>0</v>
      </c>
      <c r="U553" s="14">
        <v>0</v>
      </c>
      <c r="V553" s="10"/>
      <c r="W553" s="11">
        <v>0</v>
      </c>
      <c r="X553" s="11">
        <v>0</v>
      </c>
      <c r="Y553" s="11">
        <v>0</v>
      </c>
      <c r="Z553" s="11">
        <v>0</v>
      </c>
      <c r="AA553" s="11">
        <f>MasterTable[[#This Row],[Landings
Night]]+MasterTable[[#This Row],[Landings
Day]]</f>
        <v>0</v>
      </c>
      <c r="AB553" s="10">
        <v>0</v>
      </c>
      <c r="AC553" s="10">
        <v>0</v>
      </c>
      <c r="AD553" s="11">
        <v>0</v>
      </c>
      <c r="AE553" s="21">
        <f>SUM(MasterTable[[#This Row],[ILS]:[PAR]])</f>
        <v>0</v>
      </c>
      <c r="AL553" s="11"/>
      <c r="AR553" s="140" t="str">
        <f>_xlfn.XLOOKUP(MasterTable[[#This Row],[Aircraft ID]],Aircraft!A:A,Aircraft!H:H)</f>
        <v>Airplane Single Engine Land</v>
      </c>
      <c r="AS553" s="8" t="b">
        <f>OR((SUM(MasterTable[[#This Row],[ILS]:[PAR]]) = MasterTable[[#This Row],[APPR]]))</f>
        <v>1</v>
      </c>
      <c r="AT553" s="8" t="b">
        <f>NOT(ISBLANK(MasterTable[[#This Row],[Total
Time]]))</f>
        <v>1</v>
      </c>
    </row>
    <row r="554" spans="4:46" ht="28.8" x14ac:dyDescent="0.3">
      <c r="D554" s="22">
        <v>44213</v>
      </c>
      <c r="E554" s="8" t="s">
        <v>121</v>
      </c>
      <c r="F554" s="8" t="s">
        <v>204</v>
      </c>
      <c r="G554" s="8" t="s">
        <v>204</v>
      </c>
      <c r="I554" s="10">
        <v>1.1000000000000001</v>
      </c>
      <c r="J554" s="10">
        <v>1.1000000000000001</v>
      </c>
      <c r="L554" s="10">
        <v>0</v>
      </c>
      <c r="M554" s="13">
        <v>0</v>
      </c>
      <c r="N554" s="13"/>
      <c r="O554" s="10">
        <v>1.1000000000000001</v>
      </c>
      <c r="P554" s="10">
        <v>0</v>
      </c>
      <c r="Q554" s="14">
        <v>0</v>
      </c>
      <c r="R554" s="14">
        <v>0</v>
      </c>
      <c r="S554" s="10">
        <v>0</v>
      </c>
      <c r="T554" s="10">
        <v>0</v>
      </c>
      <c r="U554" s="14">
        <v>0</v>
      </c>
      <c r="V554" s="10"/>
      <c r="W554" s="11">
        <v>2</v>
      </c>
      <c r="X554" s="11">
        <v>2</v>
      </c>
      <c r="Y554" s="11">
        <v>0</v>
      </c>
      <c r="Z554" s="11">
        <v>0</v>
      </c>
      <c r="AA554" s="11">
        <f>MasterTable[[#This Row],[Landings
Night]]+MasterTable[[#This Row],[Landings
Day]]</f>
        <v>2</v>
      </c>
      <c r="AB554" s="10">
        <v>0</v>
      </c>
      <c r="AC554" s="10">
        <v>0</v>
      </c>
      <c r="AD554" s="11">
        <v>0</v>
      </c>
      <c r="AE554" s="21">
        <f>SUM(MasterTable[[#This Row],[ILS]:[PAR]])</f>
        <v>0</v>
      </c>
      <c r="AL554" s="11"/>
      <c r="AR554" s="140" t="str">
        <f>_xlfn.XLOOKUP(MasterTable[[#This Row],[Aircraft ID]],Aircraft!A:A,Aircraft!H:H)</f>
        <v>Airplane Single Engine Land</v>
      </c>
      <c r="AS554" s="8" t="b">
        <f>OR((SUM(MasterTable[[#This Row],[ILS]:[PAR]]) = MasterTable[[#This Row],[APPR]]))</f>
        <v>1</v>
      </c>
      <c r="AT554" s="8" t="b">
        <f>NOT(ISBLANK(MasterTable[[#This Row],[Total
Time]]))</f>
        <v>1</v>
      </c>
    </row>
    <row r="555" spans="4:46" ht="28.8" x14ac:dyDescent="0.3">
      <c r="D555" s="22">
        <v>44210</v>
      </c>
      <c r="E555" s="8" t="s">
        <v>64</v>
      </c>
      <c r="F555" s="8" t="s">
        <v>204</v>
      </c>
      <c r="G555" s="8" t="s">
        <v>204</v>
      </c>
      <c r="I555" s="10">
        <v>0.7</v>
      </c>
      <c r="J555" s="10">
        <v>0.7</v>
      </c>
      <c r="L555" s="10">
        <v>0</v>
      </c>
      <c r="M555" s="13">
        <v>0</v>
      </c>
      <c r="N555" s="13"/>
      <c r="O555" s="10">
        <v>0.7</v>
      </c>
      <c r="P555" s="10">
        <v>0</v>
      </c>
      <c r="Q555" s="14">
        <v>0</v>
      </c>
      <c r="R555" s="14">
        <v>0</v>
      </c>
      <c r="S555" s="10">
        <v>0</v>
      </c>
      <c r="T555" s="10">
        <v>0</v>
      </c>
      <c r="U555" s="14">
        <v>0</v>
      </c>
      <c r="V555" s="10"/>
      <c r="W555" s="11">
        <v>1</v>
      </c>
      <c r="X555" s="11">
        <v>1</v>
      </c>
      <c r="Y555" s="11">
        <v>0</v>
      </c>
      <c r="Z555" s="11">
        <v>0</v>
      </c>
      <c r="AA555" s="11">
        <f>MasterTable[[#This Row],[Landings
Night]]+MasterTable[[#This Row],[Landings
Day]]</f>
        <v>1</v>
      </c>
      <c r="AB555" s="10">
        <v>0</v>
      </c>
      <c r="AC555" s="10">
        <v>0</v>
      </c>
      <c r="AD555" s="11">
        <v>0</v>
      </c>
      <c r="AE555" s="21">
        <f>SUM(MasterTable[[#This Row],[ILS]:[PAR]])</f>
        <v>0</v>
      </c>
      <c r="AL555" s="11"/>
      <c r="AR555" s="140" t="str">
        <f>_xlfn.XLOOKUP(MasterTable[[#This Row],[Aircraft ID]],Aircraft!A:A,Aircraft!H:H)</f>
        <v>Airplane Single Engine Land</v>
      </c>
      <c r="AS555" s="8" t="b">
        <f>OR((SUM(MasterTable[[#This Row],[ILS]:[PAR]]) = MasterTable[[#This Row],[APPR]]))</f>
        <v>1</v>
      </c>
      <c r="AT555" s="8" t="b">
        <f>NOT(ISBLANK(MasterTable[[#This Row],[Total
Time]]))</f>
        <v>1</v>
      </c>
    </row>
    <row r="556" spans="4:46" ht="28.8" x14ac:dyDescent="0.3">
      <c r="D556" s="22">
        <v>44209</v>
      </c>
      <c r="E556" s="8" t="s">
        <v>60</v>
      </c>
      <c r="F556" s="8" t="s">
        <v>204</v>
      </c>
      <c r="G556" s="8" t="s">
        <v>204</v>
      </c>
      <c r="I556" s="10">
        <v>1.2</v>
      </c>
      <c r="J556" s="10">
        <v>1.2</v>
      </c>
      <c r="L556" s="10">
        <v>0</v>
      </c>
      <c r="M556" s="13">
        <v>0</v>
      </c>
      <c r="N556" s="13"/>
      <c r="O556" s="10">
        <v>1.2</v>
      </c>
      <c r="P556" s="10">
        <v>0</v>
      </c>
      <c r="Q556" s="14">
        <v>0</v>
      </c>
      <c r="R556" s="14">
        <v>0</v>
      </c>
      <c r="S556" s="10">
        <v>0</v>
      </c>
      <c r="T556" s="10">
        <v>0</v>
      </c>
      <c r="U556" s="14">
        <v>0</v>
      </c>
      <c r="V556" s="10"/>
      <c r="W556" s="11">
        <v>2</v>
      </c>
      <c r="X556" s="11">
        <v>2</v>
      </c>
      <c r="Y556" s="11">
        <v>0</v>
      </c>
      <c r="Z556" s="11">
        <v>0</v>
      </c>
      <c r="AA556" s="11">
        <f>MasterTable[[#This Row],[Landings
Night]]+MasterTable[[#This Row],[Landings
Day]]</f>
        <v>2</v>
      </c>
      <c r="AB556" s="10">
        <v>0</v>
      </c>
      <c r="AC556" s="10">
        <v>0</v>
      </c>
      <c r="AD556" s="11">
        <v>0</v>
      </c>
      <c r="AE556" s="21">
        <f>SUM(MasterTable[[#This Row],[ILS]:[PAR]])</f>
        <v>0</v>
      </c>
      <c r="AL556" s="11"/>
      <c r="AR556" s="140" t="str">
        <f>_xlfn.XLOOKUP(MasterTable[[#This Row],[Aircraft ID]],Aircraft!A:A,Aircraft!H:H)</f>
        <v>Airplane Single Engine Land</v>
      </c>
      <c r="AS556" s="8" t="b">
        <f>OR((SUM(MasterTable[[#This Row],[ILS]:[PAR]]) = MasterTable[[#This Row],[APPR]]))</f>
        <v>1</v>
      </c>
      <c r="AT556" s="8" t="b">
        <f>NOT(ISBLANK(MasterTable[[#This Row],[Total
Time]]))</f>
        <v>1</v>
      </c>
    </row>
    <row r="557" spans="4:46" ht="28.8" x14ac:dyDescent="0.3">
      <c r="D557" s="22">
        <v>44208</v>
      </c>
      <c r="E557" s="8" t="s">
        <v>56</v>
      </c>
      <c r="F557" s="8" t="s">
        <v>204</v>
      </c>
      <c r="G557" s="8" t="s">
        <v>204</v>
      </c>
      <c r="I557" s="10">
        <v>1.2</v>
      </c>
      <c r="J557" s="10">
        <v>1.2</v>
      </c>
      <c r="L557" s="10">
        <v>0</v>
      </c>
      <c r="M557" s="13">
        <v>0</v>
      </c>
      <c r="N557" s="13"/>
      <c r="P557" s="10">
        <v>0</v>
      </c>
      <c r="Q557" s="14">
        <v>0</v>
      </c>
      <c r="R557" s="14">
        <v>0</v>
      </c>
      <c r="S557" s="10">
        <v>0</v>
      </c>
      <c r="T557" s="10">
        <v>0</v>
      </c>
      <c r="U557" s="14">
        <v>0</v>
      </c>
      <c r="V557" s="10"/>
      <c r="W557" s="11">
        <v>3</v>
      </c>
      <c r="X557" s="11">
        <v>3</v>
      </c>
      <c r="Y557" s="11">
        <v>0</v>
      </c>
      <c r="Z557" s="11">
        <v>0</v>
      </c>
      <c r="AA557" s="11">
        <f>MasterTable[[#This Row],[Landings
Night]]+MasterTable[[#This Row],[Landings
Day]]</f>
        <v>3</v>
      </c>
      <c r="AB557" s="10">
        <v>0</v>
      </c>
      <c r="AC557" s="10">
        <v>0</v>
      </c>
      <c r="AD557" s="11">
        <v>0</v>
      </c>
      <c r="AE557" s="21">
        <f>SUM(MasterTable[[#This Row],[ILS]:[PAR]])</f>
        <v>0</v>
      </c>
      <c r="AL557" s="11"/>
      <c r="AR557" s="140" t="str">
        <f>_xlfn.XLOOKUP(MasterTable[[#This Row],[Aircraft ID]],Aircraft!A:A,Aircraft!H:H)</f>
        <v>Airplane Single Engine Land</v>
      </c>
      <c r="AS557" s="8" t="b">
        <f>OR((SUM(MasterTable[[#This Row],[ILS]:[PAR]]) = MasterTable[[#This Row],[APPR]]))</f>
        <v>1</v>
      </c>
      <c r="AT557" s="8" t="b">
        <f>NOT(ISBLANK(MasterTable[[#This Row],[Total
Time]]))</f>
        <v>1</v>
      </c>
    </row>
    <row r="558" spans="4:46" ht="28.8" x14ac:dyDescent="0.3">
      <c r="D558" s="22">
        <v>44207</v>
      </c>
      <c r="E558" s="8" t="s">
        <v>56</v>
      </c>
      <c r="F558" s="8" t="s">
        <v>204</v>
      </c>
      <c r="G558" s="8" t="s">
        <v>204</v>
      </c>
      <c r="I558" s="10">
        <v>1</v>
      </c>
      <c r="J558" s="10">
        <v>1</v>
      </c>
      <c r="L558" s="10">
        <v>0</v>
      </c>
      <c r="M558" s="13">
        <v>0</v>
      </c>
      <c r="N558" s="13"/>
      <c r="P558" s="10">
        <v>0</v>
      </c>
      <c r="Q558" s="14">
        <v>0</v>
      </c>
      <c r="R558" s="14">
        <v>0</v>
      </c>
      <c r="S558" s="10">
        <v>0</v>
      </c>
      <c r="T558" s="10">
        <v>0</v>
      </c>
      <c r="U558" s="14">
        <v>0</v>
      </c>
      <c r="V558" s="10"/>
      <c r="W558" s="11">
        <v>1</v>
      </c>
      <c r="X558" s="11">
        <v>1</v>
      </c>
      <c r="Y558" s="11">
        <v>0</v>
      </c>
      <c r="Z558" s="11">
        <v>0</v>
      </c>
      <c r="AA558" s="11">
        <f>MasterTable[[#This Row],[Landings
Night]]+MasterTable[[#This Row],[Landings
Day]]</f>
        <v>1</v>
      </c>
      <c r="AB558" s="10">
        <v>0</v>
      </c>
      <c r="AC558" s="10">
        <v>0</v>
      </c>
      <c r="AD558" s="11">
        <v>0</v>
      </c>
      <c r="AE558" s="21">
        <f>SUM(MasterTable[[#This Row],[ILS]:[PAR]])</f>
        <v>0</v>
      </c>
      <c r="AL558" s="11"/>
      <c r="AR558" s="140" t="str">
        <f>_xlfn.XLOOKUP(MasterTable[[#This Row],[Aircraft ID]],Aircraft!A:A,Aircraft!H:H)</f>
        <v>Airplane Single Engine Land</v>
      </c>
      <c r="AS558" s="8" t="b">
        <f>OR((SUM(MasterTable[[#This Row],[ILS]:[PAR]]) = MasterTable[[#This Row],[APPR]]))</f>
        <v>1</v>
      </c>
      <c r="AT558" s="8" t="b">
        <f>NOT(ISBLANK(MasterTable[[#This Row],[Total
Time]]))</f>
        <v>1</v>
      </c>
    </row>
    <row r="559" spans="4:46" ht="28.8" x14ac:dyDescent="0.3">
      <c r="D559" s="22">
        <v>44207</v>
      </c>
      <c r="E559" s="8" t="s">
        <v>56</v>
      </c>
      <c r="F559" s="8" t="s">
        <v>204</v>
      </c>
      <c r="G559" s="8" t="s">
        <v>204</v>
      </c>
      <c r="I559" s="10">
        <v>1.1000000000000001</v>
      </c>
      <c r="J559" s="10">
        <v>1.1000000000000001</v>
      </c>
      <c r="L559" s="10">
        <v>0</v>
      </c>
      <c r="M559" s="13">
        <v>0</v>
      </c>
      <c r="N559" s="13"/>
      <c r="O559" s="10">
        <v>0</v>
      </c>
      <c r="P559" s="10">
        <v>0</v>
      </c>
      <c r="Q559" s="14">
        <v>0</v>
      </c>
      <c r="R559" s="14">
        <v>0</v>
      </c>
      <c r="S559" s="10">
        <v>0</v>
      </c>
      <c r="T559" s="10">
        <v>0</v>
      </c>
      <c r="U559" s="14">
        <v>0</v>
      </c>
      <c r="V559" s="10"/>
      <c r="W559" s="11">
        <v>4</v>
      </c>
      <c r="X559" s="11">
        <v>4</v>
      </c>
      <c r="Y559" s="11">
        <v>0</v>
      </c>
      <c r="Z559" s="11">
        <v>0</v>
      </c>
      <c r="AA559" s="11">
        <f>MasterTable[[#This Row],[Landings
Night]]+MasterTable[[#This Row],[Landings
Day]]</f>
        <v>4</v>
      </c>
      <c r="AB559" s="10">
        <v>0</v>
      </c>
      <c r="AC559" s="10">
        <v>0</v>
      </c>
      <c r="AD559" s="11">
        <v>0</v>
      </c>
      <c r="AE559" s="21">
        <f>SUM(MasterTable[[#This Row],[ILS]:[PAR]])</f>
        <v>0</v>
      </c>
      <c r="AL559" s="11"/>
      <c r="AR559" s="140" t="str">
        <f>_xlfn.XLOOKUP(MasterTable[[#This Row],[Aircraft ID]],Aircraft!A:A,Aircraft!H:H)</f>
        <v>Airplane Single Engine Land</v>
      </c>
      <c r="AS559" s="8" t="b">
        <f>OR((SUM(MasterTable[[#This Row],[ILS]:[PAR]]) = MasterTable[[#This Row],[APPR]]))</f>
        <v>1</v>
      </c>
      <c r="AT559" s="8" t="b">
        <f>NOT(ISBLANK(MasterTable[[#This Row],[Total
Time]]))</f>
        <v>1</v>
      </c>
    </row>
    <row r="560" spans="4:46" ht="28.8" x14ac:dyDescent="0.3">
      <c r="D560" s="22">
        <v>44205</v>
      </c>
      <c r="E560" s="8" t="s">
        <v>60</v>
      </c>
      <c r="F560" s="8" t="s">
        <v>204</v>
      </c>
      <c r="G560" s="8" t="s">
        <v>204</v>
      </c>
      <c r="I560" s="10">
        <v>1.3</v>
      </c>
      <c r="J560" s="10">
        <v>1.3</v>
      </c>
      <c r="L560" s="10">
        <v>0</v>
      </c>
      <c r="M560" s="13">
        <v>0</v>
      </c>
      <c r="N560" s="13"/>
      <c r="O560" s="10">
        <v>1.3</v>
      </c>
      <c r="P560" s="10">
        <v>0</v>
      </c>
      <c r="Q560" s="14">
        <v>0</v>
      </c>
      <c r="R560" s="14">
        <v>0</v>
      </c>
      <c r="S560" s="10">
        <v>0</v>
      </c>
      <c r="T560" s="10">
        <v>0</v>
      </c>
      <c r="U560" s="14">
        <v>0</v>
      </c>
      <c r="V560" s="10"/>
      <c r="W560" s="11">
        <v>1</v>
      </c>
      <c r="X560" s="11">
        <v>1</v>
      </c>
      <c r="Y560" s="11">
        <v>0</v>
      </c>
      <c r="Z560" s="11">
        <v>0</v>
      </c>
      <c r="AA560" s="11">
        <f>MasterTable[[#This Row],[Landings
Night]]+MasterTable[[#This Row],[Landings
Day]]</f>
        <v>1</v>
      </c>
      <c r="AB560" s="10">
        <v>0</v>
      </c>
      <c r="AC560" s="10">
        <v>0</v>
      </c>
      <c r="AD560" s="11">
        <v>0</v>
      </c>
      <c r="AE560" s="21">
        <f>SUM(MasterTable[[#This Row],[ILS]:[PAR]])</f>
        <v>0</v>
      </c>
      <c r="AL560" s="11"/>
      <c r="AR560" s="140" t="str">
        <f>_xlfn.XLOOKUP(MasterTable[[#This Row],[Aircraft ID]],Aircraft!A:A,Aircraft!H:H)</f>
        <v>Airplane Single Engine Land</v>
      </c>
      <c r="AS560" s="8" t="b">
        <f>OR((SUM(MasterTable[[#This Row],[ILS]:[PAR]]) = MasterTable[[#This Row],[APPR]]))</f>
        <v>1</v>
      </c>
      <c r="AT560" s="8" t="b">
        <f>NOT(ISBLANK(MasterTable[[#This Row],[Total
Time]]))</f>
        <v>1</v>
      </c>
    </row>
    <row r="561" spans="4:46" ht="28.8" x14ac:dyDescent="0.3">
      <c r="D561" s="22">
        <v>44202</v>
      </c>
      <c r="E561" s="8" t="s">
        <v>60</v>
      </c>
      <c r="F561" s="8" t="s">
        <v>204</v>
      </c>
      <c r="G561" s="8" t="s">
        <v>204</v>
      </c>
      <c r="I561" s="10">
        <v>1.1000000000000001</v>
      </c>
      <c r="J561" s="10">
        <v>1.1000000000000001</v>
      </c>
      <c r="L561" s="10">
        <v>0</v>
      </c>
      <c r="M561" s="13">
        <v>0</v>
      </c>
      <c r="N561" s="13"/>
      <c r="O561" s="10">
        <v>1.1000000000000001</v>
      </c>
      <c r="P561" s="10">
        <v>0</v>
      </c>
      <c r="Q561" s="14">
        <v>0</v>
      </c>
      <c r="R561" s="14">
        <v>0</v>
      </c>
      <c r="S561" s="10">
        <v>0</v>
      </c>
      <c r="T561" s="10">
        <v>0</v>
      </c>
      <c r="U561" s="14">
        <v>0</v>
      </c>
      <c r="V561" s="10"/>
      <c r="W561" s="11">
        <v>1</v>
      </c>
      <c r="X561" s="11">
        <v>1</v>
      </c>
      <c r="Y561" s="11">
        <v>0</v>
      </c>
      <c r="Z561" s="11">
        <v>0</v>
      </c>
      <c r="AA561" s="11">
        <f>MasterTable[[#This Row],[Landings
Night]]+MasterTable[[#This Row],[Landings
Day]]</f>
        <v>1</v>
      </c>
      <c r="AB561" s="10">
        <v>0</v>
      </c>
      <c r="AC561" s="10">
        <v>0</v>
      </c>
      <c r="AD561" s="11">
        <v>0</v>
      </c>
      <c r="AE561" s="21">
        <f>SUM(MasterTable[[#This Row],[ILS]:[PAR]])</f>
        <v>0</v>
      </c>
      <c r="AL561" s="11"/>
      <c r="AR561" s="140" t="str">
        <f>_xlfn.XLOOKUP(MasterTable[[#This Row],[Aircraft ID]],Aircraft!A:A,Aircraft!H:H)</f>
        <v>Airplane Single Engine Land</v>
      </c>
      <c r="AS561" s="8" t="b">
        <f>OR((SUM(MasterTable[[#This Row],[ILS]:[PAR]]) = MasterTable[[#This Row],[APPR]]))</f>
        <v>1</v>
      </c>
      <c r="AT561" s="8" t="b">
        <f>NOT(ISBLANK(MasterTable[[#This Row],[Total
Time]]))</f>
        <v>1</v>
      </c>
    </row>
    <row r="562" spans="4:46" ht="28.8" x14ac:dyDescent="0.3">
      <c r="D562" s="22">
        <v>44201</v>
      </c>
      <c r="E562" s="8" t="s">
        <v>75</v>
      </c>
      <c r="F562" s="8" t="s">
        <v>204</v>
      </c>
      <c r="G562" s="8" t="s">
        <v>204</v>
      </c>
      <c r="I562" s="10">
        <v>0.6</v>
      </c>
      <c r="J562" s="10">
        <v>0.6</v>
      </c>
      <c r="M562" s="13">
        <v>0</v>
      </c>
      <c r="N562" s="13"/>
      <c r="O562" s="10">
        <v>0.6</v>
      </c>
      <c r="Q562" s="14">
        <v>0</v>
      </c>
      <c r="R562" s="14">
        <v>0</v>
      </c>
      <c r="U562" s="14">
        <v>0</v>
      </c>
      <c r="V562" s="10"/>
      <c r="W562" s="11">
        <v>1</v>
      </c>
      <c r="X562" s="11">
        <v>1</v>
      </c>
      <c r="AA562" s="11">
        <f>MasterTable[[#This Row],[Landings
Night]]+MasterTable[[#This Row],[Landings
Day]]</f>
        <v>1</v>
      </c>
      <c r="AE562" s="21">
        <f>SUM(MasterTable[[#This Row],[ILS]:[PAR]])</f>
        <v>0</v>
      </c>
      <c r="AL562" s="11"/>
      <c r="AR562" s="140" t="str">
        <f>_xlfn.XLOOKUP(MasterTable[[#This Row],[Aircraft ID]],Aircraft!A:A,Aircraft!H:H)</f>
        <v>Airplane Single Engine Land</v>
      </c>
      <c r="AS562" s="8" t="b">
        <f>OR((SUM(MasterTable[[#This Row],[ILS]:[PAR]]) = MasterTable[[#This Row],[APPR]]))</f>
        <v>1</v>
      </c>
      <c r="AT562" s="8" t="b">
        <f>NOT(ISBLANK(MasterTable[[#This Row],[Total
Time]]))</f>
        <v>1</v>
      </c>
    </row>
    <row r="563" spans="4:46" ht="28.8" x14ac:dyDescent="0.3">
      <c r="D563" s="22">
        <v>44200</v>
      </c>
      <c r="E563" s="8" t="s">
        <v>75</v>
      </c>
      <c r="F563" s="8" t="s">
        <v>204</v>
      </c>
      <c r="G563" s="8" t="s">
        <v>204</v>
      </c>
      <c r="I563" s="10">
        <v>1.6</v>
      </c>
      <c r="J563" s="10">
        <v>1.6</v>
      </c>
      <c r="L563" s="10">
        <v>0</v>
      </c>
      <c r="M563" s="13">
        <v>0</v>
      </c>
      <c r="N563" s="13"/>
      <c r="O563" s="10">
        <v>1.6</v>
      </c>
      <c r="P563" s="10">
        <v>0</v>
      </c>
      <c r="Q563" s="14">
        <v>0</v>
      </c>
      <c r="R563" s="14">
        <v>0</v>
      </c>
      <c r="S563" s="10">
        <v>0</v>
      </c>
      <c r="T563" s="10">
        <v>0</v>
      </c>
      <c r="U563" s="14">
        <v>0</v>
      </c>
      <c r="V563" s="10"/>
      <c r="W563" s="11">
        <v>3</v>
      </c>
      <c r="X563" s="11">
        <v>3</v>
      </c>
      <c r="Y563" s="11">
        <v>0</v>
      </c>
      <c r="Z563" s="11">
        <v>0</v>
      </c>
      <c r="AA563" s="11">
        <f>MasterTable[[#This Row],[Landings
Night]]+MasterTable[[#This Row],[Landings
Day]]</f>
        <v>3</v>
      </c>
      <c r="AB563" s="10">
        <v>0</v>
      </c>
      <c r="AC563" s="10">
        <v>0</v>
      </c>
      <c r="AD563" s="11">
        <v>0</v>
      </c>
      <c r="AE563" s="21">
        <f>SUM(MasterTable[[#This Row],[ILS]:[PAR]])</f>
        <v>0</v>
      </c>
      <c r="AL563" s="11"/>
      <c r="AR563" s="140" t="str">
        <f>_xlfn.XLOOKUP(MasterTable[[#This Row],[Aircraft ID]],Aircraft!A:A,Aircraft!H:H)</f>
        <v>Airplane Single Engine Land</v>
      </c>
      <c r="AS563" s="8" t="b">
        <f>OR((SUM(MasterTable[[#This Row],[ILS]:[PAR]]) = MasterTable[[#This Row],[APPR]]))</f>
        <v>1</v>
      </c>
      <c r="AT563" s="8" t="b">
        <f>NOT(ISBLANK(MasterTable[[#This Row],[Total
Time]]))</f>
        <v>1</v>
      </c>
    </row>
    <row r="564" spans="4:46" ht="28.8" x14ac:dyDescent="0.3">
      <c r="D564" s="22">
        <v>44199</v>
      </c>
      <c r="E564" s="8" t="s">
        <v>75</v>
      </c>
      <c r="F564" s="8" t="s">
        <v>204</v>
      </c>
      <c r="G564" s="8" t="s">
        <v>204</v>
      </c>
      <c r="I564" s="10">
        <v>0.9</v>
      </c>
      <c r="J564" s="10">
        <v>0.9</v>
      </c>
      <c r="L564" s="10">
        <v>0</v>
      </c>
      <c r="M564" s="13">
        <v>0</v>
      </c>
      <c r="N564" s="13"/>
      <c r="O564" s="10">
        <v>0.9</v>
      </c>
      <c r="P564" s="10">
        <v>0</v>
      </c>
      <c r="Q564" s="14">
        <v>0</v>
      </c>
      <c r="R564" s="14">
        <v>0</v>
      </c>
      <c r="S564" s="10">
        <v>0</v>
      </c>
      <c r="T564" s="10">
        <v>0</v>
      </c>
      <c r="U564" s="14">
        <v>0</v>
      </c>
      <c r="V564" s="10"/>
      <c r="W564" s="11">
        <v>5</v>
      </c>
      <c r="X564" s="11">
        <v>5</v>
      </c>
      <c r="Y564" s="11">
        <v>0</v>
      </c>
      <c r="Z564" s="11">
        <v>0</v>
      </c>
      <c r="AA564" s="11">
        <f>MasterTable[[#This Row],[Landings
Night]]+MasterTable[[#This Row],[Landings
Day]]</f>
        <v>5</v>
      </c>
      <c r="AB564" s="10">
        <v>0</v>
      </c>
      <c r="AC564" s="10">
        <v>0</v>
      </c>
      <c r="AD564" s="11">
        <v>0</v>
      </c>
      <c r="AE564" s="21">
        <f>SUM(MasterTable[[#This Row],[ILS]:[PAR]])</f>
        <v>0</v>
      </c>
      <c r="AL564" s="11"/>
      <c r="AR564" s="140" t="str">
        <f>_xlfn.XLOOKUP(MasterTable[[#This Row],[Aircraft ID]],Aircraft!A:A,Aircraft!H:H)</f>
        <v>Airplane Single Engine Land</v>
      </c>
      <c r="AS564" s="8" t="b">
        <f>OR((SUM(MasterTable[[#This Row],[ILS]:[PAR]]) = MasterTable[[#This Row],[APPR]]))</f>
        <v>1</v>
      </c>
      <c r="AT564" s="8" t="b">
        <f>NOT(ISBLANK(MasterTable[[#This Row],[Total
Time]]))</f>
        <v>1</v>
      </c>
    </row>
    <row r="565" spans="4:46" ht="28.8" x14ac:dyDescent="0.3">
      <c r="D565" s="22">
        <v>44191</v>
      </c>
      <c r="E565" s="8" t="s">
        <v>174</v>
      </c>
      <c r="F565" s="8" t="s">
        <v>202</v>
      </c>
      <c r="G565" s="8" t="s">
        <v>202</v>
      </c>
      <c r="I565" s="10">
        <v>1.2</v>
      </c>
      <c r="J565" s="10">
        <v>1.2</v>
      </c>
      <c r="L565" s="10">
        <v>0</v>
      </c>
      <c r="M565" s="13">
        <v>0</v>
      </c>
      <c r="N565" s="13"/>
      <c r="O565" s="10">
        <v>0</v>
      </c>
      <c r="P565" s="10">
        <v>0</v>
      </c>
      <c r="Q565" s="14">
        <v>0</v>
      </c>
      <c r="R565" s="14">
        <v>0</v>
      </c>
      <c r="S565" s="10">
        <v>0</v>
      </c>
      <c r="T565" s="10">
        <v>0</v>
      </c>
      <c r="U565" s="14">
        <v>0</v>
      </c>
      <c r="V565" s="10"/>
      <c r="W565" s="11">
        <v>3</v>
      </c>
      <c r="X565" s="11">
        <v>3</v>
      </c>
      <c r="Y565" s="11">
        <v>0</v>
      </c>
      <c r="Z565" s="11">
        <v>0</v>
      </c>
      <c r="AA565" s="11">
        <f>MasterTable[[#This Row],[Landings
Night]]+MasterTable[[#This Row],[Landings
Day]]</f>
        <v>3</v>
      </c>
      <c r="AB565" s="10">
        <v>0</v>
      </c>
      <c r="AC565" s="10">
        <v>0</v>
      </c>
      <c r="AD565" s="11">
        <v>0</v>
      </c>
      <c r="AE565" s="21">
        <f>SUM(MasterTable[[#This Row],[ILS]:[PAR]])</f>
        <v>0</v>
      </c>
      <c r="AL565" s="11"/>
      <c r="AR565" s="140" t="str">
        <f>_xlfn.XLOOKUP(MasterTable[[#This Row],[Aircraft ID]],Aircraft!A:A,Aircraft!H:H)</f>
        <v>Airplane Single Engine Land</v>
      </c>
      <c r="AS565" s="8" t="b">
        <f>OR((SUM(MasterTable[[#This Row],[ILS]:[PAR]]) = MasterTable[[#This Row],[APPR]]))</f>
        <v>1</v>
      </c>
      <c r="AT565" s="8" t="b">
        <f>NOT(ISBLANK(MasterTable[[#This Row],[Total
Time]]))</f>
        <v>1</v>
      </c>
    </row>
    <row r="566" spans="4:46" ht="28.8" x14ac:dyDescent="0.3">
      <c r="D566" s="22">
        <v>44168</v>
      </c>
      <c r="E566" s="8" t="s">
        <v>75</v>
      </c>
      <c r="F566" s="8" t="s">
        <v>204</v>
      </c>
      <c r="G566" s="8" t="s">
        <v>204</v>
      </c>
      <c r="I566" s="10">
        <v>1.7</v>
      </c>
      <c r="J566" s="10">
        <v>1.7</v>
      </c>
      <c r="L566" s="10">
        <v>0</v>
      </c>
      <c r="M566" s="13">
        <v>0</v>
      </c>
      <c r="N566" s="13"/>
      <c r="O566" s="10">
        <v>1.7</v>
      </c>
      <c r="P566" s="10">
        <v>0</v>
      </c>
      <c r="Q566" s="14">
        <v>0</v>
      </c>
      <c r="R566" s="14">
        <v>0</v>
      </c>
      <c r="S566" s="10">
        <v>0</v>
      </c>
      <c r="T566" s="10">
        <v>0</v>
      </c>
      <c r="U566" s="14">
        <v>0</v>
      </c>
      <c r="V566" s="10"/>
      <c r="W566" s="11">
        <v>6</v>
      </c>
      <c r="X566" s="11">
        <v>6</v>
      </c>
      <c r="Y566" s="11">
        <v>0</v>
      </c>
      <c r="Z566" s="11">
        <v>0</v>
      </c>
      <c r="AA566" s="11">
        <f>MasterTable[[#This Row],[Landings
Night]]+MasterTable[[#This Row],[Landings
Day]]</f>
        <v>6</v>
      </c>
      <c r="AB566" s="10">
        <v>0</v>
      </c>
      <c r="AC566" s="10">
        <v>0</v>
      </c>
      <c r="AD566" s="11">
        <v>0</v>
      </c>
      <c r="AE566" s="21">
        <f>SUM(MasterTable[[#This Row],[ILS]:[PAR]])</f>
        <v>0</v>
      </c>
      <c r="AL566" s="11"/>
      <c r="AR566" s="140" t="str">
        <f>_xlfn.XLOOKUP(MasterTable[[#This Row],[Aircraft ID]],Aircraft!A:A,Aircraft!H:H)</f>
        <v>Airplane Single Engine Land</v>
      </c>
      <c r="AS566" s="8" t="b">
        <f>OR((SUM(MasterTable[[#This Row],[ILS]:[PAR]]) = MasterTable[[#This Row],[APPR]]))</f>
        <v>1</v>
      </c>
      <c r="AT566" s="8" t="b">
        <f>NOT(ISBLANK(MasterTable[[#This Row],[Total
Time]]))</f>
        <v>1</v>
      </c>
    </row>
    <row r="567" spans="4:46" ht="28.8" x14ac:dyDescent="0.3">
      <c r="D567" s="22">
        <v>44166</v>
      </c>
      <c r="E567" s="8" t="s">
        <v>64</v>
      </c>
      <c r="F567" s="8" t="s">
        <v>204</v>
      </c>
      <c r="G567" s="8" t="s">
        <v>204</v>
      </c>
      <c r="I567" s="10">
        <v>1.1000000000000001</v>
      </c>
      <c r="J567" s="10">
        <v>1.1000000000000001</v>
      </c>
      <c r="L567" s="10">
        <v>0</v>
      </c>
      <c r="M567" s="13">
        <v>0</v>
      </c>
      <c r="N567" s="13"/>
      <c r="O567" s="10">
        <v>1.1000000000000001</v>
      </c>
      <c r="P567" s="10">
        <v>0</v>
      </c>
      <c r="Q567" s="14">
        <v>0</v>
      </c>
      <c r="R567" s="14">
        <v>0</v>
      </c>
      <c r="S567" s="10">
        <v>0</v>
      </c>
      <c r="T567" s="10">
        <v>0</v>
      </c>
      <c r="U567" s="14">
        <v>0</v>
      </c>
      <c r="V567" s="10"/>
      <c r="W567" s="11">
        <v>4</v>
      </c>
      <c r="X567" s="11">
        <v>4</v>
      </c>
      <c r="Y567" s="11">
        <v>0</v>
      </c>
      <c r="Z567" s="11">
        <v>0</v>
      </c>
      <c r="AA567" s="11">
        <f>MasterTable[[#This Row],[Landings
Night]]+MasterTable[[#This Row],[Landings
Day]]</f>
        <v>4</v>
      </c>
      <c r="AB567" s="10">
        <v>0</v>
      </c>
      <c r="AC567" s="10">
        <v>0</v>
      </c>
      <c r="AD567" s="11">
        <v>0</v>
      </c>
      <c r="AE567" s="21">
        <f>SUM(MasterTable[[#This Row],[ILS]:[PAR]])</f>
        <v>0</v>
      </c>
      <c r="AL567" s="11"/>
      <c r="AR567" s="140" t="str">
        <f>_xlfn.XLOOKUP(MasterTable[[#This Row],[Aircraft ID]],Aircraft!A:A,Aircraft!H:H)</f>
        <v>Airplane Single Engine Land</v>
      </c>
      <c r="AS567" s="8" t="b">
        <f>OR((SUM(MasterTable[[#This Row],[ILS]:[PAR]]) = MasterTable[[#This Row],[APPR]]))</f>
        <v>1</v>
      </c>
      <c r="AT567" s="8" t="b">
        <f>NOT(ISBLANK(MasterTable[[#This Row],[Total
Time]]))</f>
        <v>1</v>
      </c>
    </row>
    <row r="568" spans="4:46" ht="28.8" x14ac:dyDescent="0.3">
      <c r="D568" s="22">
        <v>44166</v>
      </c>
      <c r="E568" s="8" t="s">
        <v>75</v>
      </c>
      <c r="F568" s="8" t="s">
        <v>204</v>
      </c>
      <c r="G568" s="8" t="s">
        <v>204</v>
      </c>
      <c r="I568" s="10">
        <v>1.6</v>
      </c>
      <c r="J568" s="10">
        <v>1.6</v>
      </c>
      <c r="L568" s="10">
        <v>0</v>
      </c>
      <c r="M568" s="13">
        <v>0</v>
      </c>
      <c r="N568" s="13"/>
      <c r="O568" s="10">
        <v>1.6</v>
      </c>
      <c r="P568" s="10">
        <v>0</v>
      </c>
      <c r="Q568" s="14">
        <v>0</v>
      </c>
      <c r="R568" s="14">
        <v>0</v>
      </c>
      <c r="S568" s="10">
        <v>0</v>
      </c>
      <c r="T568" s="10">
        <v>0</v>
      </c>
      <c r="U568" s="14">
        <v>0</v>
      </c>
      <c r="V568" s="10"/>
      <c r="W568" s="11">
        <v>10</v>
      </c>
      <c r="X568" s="11">
        <v>10</v>
      </c>
      <c r="Y568" s="11">
        <v>0</v>
      </c>
      <c r="Z568" s="11">
        <v>0</v>
      </c>
      <c r="AA568" s="11">
        <f>MasterTable[[#This Row],[Landings
Night]]+MasterTable[[#This Row],[Landings
Day]]</f>
        <v>10</v>
      </c>
      <c r="AB568" s="10">
        <v>0</v>
      </c>
      <c r="AC568" s="10">
        <v>0</v>
      </c>
      <c r="AD568" s="11">
        <v>0</v>
      </c>
      <c r="AE568" s="21">
        <f>SUM(MasterTable[[#This Row],[ILS]:[PAR]])</f>
        <v>0</v>
      </c>
      <c r="AL568" s="11"/>
      <c r="AR568" s="140" t="str">
        <f>_xlfn.XLOOKUP(MasterTable[[#This Row],[Aircraft ID]],Aircraft!A:A,Aircraft!H:H)</f>
        <v>Airplane Single Engine Land</v>
      </c>
      <c r="AS568" s="8" t="b">
        <f>OR((SUM(MasterTable[[#This Row],[ILS]:[PAR]]) = MasterTable[[#This Row],[APPR]]))</f>
        <v>1</v>
      </c>
      <c r="AT568" s="8" t="b">
        <f>NOT(ISBLANK(MasterTable[[#This Row],[Total
Time]]))</f>
        <v>1</v>
      </c>
    </row>
    <row r="569" spans="4:46" ht="28.8" x14ac:dyDescent="0.3">
      <c r="D569" s="22">
        <v>44149</v>
      </c>
      <c r="E569" s="8" t="s">
        <v>31</v>
      </c>
      <c r="F569" s="8" t="s">
        <v>204</v>
      </c>
      <c r="G569" s="8" t="s">
        <v>204</v>
      </c>
      <c r="I569" s="10">
        <v>1.8</v>
      </c>
      <c r="J569" s="10">
        <v>1.8</v>
      </c>
      <c r="L569" s="10">
        <v>0</v>
      </c>
      <c r="M569" s="13">
        <v>0</v>
      </c>
      <c r="N569" s="13"/>
      <c r="O569" s="10">
        <v>0</v>
      </c>
      <c r="P569" s="10">
        <v>0</v>
      </c>
      <c r="Q569" s="14">
        <v>0</v>
      </c>
      <c r="R569" s="14">
        <v>0</v>
      </c>
      <c r="S569" s="10">
        <v>0</v>
      </c>
      <c r="T569" s="10">
        <v>0</v>
      </c>
      <c r="U569" s="14">
        <v>0</v>
      </c>
      <c r="V569" s="10"/>
      <c r="W569" s="11">
        <v>1</v>
      </c>
      <c r="X569" s="11">
        <v>1</v>
      </c>
      <c r="Y569" s="11">
        <v>0</v>
      </c>
      <c r="Z569" s="11">
        <v>0</v>
      </c>
      <c r="AA569" s="11">
        <f>MasterTable[[#This Row],[Landings
Night]]+MasterTable[[#This Row],[Landings
Day]]</f>
        <v>1</v>
      </c>
      <c r="AB569" s="10">
        <v>0</v>
      </c>
      <c r="AC569" s="10">
        <v>0</v>
      </c>
      <c r="AD569" s="11">
        <v>0</v>
      </c>
      <c r="AE569" s="21">
        <f>SUM(MasterTable[[#This Row],[ILS]:[PAR]])</f>
        <v>0</v>
      </c>
      <c r="AL569" s="11"/>
      <c r="AR569" s="140" t="str">
        <f>_xlfn.XLOOKUP(MasterTable[[#This Row],[Aircraft ID]],Aircraft!A:A,Aircraft!H:H)</f>
        <v>Airplane Single Engine Land</v>
      </c>
      <c r="AS569" s="8" t="b">
        <f>OR((SUM(MasterTable[[#This Row],[ILS]:[PAR]]) = MasterTable[[#This Row],[APPR]]))</f>
        <v>1</v>
      </c>
      <c r="AT569" s="8" t="b">
        <f>NOT(ISBLANK(MasterTable[[#This Row],[Total
Time]]))</f>
        <v>1</v>
      </c>
    </row>
    <row r="570" spans="4:46" ht="28.8" x14ac:dyDescent="0.3">
      <c r="D570" s="22">
        <v>44146</v>
      </c>
      <c r="E570" s="8" t="s">
        <v>174</v>
      </c>
      <c r="F570" s="8" t="s">
        <v>204</v>
      </c>
      <c r="G570" s="8" t="s">
        <v>202</v>
      </c>
      <c r="I570" s="10">
        <v>2</v>
      </c>
      <c r="J570" s="10">
        <v>2</v>
      </c>
      <c r="L570" s="10">
        <v>0</v>
      </c>
      <c r="M570" s="13">
        <v>0</v>
      </c>
      <c r="N570" s="13"/>
      <c r="O570" s="10">
        <v>0</v>
      </c>
      <c r="P570" s="10">
        <v>0</v>
      </c>
      <c r="Q570" s="14">
        <v>0</v>
      </c>
      <c r="R570" s="14">
        <v>0</v>
      </c>
      <c r="S570" s="10">
        <v>0</v>
      </c>
      <c r="T570" s="10">
        <v>2</v>
      </c>
      <c r="U570" s="14">
        <v>0</v>
      </c>
      <c r="V570" s="10"/>
      <c r="W570" s="11">
        <v>1</v>
      </c>
      <c r="X570" s="11">
        <v>1</v>
      </c>
      <c r="Y570" s="11">
        <v>0</v>
      </c>
      <c r="Z570" s="11">
        <v>0</v>
      </c>
      <c r="AA570" s="11">
        <f>MasterTable[[#This Row],[Landings
Night]]+MasterTable[[#This Row],[Landings
Day]]</f>
        <v>1</v>
      </c>
      <c r="AB570" s="10">
        <v>0</v>
      </c>
      <c r="AC570" s="10">
        <v>0.8</v>
      </c>
      <c r="AD570" s="11">
        <v>0</v>
      </c>
      <c r="AE570" s="21">
        <f>SUM(MasterTable[[#This Row],[ILS]:[PAR]])</f>
        <v>3</v>
      </c>
      <c r="AF570" s="11">
        <v>2</v>
      </c>
      <c r="AH570" s="11">
        <v>1</v>
      </c>
      <c r="AL570" s="11">
        <v>1</v>
      </c>
      <c r="AR570" s="140" t="str">
        <f>_xlfn.XLOOKUP(MasterTable[[#This Row],[Aircraft ID]],Aircraft!A:A,Aircraft!H:H)</f>
        <v>Airplane Single Engine Land</v>
      </c>
      <c r="AS570" s="8" t="b">
        <f>OR((SUM(MasterTable[[#This Row],[ILS]:[PAR]]) = MasterTable[[#This Row],[APPR]]))</f>
        <v>1</v>
      </c>
      <c r="AT570" s="8" t="b">
        <f>NOT(ISBLANK(MasterTable[[#This Row],[Total
Time]]))</f>
        <v>1</v>
      </c>
    </row>
    <row r="571" spans="4:46" ht="28.8" x14ac:dyDescent="0.3">
      <c r="D571" s="22">
        <v>44141</v>
      </c>
      <c r="E571" s="8" t="s">
        <v>174</v>
      </c>
      <c r="F571" s="8" t="s">
        <v>204</v>
      </c>
      <c r="G571" s="8" t="s">
        <v>204</v>
      </c>
      <c r="I571" s="10">
        <v>1.5</v>
      </c>
      <c r="J571" s="10">
        <v>1.5</v>
      </c>
      <c r="L571" s="10">
        <v>0</v>
      </c>
      <c r="M571" s="13">
        <v>0</v>
      </c>
      <c r="N571" s="13"/>
      <c r="O571" s="10">
        <v>0</v>
      </c>
      <c r="P571" s="10">
        <v>0</v>
      </c>
      <c r="Q571" s="14">
        <v>0</v>
      </c>
      <c r="R571" s="14">
        <v>0</v>
      </c>
      <c r="S571" s="10">
        <v>0</v>
      </c>
      <c r="T571" s="10">
        <v>0</v>
      </c>
      <c r="U571" s="14">
        <v>0</v>
      </c>
      <c r="V571" s="10"/>
      <c r="W571" s="11">
        <v>1</v>
      </c>
      <c r="X571" s="11">
        <v>1</v>
      </c>
      <c r="Y571" s="11">
        <v>0</v>
      </c>
      <c r="Z571" s="11">
        <v>0</v>
      </c>
      <c r="AA571" s="11">
        <f>MasterTable[[#This Row],[Landings
Night]]+MasterTable[[#This Row],[Landings
Day]]</f>
        <v>1</v>
      </c>
      <c r="AB571" s="10">
        <v>0</v>
      </c>
      <c r="AC571" s="10">
        <v>0</v>
      </c>
      <c r="AD571" s="11">
        <v>0</v>
      </c>
      <c r="AE571" s="21">
        <f>SUM(MasterTable[[#This Row],[ILS]:[PAR]])</f>
        <v>0</v>
      </c>
      <c r="AL571" s="11"/>
      <c r="AR571" s="140" t="str">
        <f>_xlfn.XLOOKUP(MasterTable[[#This Row],[Aircraft ID]],Aircraft!A:A,Aircraft!H:H)</f>
        <v>Airplane Single Engine Land</v>
      </c>
      <c r="AS571" s="8" t="b">
        <f>OR((SUM(MasterTable[[#This Row],[ILS]:[PAR]]) = MasterTable[[#This Row],[APPR]]))</f>
        <v>1</v>
      </c>
      <c r="AT571" s="8" t="b">
        <f>NOT(ISBLANK(MasterTable[[#This Row],[Total
Time]]))</f>
        <v>1</v>
      </c>
    </row>
    <row r="572" spans="4:46" ht="28.8" x14ac:dyDescent="0.3">
      <c r="D572" s="22">
        <v>44141</v>
      </c>
      <c r="E572" s="8" t="s">
        <v>75</v>
      </c>
      <c r="F572" s="8" t="s">
        <v>204</v>
      </c>
      <c r="G572" s="8" t="s">
        <v>204</v>
      </c>
      <c r="I572" s="10">
        <v>0.9</v>
      </c>
      <c r="J572" s="10">
        <v>0.9</v>
      </c>
      <c r="L572" s="10">
        <v>0</v>
      </c>
      <c r="M572" s="13">
        <v>0</v>
      </c>
      <c r="N572" s="13"/>
      <c r="O572" s="10">
        <v>0.9</v>
      </c>
      <c r="P572" s="10">
        <v>0</v>
      </c>
      <c r="Q572" s="14">
        <v>0</v>
      </c>
      <c r="R572" s="14">
        <v>0</v>
      </c>
      <c r="S572" s="10">
        <v>0</v>
      </c>
      <c r="T572" s="10">
        <v>0</v>
      </c>
      <c r="U572" s="14">
        <v>0</v>
      </c>
      <c r="V572" s="10"/>
      <c r="W572" s="11">
        <v>3</v>
      </c>
      <c r="X572" s="11">
        <v>3</v>
      </c>
      <c r="Y572" s="11">
        <v>0</v>
      </c>
      <c r="Z572" s="11">
        <v>0</v>
      </c>
      <c r="AA572" s="11">
        <f>MasterTable[[#This Row],[Landings
Night]]+MasterTable[[#This Row],[Landings
Day]]</f>
        <v>3</v>
      </c>
      <c r="AB572" s="10">
        <v>0</v>
      </c>
      <c r="AC572" s="10">
        <v>0</v>
      </c>
      <c r="AD572" s="11">
        <v>0</v>
      </c>
      <c r="AE572" s="21">
        <f>SUM(MasterTable[[#This Row],[ILS]:[PAR]])</f>
        <v>0</v>
      </c>
      <c r="AL572" s="11"/>
      <c r="AR572" s="140" t="str">
        <f>_xlfn.XLOOKUP(MasterTable[[#This Row],[Aircraft ID]],Aircraft!A:A,Aircraft!H:H)</f>
        <v>Airplane Single Engine Land</v>
      </c>
      <c r="AS572" s="8" t="b">
        <f>OR((SUM(MasterTable[[#This Row],[ILS]:[PAR]]) = MasterTable[[#This Row],[APPR]]))</f>
        <v>1</v>
      </c>
      <c r="AT572" s="8" t="b">
        <f>NOT(ISBLANK(MasterTable[[#This Row],[Total
Time]]))</f>
        <v>1</v>
      </c>
    </row>
    <row r="573" spans="4:46" ht="28.8" x14ac:dyDescent="0.3">
      <c r="D573" s="22">
        <v>44136</v>
      </c>
      <c r="E573" s="8" t="s">
        <v>174</v>
      </c>
      <c r="F573" s="8" t="s">
        <v>204</v>
      </c>
      <c r="G573" s="8" t="s">
        <v>202</v>
      </c>
      <c r="I573" s="10">
        <v>2.4</v>
      </c>
      <c r="J573" s="10">
        <v>2.4</v>
      </c>
      <c r="L573" s="10">
        <v>0</v>
      </c>
      <c r="M573" s="13">
        <v>0</v>
      </c>
      <c r="N573" s="13"/>
      <c r="O573" s="10">
        <v>0</v>
      </c>
      <c r="P573" s="10">
        <v>0</v>
      </c>
      <c r="Q573" s="14">
        <v>0</v>
      </c>
      <c r="R573" s="14">
        <v>0</v>
      </c>
      <c r="S573" s="10">
        <v>0</v>
      </c>
      <c r="T573" s="10">
        <v>2.4</v>
      </c>
      <c r="U573" s="14">
        <v>0</v>
      </c>
      <c r="V573" s="10"/>
      <c r="W573" s="11">
        <v>2</v>
      </c>
      <c r="X573" s="11">
        <v>2</v>
      </c>
      <c r="Y573" s="11">
        <v>0</v>
      </c>
      <c r="Z573" s="11">
        <v>0</v>
      </c>
      <c r="AA573" s="11">
        <f>MasterTable[[#This Row],[Landings
Night]]+MasterTable[[#This Row],[Landings
Day]]</f>
        <v>2</v>
      </c>
      <c r="AB573" s="10">
        <v>0</v>
      </c>
      <c r="AC573" s="10">
        <v>0</v>
      </c>
      <c r="AD573" s="11">
        <v>0</v>
      </c>
      <c r="AE573" s="21">
        <f>SUM(MasterTable[[#This Row],[ILS]:[PAR]])</f>
        <v>0</v>
      </c>
      <c r="AL573" s="11"/>
      <c r="AR573" s="140" t="str">
        <f>_xlfn.XLOOKUP(MasterTable[[#This Row],[Aircraft ID]],Aircraft!A:A,Aircraft!H:H)</f>
        <v>Airplane Single Engine Land</v>
      </c>
      <c r="AS573" s="8" t="b">
        <f>OR((SUM(MasterTable[[#This Row],[ILS]:[PAR]]) = MasterTable[[#This Row],[APPR]]))</f>
        <v>1</v>
      </c>
      <c r="AT573" s="8" t="b">
        <f>NOT(ISBLANK(MasterTable[[#This Row],[Total
Time]]))</f>
        <v>1</v>
      </c>
    </row>
    <row r="574" spans="4:46" ht="28.8" x14ac:dyDescent="0.3">
      <c r="D574" s="22">
        <v>44128</v>
      </c>
      <c r="E574" s="8" t="s">
        <v>75</v>
      </c>
      <c r="F574" s="8" t="s">
        <v>204</v>
      </c>
      <c r="G574" s="8" t="s">
        <v>204</v>
      </c>
      <c r="I574" s="10">
        <v>1.2</v>
      </c>
      <c r="J574" s="10">
        <v>1.2</v>
      </c>
      <c r="L574" s="10">
        <v>0</v>
      </c>
      <c r="M574" s="13">
        <v>0</v>
      </c>
      <c r="N574" s="13"/>
      <c r="O574" s="10">
        <v>1.2</v>
      </c>
      <c r="P574" s="10">
        <v>0</v>
      </c>
      <c r="Q574" s="14">
        <v>0</v>
      </c>
      <c r="R574" s="14">
        <v>0</v>
      </c>
      <c r="S574" s="10">
        <v>0</v>
      </c>
      <c r="T574" s="10">
        <v>0</v>
      </c>
      <c r="U574" s="14">
        <v>0</v>
      </c>
      <c r="V574" s="10"/>
      <c r="W574" s="11">
        <v>4</v>
      </c>
      <c r="X574" s="11">
        <v>4</v>
      </c>
      <c r="Y574" s="11">
        <v>0</v>
      </c>
      <c r="Z574" s="11">
        <v>0</v>
      </c>
      <c r="AA574" s="11">
        <f>MasterTable[[#This Row],[Landings
Night]]+MasterTable[[#This Row],[Landings
Day]]</f>
        <v>4</v>
      </c>
      <c r="AB574" s="10">
        <v>0</v>
      </c>
      <c r="AC574" s="10">
        <v>0</v>
      </c>
      <c r="AD574" s="11">
        <v>0</v>
      </c>
      <c r="AE574" s="21">
        <f>SUM(MasterTable[[#This Row],[ILS]:[PAR]])</f>
        <v>0</v>
      </c>
      <c r="AL574" s="11"/>
      <c r="AR574" s="140" t="str">
        <f>_xlfn.XLOOKUP(MasterTable[[#This Row],[Aircraft ID]],Aircraft!A:A,Aircraft!H:H)</f>
        <v>Airplane Single Engine Land</v>
      </c>
      <c r="AS574" s="8" t="b">
        <f>OR((SUM(MasterTable[[#This Row],[ILS]:[PAR]]) = MasterTable[[#This Row],[APPR]]))</f>
        <v>1</v>
      </c>
      <c r="AT574" s="8" t="b">
        <f>NOT(ISBLANK(MasterTable[[#This Row],[Total
Time]]))</f>
        <v>1</v>
      </c>
    </row>
    <row r="575" spans="4:46" ht="28.8" x14ac:dyDescent="0.3">
      <c r="D575" s="22">
        <v>44114</v>
      </c>
      <c r="E575" s="8" t="s">
        <v>174</v>
      </c>
      <c r="F575" s="8" t="s">
        <v>204</v>
      </c>
      <c r="G575" s="8" t="s">
        <v>216</v>
      </c>
      <c r="H575" s="8" t="s">
        <v>266</v>
      </c>
      <c r="I575" s="10">
        <v>8.1999999999999993</v>
      </c>
      <c r="J575" s="10">
        <v>8.1999999999999993</v>
      </c>
      <c r="L575" s="10">
        <v>0</v>
      </c>
      <c r="M575" s="13">
        <v>0</v>
      </c>
      <c r="N575" s="13"/>
      <c r="O575" s="10">
        <v>0</v>
      </c>
      <c r="P575" s="10">
        <v>0</v>
      </c>
      <c r="Q575" s="14">
        <v>0</v>
      </c>
      <c r="R575" s="14">
        <v>0</v>
      </c>
      <c r="S575" s="10">
        <v>0</v>
      </c>
      <c r="T575" s="10">
        <v>7</v>
      </c>
      <c r="U575" s="14">
        <v>0</v>
      </c>
      <c r="V575" s="10">
        <v>4.2</v>
      </c>
      <c r="W575" s="11">
        <v>10</v>
      </c>
      <c r="X575" s="11">
        <v>10</v>
      </c>
      <c r="Y575" s="11">
        <v>0</v>
      </c>
      <c r="Z575" s="11">
        <v>0</v>
      </c>
      <c r="AA575" s="11">
        <f>MasterTable[[#This Row],[Landings
Night]]+MasterTable[[#This Row],[Landings
Day]]</f>
        <v>10</v>
      </c>
      <c r="AB575" s="10">
        <v>0</v>
      </c>
      <c r="AC575" s="10">
        <v>0</v>
      </c>
      <c r="AD575" s="11">
        <v>0</v>
      </c>
      <c r="AE575" s="21">
        <f>SUM(MasterTable[[#This Row],[ILS]:[PAR]])</f>
        <v>0</v>
      </c>
      <c r="AL575" s="11"/>
      <c r="AR575" s="140" t="str">
        <f>_xlfn.XLOOKUP(MasterTable[[#This Row],[Aircraft ID]],Aircraft!A:A,Aircraft!H:H)</f>
        <v>Airplane Single Engine Land</v>
      </c>
      <c r="AS575" s="8" t="b">
        <f>OR((SUM(MasterTable[[#This Row],[ILS]:[PAR]]) = MasterTable[[#This Row],[APPR]]))</f>
        <v>1</v>
      </c>
      <c r="AT575" s="8" t="b">
        <f>NOT(ISBLANK(MasterTable[[#This Row],[Total
Time]]))</f>
        <v>1</v>
      </c>
    </row>
    <row r="576" spans="4:46" ht="28.8" x14ac:dyDescent="0.3">
      <c r="D576" s="22">
        <v>44112</v>
      </c>
      <c r="E576" s="8" t="s">
        <v>174</v>
      </c>
      <c r="F576" s="8" t="s">
        <v>204</v>
      </c>
      <c r="G576" s="8" t="s">
        <v>204</v>
      </c>
      <c r="I576" s="10">
        <v>1.5</v>
      </c>
      <c r="J576" s="10">
        <v>1.5</v>
      </c>
      <c r="L576" s="10">
        <v>0</v>
      </c>
      <c r="M576" s="13">
        <v>0</v>
      </c>
      <c r="N576" s="13"/>
      <c r="O576" s="10">
        <v>0</v>
      </c>
      <c r="P576" s="10">
        <v>0</v>
      </c>
      <c r="Q576" s="14">
        <v>0</v>
      </c>
      <c r="R576" s="14">
        <v>0</v>
      </c>
      <c r="S576" s="10">
        <v>0</v>
      </c>
      <c r="T576" s="10">
        <v>0</v>
      </c>
      <c r="U576" s="14">
        <v>0</v>
      </c>
      <c r="V576" s="10"/>
      <c r="W576" s="11">
        <v>1</v>
      </c>
      <c r="X576" s="11">
        <v>1</v>
      </c>
      <c r="Y576" s="11">
        <v>0</v>
      </c>
      <c r="Z576" s="11">
        <v>0</v>
      </c>
      <c r="AA576" s="11">
        <f>MasterTable[[#This Row],[Landings
Night]]+MasterTable[[#This Row],[Landings
Day]]</f>
        <v>1</v>
      </c>
      <c r="AB576" s="10">
        <v>0.2</v>
      </c>
      <c r="AC576" s="10">
        <v>1.1000000000000001</v>
      </c>
      <c r="AD576" s="11">
        <v>1</v>
      </c>
      <c r="AE576" s="21">
        <f>SUM(MasterTable[[#This Row],[ILS]:[PAR]])</f>
        <v>3</v>
      </c>
      <c r="AF576" s="11">
        <v>2</v>
      </c>
      <c r="AH576" s="11">
        <v>1</v>
      </c>
      <c r="AL576" s="11"/>
      <c r="AR576" s="140" t="str">
        <f>_xlfn.XLOOKUP(MasterTable[[#This Row],[Aircraft ID]],Aircraft!A:A,Aircraft!H:H)</f>
        <v>Airplane Single Engine Land</v>
      </c>
      <c r="AS576" s="8" t="b">
        <f>OR((SUM(MasterTable[[#This Row],[ILS]:[PAR]]) = MasterTable[[#This Row],[APPR]]))</f>
        <v>1</v>
      </c>
      <c r="AT576" s="8" t="b">
        <f>NOT(ISBLANK(MasterTable[[#This Row],[Total
Time]]))</f>
        <v>1</v>
      </c>
    </row>
    <row r="577" spans="4:46" ht="28.8" x14ac:dyDescent="0.3">
      <c r="D577" s="22">
        <v>44108</v>
      </c>
      <c r="E577" s="8" t="s">
        <v>60</v>
      </c>
      <c r="F577" s="8" t="s">
        <v>204</v>
      </c>
      <c r="G577" s="8" t="s">
        <v>204</v>
      </c>
      <c r="I577" s="10">
        <v>1.2</v>
      </c>
      <c r="J577" s="10">
        <v>1.2</v>
      </c>
      <c r="L577" s="10">
        <v>0</v>
      </c>
      <c r="M577" s="13">
        <v>0</v>
      </c>
      <c r="N577" s="13"/>
      <c r="O577" s="10">
        <v>1.2</v>
      </c>
      <c r="P577" s="10">
        <v>0</v>
      </c>
      <c r="Q577" s="14">
        <v>0</v>
      </c>
      <c r="R577" s="14">
        <v>0</v>
      </c>
      <c r="S577" s="10">
        <v>0</v>
      </c>
      <c r="T577" s="10">
        <v>0</v>
      </c>
      <c r="U577" s="14">
        <v>0</v>
      </c>
      <c r="V577" s="10"/>
      <c r="W577" s="11">
        <v>7</v>
      </c>
      <c r="X577" s="11">
        <v>7</v>
      </c>
      <c r="Y577" s="11">
        <v>0</v>
      </c>
      <c r="Z577" s="11">
        <v>0</v>
      </c>
      <c r="AA577" s="11">
        <f>MasterTable[[#This Row],[Landings
Night]]+MasterTable[[#This Row],[Landings
Day]]</f>
        <v>7</v>
      </c>
      <c r="AB577" s="10">
        <v>0</v>
      </c>
      <c r="AC577" s="10">
        <v>0</v>
      </c>
      <c r="AD577" s="11">
        <v>0</v>
      </c>
      <c r="AE577" s="21">
        <f>SUM(MasterTable[[#This Row],[ILS]:[PAR]])</f>
        <v>0</v>
      </c>
      <c r="AL577" s="11"/>
      <c r="AR577" s="140" t="str">
        <f>_xlfn.XLOOKUP(MasterTable[[#This Row],[Aircraft ID]],Aircraft!A:A,Aircraft!H:H)</f>
        <v>Airplane Single Engine Land</v>
      </c>
      <c r="AS577" s="8" t="b">
        <f>OR((SUM(MasterTable[[#This Row],[ILS]:[PAR]]) = MasterTable[[#This Row],[APPR]]))</f>
        <v>1</v>
      </c>
      <c r="AT577" s="8" t="b">
        <f>NOT(ISBLANK(MasterTable[[#This Row],[Total
Time]]))</f>
        <v>1</v>
      </c>
    </row>
    <row r="578" spans="4:46" ht="28.8" x14ac:dyDescent="0.3">
      <c r="D578" s="22">
        <v>44107</v>
      </c>
      <c r="E578" s="8" t="s">
        <v>174</v>
      </c>
      <c r="F578" s="8" t="s">
        <v>202</v>
      </c>
      <c r="G578" s="8" t="s">
        <v>204</v>
      </c>
      <c r="I578" s="10">
        <v>1.2</v>
      </c>
      <c r="J578" s="10">
        <v>1.2</v>
      </c>
      <c r="L578" s="10">
        <v>0</v>
      </c>
      <c r="M578" s="13">
        <v>0</v>
      </c>
      <c r="N578" s="13"/>
      <c r="O578" s="10">
        <v>0</v>
      </c>
      <c r="P578" s="10">
        <v>0</v>
      </c>
      <c r="Q578" s="14">
        <v>0</v>
      </c>
      <c r="R578" s="14">
        <v>0</v>
      </c>
      <c r="S578" s="10">
        <v>0</v>
      </c>
      <c r="T578" s="10">
        <v>1.2</v>
      </c>
      <c r="U578" s="14">
        <v>0</v>
      </c>
      <c r="V578" s="10"/>
      <c r="W578" s="11">
        <v>1</v>
      </c>
      <c r="X578" s="11">
        <v>1</v>
      </c>
      <c r="Y578" s="11">
        <v>0</v>
      </c>
      <c r="Z578" s="11">
        <v>0</v>
      </c>
      <c r="AA578" s="11">
        <f>MasterTable[[#This Row],[Landings
Night]]+MasterTable[[#This Row],[Landings
Day]]</f>
        <v>1</v>
      </c>
      <c r="AB578" s="10">
        <v>0</v>
      </c>
      <c r="AC578" s="10">
        <v>0</v>
      </c>
      <c r="AD578" s="11">
        <v>0</v>
      </c>
      <c r="AE578" s="21">
        <f>SUM(MasterTable[[#This Row],[ILS]:[PAR]])</f>
        <v>0</v>
      </c>
      <c r="AL578" s="11"/>
      <c r="AR578" s="140" t="str">
        <f>_xlfn.XLOOKUP(MasterTable[[#This Row],[Aircraft ID]],Aircraft!A:A,Aircraft!H:H)</f>
        <v>Airplane Single Engine Land</v>
      </c>
      <c r="AS578" s="8" t="b">
        <f>OR((SUM(MasterTable[[#This Row],[ILS]:[PAR]]) = MasterTable[[#This Row],[APPR]]))</f>
        <v>1</v>
      </c>
      <c r="AT578" s="8" t="b">
        <f>NOT(ISBLANK(MasterTable[[#This Row],[Total
Time]]))</f>
        <v>1</v>
      </c>
    </row>
    <row r="579" spans="4:46" ht="28.8" x14ac:dyDescent="0.3">
      <c r="D579" s="22">
        <v>44105</v>
      </c>
      <c r="E579" s="8" t="s">
        <v>75</v>
      </c>
      <c r="F579" s="8" t="s">
        <v>204</v>
      </c>
      <c r="G579" s="8" t="s">
        <v>204</v>
      </c>
      <c r="I579" s="10">
        <v>0.6</v>
      </c>
      <c r="J579" s="10">
        <v>0.6</v>
      </c>
      <c r="L579" s="10">
        <v>0</v>
      </c>
      <c r="M579" s="13">
        <v>0</v>
      </c>
      <c r="N579" s="13"/>
      <c r="O579" s="10">
        <v>0.6</v>
      </c>
      <c r="P579" s="10">
        <v>0</v>
      </c>
      <c r="Q579" s="14">
        <v>0</v>
      </c>
      <c r="R579" s="14">
        <v>0</v>
      </c>
      <c r="S579" s="10">
        <v>0</v>
      </c>
      <c r="T579" s="10">
        <v>0</v>
      </c>
      <c r="U579" s="14">
        <v>0</v>
      </c>
      <c r="V579" s="10"/>
      <c r="W579" s="11">
        <v>3</v>
      </c>
      <c r="X579" s="11">
        <v>3</v>
      </c>
      <c r="Y579" s="11">
        <v>0</v>
      </c>
      <c r="Z579" s="11">
        <v>0</v>
      </c>
      <c r="AA579" s="11">
        <f>MasterTable[[#This Row],[Landings
Night]]+MasterTable[[#This Row],[Landings
Day]]</f>
        <v>3</v>
      </c>
      <c r="AB579" s="10">
        <v>0</v>
      </c>
      <c r="AC579" s="10">
        <v>0</v>
      </c>
      <c r="AD579" s="11">
        <v>0</v>
      </c>
      <c r="AE579" s="21">
        <f>SUM(MasterTable[[#This Row],[ILS]:[PAR]])</f>
        <v>0</v>
      </c>
      <c r="AL579" s="11"/>
      <c r="AR579" s="140" t="str">
        <f>_xlfn.XLOOKUP(MasterTable[[#This Row],[Aircraft ID]],Aircraft!A:A,Aircraft!H:H)</f>
        <v>Airplane Single Engine Land</v>
      </c>
      <c r="AS579" s="8" t="b">
        <f>OR((SUM(MasterTable[[#This Row],[ILS]:[PAR]]) = MasterTable[[#This Row],[APPR]]))</f>
        <v>1</v>
      </c>
      <c r="AT579" s="8" t="b">
        <f>NOT(ISBLANK(MasterTable[[#This Row],[Total
Time]]))</f>
        <v>1</v>
      </c>
    </row>
    <row r="580" spans="4:46" ht="28.8" x14ac:dyDescent="0.3">
      <c r="D580" s="22">
        <v>44101</v>
      </c>
      <c r="E580" s="8" t="s">
        <v>75</v>
      </c>
      <c r="F580" s="8" t="s">
        <v>204</v>
      </c>
      <c r="G580" s="8" t="s">
        <v>204</v>
      </c>
      <c r="I580" s="10">
        <v>1</v>
      </c>
      <c r="J580" s="10">
        <v>1</v>
      </c>
      <c r="L580" s="10">
        <v>0</v>
      </c>
      <c r="M580" s="13">
        <v>0</v>
      </c>
      <c r="N580" s="13"/>
      <c r="O580" s="10">
        <v>1</v>
      </c>
      <c r="P580" s="10">
        <v>0</v>
      </c>
      <c r="Q580" s="14">
        <v>0</v>
      </c>
      <c r="R580" s="14">
        <v>0</v>
      </c>
      <c r="S580" s="10">
        <v>0</v>
      </c>
      <c r="T580" s="10">
        <v>0</v>
      </c>
      <c r="U580" s="14">
        <v>0</v>
      </c>
      <c r="V580" s="10"/>
      <c r="W580" s="11">
        <v>3</v>
      </c>
      <c r="X580" s="11">
        <v>3</v>
      </c>
      <c r="Y580" s="11">
        <v>0</v>
      </c>
      <c r="Z580" s="11">
        <v>0</v>
      </c>
      <c r="AA580" s="11">
        <f>MasterTable[[#This Row],[Landings
Night]]+MasterTable[[#This Row],[Landings
Day]]</f>
        <v>3</v>
      </c>
      <c r="AB580" s="10">
        <v>0</v>
      </c>
      <c r="AC580" s="10">
        <v>0</v>
      </c>
      <c r="AD580" s="11">
        <v>0</v>
      </c>
      <c r="AE580" s="21">
        <f>SUM(MasterTable[[#This Row],[ILS]:[PAR]])</f>
        <v>0</v>
      </c>
      <c r="AL580" s="11"/>
      <c r="AR580" s="140" t="str">
        <f>_xlfn.XLOOKUP(MasterTable[[#This Row],[Aircraft ID]],Aircraft!A:A,Aircraft!H:H)</f>
        <v>Airplane Single Engine Land</v>
      </c>
      <c r="AS580" s="8" t="b">
        <f>OR((SUM(MasterTable[[#This Row],[ILS]:[PAR]]) = MasterTable[[#This Row],[APPR]]))</f>
        <v>1</v>
      </c>
      <c r="AT580" s="8" t="b">
        <f>NOT(ISBLANK(MasterTable[[#This Row],[Total
Time]]))</f>
        <v>1</v>
      </c>
    </row>
    <row r="581" spans="4:46" ht="28.8" x14ac:dyDescent="0.3">
      <c r="D581" s="22">
        <v>44100</v>
      </c>
      <c r="E581" s="8" t="s">
        <v>75</v>
      </c>
      <c r="F581" s="8" t="s">
        <v>204</v>
      </c>
      <c r="G581" s="8" t="s">
        <v>256</v>
      </c>
      <c r="I581" s="10">
        <v>1.2</v>
      </c>
      <c r="J581" s="10">
        <v>1.2</v>
      </c>
      <c r="L581" s="10">
        <v>0</v>
      </c>
      <c r="M581" s="13">
        <v>0</v>
      </c>
      <c r="N581" s="13"/>
      <c r="O581" s="10">
        <v>1.2</v>
      </c>
      <c r="P581" s="10">
        <v>0</v>
      </c>
      <c r="Q581" s="14">
        <v>0</v>
      </c>
      <c r="R581" s="14">
        <v>0</v>
      </c>
      <c r="S581" s="10">
        <v>0</v>
      </c>
      <c r="T581" s="10">
        <v>0</v>
      </c>
      <c r="U581" s="14">
        <v>0</v>
      </c>
      <c r="V581" s="10"/>
      <c r="W581" s="11">
        <v>3</v>
      </c>
      <c r="X581" s="11">
        <v>3</v>
      </c>
      <c r="Y581" s="11">
        <v>0</v>
      </c>
      <c r="Z581" s="11">
        <v>0</v>
      </c>
      <c r="AA581" s="11">
        <f>MasterTable[[#This Row],[Landings
Night]]+MasterTable[[#This Row],[Landings
Day]]</f>
        <v>3</v>
      </c>
      <c r="AB581" s="10">
        <v>0</v>
      </c>
      <c r="AC581" s="10">
        <v>0</v>
      </c>
      <c r="AD581" s="11">
        <v>0</v>
      </c>
      <c r="AE581" s="21">
        <f>SUM(MasterTable[[#This Row],[ILS]:[PAR]])</f>
        <v>0</v>
      </c>
      <c r="AL581" s="11"/>
      <c r="AR581" s="140" t="str">
        <f>_xlfn.XLOOKUP(MasterTable[[#This Row],[Aircraft ID]],Aircraft!A:A,Aircraft!H:H)</f>
        <v>Airplane Single Engine Land</v>
      </c>
      <c r="AS581" s="8" t="b">
        <f>OR((SUM(MasterTable[[#This Row],[ILS]:[PAR]]) = MasterTable[[#This Row],[APPR]]))</f>
        <v>1</v>
      </c>
      <c r="AT581" s="8" t="b">
        <f>NOT(ISBLANK(MasterTable[[#This Row],[Total
Time]]))</f>
        <v>1</v>
      </c>
    </row>
    <row r="582" spans="4:46" ht="28.8" x14ac:dyDescent="0.3">
      <c r="D582" s="22">
        <v>44094</v>
      </c>
      <c r="E582" s="8" t="s">
        <v>56</v>
      </c>
      <c r="F582" s="8" t="s">
        <v>204</v>
      </c>
      <c r="G582" s="8" t="s">
        <v>204</v>
      </c>
      <c r="I582" s="10">
        <v>1.2</v>
      </c>
      <c r="J582" s="10">
        <v>1.2</v>
      </c>
      <c r="L582" s="10">
        <v>0</v>
      </c>
      <c r="M582" s="13">
        <v>0</v>
      </c>
      <c r="N582" s="13"/>
      <c r="P582" s="10">
        <v>0</v>
      </c>
      <c r="Q582" s="14">
        <v>0</v>
      </c>
      <c r="R582" s="14">
        <v>0</v>
      </c>
      <c r="S582" s="10">
        <v>0</v>
      </c>
      <c r="T582" s="10">
        <v>0</v>
      </c>
      <c r="U582" s="14">
        <v>0</v>
      </c>
      <c r="V582" s="10"/>
      <c r="W582" s="11">
        <v>4</v>
      </c>
      <c r="X582" s="11">
        <v>4</v>
      </c>
      <c r="Y582" s="11">
        <v>0</v>
      </c>
      <c r="Z582" s="11">
        <v>0</v>
      </c>
      <c r="AA582" s="11">
        <f>MasterTable[[#This Row],[Landings
Night]]+MasterTable[[#This Row],[Landings
Day]]</f>
        <v>4</v>
      </c>
      <c r="AB582" s="10">
        <v>0</v>
      </c>
      <c r="AC582" s="10">
        <v>0</v>
      </c>
      <c r="AD582" s="11">
        <v>0</v>
      </c>
      <c r="AE582" s="21">
        <f>SUM(MasterTable[[#This Row],[ILS]:[PAR]])</f>
        <v>0</v>
      </c>
      <c r="AL582" s="11"/>
      <c r="AR582" s="140" t="str">
        <f>_xlfn.XLOOKUP(MasterTable[[#This Row],[Aircraft ID]],Aircraft!A:A,Aircraft!H:H)</f>
        <v>Airplane Single Engine Land</v>
      </c>
      <c r="AS582" s="8" t="b">
        <f>OR((SUM(MasterTable[[#This Row],[ILS]:[PAR]]) = MasterTable[[#This Row],[APPR]]))</f>
        <v>1</v>
      </c>
      <c r="AT582" s="8" t="b">
        <f>NOT(ISBLANK(MasterTable[[#This Row],[Total
Time]]))</f>
        <v>1</v>
      </c>
    </row>
    <row r="583" spans="4:46" ht="28.8" x14ac:dyDescent="0.3">
      <c r="D583" s="22">
        <v>44094</v>
      </c>
      <c r="E583" s="8" t="s">
        <v>60</v>
      </c>
      <c r="F583" s="8" t="s">
        <v>204</v>
      </c>
      <c r="G583" s="8" t="s">
        <v>204</v>
      </c>
      <c r="I583" s="10">
        <v>1</v>
      </c>
      <c r="J583" s="10">
        <v>1</v>
      </c>
      <c r="L583" s="10">
        <v>0</v>
      </c>
      <c r="M583" s="13">
        <v>0</v>
      </c>
      <c r="N583" s="13"/>
      <c r="O583" s="10">
        <v>1</v>
      </c>
      <c r="P583" s="10">
        <v>0</v>
      </c>
      <c r="Q583" s="14">
        <v>0</v>
      </c>
      <c r="R583" s="14">
        <v>0</v>
      </c>
      <c r="S583" s="10">
        <v>0</v>
      </c>
      <c r="T583" s="10">
        <v>0</v>
      </c>
      <c r="U583" s="14">
        <v>0</v>
      </c>
      <c r="V583" s="10"/>
      <c r="W583" s="11">
        <v>4</v>
      </c>
      <c r="X583" s="11">
        <v>4</v>
      </c>
      <c r="Y583" s="11">
        <v>0</v>
      </c>
      <c r="Z583" s="11">
        <v>0</v>
      </c>
      <c r="AA583" s="11">
        <f>MasterTable[[#This Row],[Landings
Night]]+MasterTable[[#This Row],[Landings
Day]]</f>
        <v>4</v>
      </c>
      <c r="AB583" s="10">
        <v>0</v>
      </c>
      <c r="AC583" s="10">
        <v>0</v>
      </c>
      <c r="AD583" s="11">
        <v>0</v>
      </c>
      <c r="AE583" s="21">
        <f>SUM(MasterTable[[#This Row],[ILS]:[PAR]])</f>
        <v>0</v>
      </c>
      <c r="AL583" s="11"/>
      <c r="AR583" s="140" t="str">
        <f>_xlfn.XLOOKUP(MasterTable[[#This Row],[Aircraft ID]],Aircraft!A:A,Aircraft!H:H)</f>
        <v>Airplane Single Engine Land</v>
      </c>
      <c r="AS583" s="8" t="b">
        <f>OR((SUM(MasterTable[[#This Row],[ILS]:[PAR]]) = MasterTable[[#This Row],[APPR]]))</f>
        <v>1</v>
      </c>
      <c r="AT583" s="8" t="b">
        <f>NOT(ISBLANK(MasterTable[[#This Row],[Total
Time]]))</f>
        <v>1</v>
      </c>
    </row>
    <row r="584" spans="4:46" ht="28.8" x14ac:dyDescent="0.3">
      <c r="D584" s="22">
        <v>44093</v>
      </c>
      <c r="E584" s="8" t="s">
        <v>60</v>
      </c>
      <c r="F584" s="8" t="s">
        <v>204</v>
      </c>
      <c r="G584" s="8" t="s">
        <v>204</v>
      </c>
      <c r="I584" s="10">
        <v>1.3</v>
      </c>
      <c r="J584" s="10">
        <v>1.3</v>
      </c>
      <c r="L584" s="10">
        <v>0</v>
      </c>
      <c r="M584" s="13">
        <v>0</v>
      </c>
      <c r="N584" s="13"/>
      <c r="O584" s="10">
        <v>1.3</v>
      </c>
      <c r="P584" s="10">
        <v>0</v>
      </c>
      <c r="Q584" s="14">
        <v>0</v>
      </c>
      <c r="R584" s="14">
        <v>0</v>
      </c>
      <c r="S584" s="10">
        <v>0</v>
      </c>
      <c r="T584" s="10">
        <v>0</v>
      </c>
      <c r="U584" s="14">
        <v>0</v>
      </c>
      <c r="V584" s="10"/>
      <c r="W584" s="11">
        <v>1</v>
      </c>
      <c r="X584" s="11">
        <v>1</v>
      </c>
      <c r="Y584" s="11">
        <v>0</v>
      </c>
      <c r="Z584" s="11">
        <v>0</v>
      </c>
      <c r="AA584" s="11">
        <f>MasterTable[[#This Row],[Landings
Night]]+MasterTable[[#This Row],[Landings
Day]]</f>
        <v>1</v>
      </c>
      <c r="AB584" s="10">
        <v>0</v>
      </c>
      <c r="AC584" s="10">
        <v>0</v>
      </c>
      <c r="AD584" s="11">
        <v>0</v>
      </c>
      <c r="AE584" s="21">
        <f>SUM(MasterTable[[#This Row],[ILS]:[PAR]])</f>
        <v>0</v>
      </c>
      <c r="AL584" s="11"/>
      <c r="AR584" s="140" t="str">
        <f>_xlfn.XLOOKUP(MasterTable[[#This Row],[Aircraft ID]],Aircraft!A:A,Aircraft!H:H)</f>
        <v>Airplane Single Engine Land</v>
      </c>
      <c r="AS584" s="8" t="b">
        <f>OR((SUM(MasterTable[[#This Row],[ILS]:[PAR]]) = MasterTable[[#This Row],[APPR]]))</f>
        <v>1</v>
      </c>
      <c r="AT584" s="8" t="b">
        <f>NOT(ISBLANK(MasterTable[[#This Row],[Total
Time]]))</f>
        <v>1</v>
      </c>
    </row>
    <row r="585" spans="4:46" ht="28.8" x14ac:dyDescent="0.3">
      <c r="D585" s="22">
        <v>44085</v>
      </c>
      <c r="E585" s="8" t="s">
        <v>75</v>
      </c>
      <c r="F585" s="8" t="s">
        <v>204</v>
      </c>
      <c r="G585" s="8" t="s">
        <v>204</v>
      </c>
      <c r="I585" s="10">
        <v>0.9</v>
      </c>
      <c r="J585" s="10">
        <v>0.9</v>
      </c>
      <c r="L585" s="10">
        <v>0</v>
      </c>
      <c r="M585" s="13">
        <v>0</v>
      </c>
      <c r="N585" s="13"/>
      <c r="O585" s="10">
        <v>0.9</v>
      </c>
      <c r="P585" s="10">
        <v>0</v>
      </c>
      <c r="Q585" s="14">
        <v>0</v>
      </c>
      <c r="R585" s="14">
        <v>0</v>
      </c>
      <c r="S585" s="10">
        <v>0</v>
      </c>
      <c r="U585" s="14">
        <v>0</v>
      </c>
      <c r="V585" s="10"/>
      <c r="W585" s="11">
        <v>5</v>
      </c>
      <c r="X585" s="11">
        <v>5</v>
      </c>
      <c r="Y585" s="11">
        <v>0</v>
      </c>
      <c r="Z585" s="11">
        <v>0</v>
      </c>
      <c r="AA585" s="11">
        <f>MasterTable[[#This Row],[Landings
Night]]+MasterTable[[#This Row],[Landings
Day]]</f>
        <v>5</v>
      </c>
      <c r="AB585" s="10">
        <v>0</v>
      </c>
      <c r="AC585" s="10">
        <v>0</v>
      </c>
      <c r="AD585" s="11">
        <v>0</v>
      </c>
      <c r="AE585" s="21">
        <f>SUM(MasterTable[[#This Row],[ILS]:[PAR]])</f>
        <v>0</v>
      </c>
      <c r="AL585" s="11"/>
      <c r="AR585" s="140" t="str">
        <f>_xlfn.XLOOKUP(MasterTable[[#This Row],[Aircraft ID]],Aircraft!A:A,Aircraft!H:H)</f>
        <v>Airplane Single Engine Land</v>
      </c>
      <c r="AS585" s="8" t="b">
        <f>OR((SUM(MasterTable[[#This Row],[ILS]:[PAR]]) = MasterTable[[#This Row],[APPR]]))</f>
        <v>1</v>
      </c>
      <c r="AT585" s="8" t="b">
        <f>NOT(ISBLANK(MasterTable[[#This Row],[Total
Time]]))</f>
        <v>1</v>
      </c>
    </row>
    <row r="586" spans="4:46" ht="28.8" x14ac:dyDescent="0.3">
      <c r="D586" s="22">
        <v>44083</v>
      </c>
      <c r="E586" s="8" t="s">
        <v>60</v>
      </c>
      <c r="F586" s="8" t="s">
        <v>204</v>
      </c>
      <c r="G586" s="8" t="s">
        <v>204</v>
      </c>
      <c r="I586" s="10">
        <v>1.3</v>
      </c>
      <c r="J586" s="10">
        <v>1.3</v>
      </c>
      <c r="L586" s="10">
        <v>0</v>
      </c>
      <c r="M586" s="13">
        <v>0</v>
      </c>
      <c r="N586" s="13"/>
      <c r="O586" s="10">
        <v>1.3</v>
      </c>
      <c r="P586" s="10">
        <v>0</v>
      </c>
      <c r="Q586" s="14">
        <v>0</v>
      </c>
      <c r="R586" s="14">
        <v>0</v>
      </c>
      <c r="S586" s="10">
        <v>0</v>
      </c>
      <c r="T586" s="10">
        <v>0</v>
      </c>
      <c r="U586" s="14">
        <v>0</v>
      </c>
      <c r="V586" s="10"/>
      <c r="W586" s="11">
        <v>1</v>
      </c>
      <c r="X586" s="11">
        <v>1</v>
      </c>
      <c r="Y586" s="11">
        <v>0</v>
      </c>
      <c r="Z586" s="11">
        <v>0</v>
      </c>
      <c r="AA586" s="11">
        <f>MasterTable[[#This Row],[Landings
Night]]+MasterTable[[#This Row],[Landings
Day]]</f>
        <v>1</v>
      </c>
      <c r="AB586" s="10">
        <v>0</v>
      </c>
      <c r="AC586" s="10">
        <v>0</v>
      </c>
      <c r="AD586" s="11">
        <v>0</v>
      </c>
      <c r="AE586" s="21">
        <f>SUM(MasterTable[[#This Row],[ILS]:[PAR]])</f>
        <v>0</v>
      </c>
      <c r="AL586" s="11"/>
      <c r="AR586" s="140" t="str">
        <f>_xlfn.XLOOKUP(MasterTable[[#This Row],[Aircraft ID]],Aircraft!A:A,Aircraft!H:H)</f>
        <v>Airplane Single Engine Land</v>
      </c>
      <c r="AS586" s="8" t="b">
        <f>OR((SUM(MasterTable[[#This Row],[ILS]:[PAR]]) = MasterTable[[#This Row],[APPR]]))</f>
        <v>1</v>
      </c>
      <c r="AT586" s="8" t="b">
        <f>NOT(ISBLANK(MasterTable[[#This Row],[Total
Time]]))</f>
        <v>1</v>
      </c>
    </row>
    <row r="587" spans="4:46" ht="28.8" x14ac:dyDescent="0.3">
      <c r="D587" s="22">
        <v>44073</v>
      </c>
      <c r="E587" s="8" t="s">
        <v>60</v>
      </c>
      <c r="F587" s="8" t="s">
        <v>204</v>
      </c>
      <c r="G587" s="8" t="s">
        <v>204</v>
      </c>
      <c r="I587" s="10">
        <v>0.9</v>
      </c>
      <c r="J587" s="10">
        <v>0.9</v>
      </c>
      <c r="L587" s="10">
        <v>0</v>
      </c>
      <c r="M587" s="13">
        <v>0</v>
      </c>
      <c r="N587" s="13"/>
      <c r="O587" s="10">
        <v>0.9</v>
      </c>
      <c r="P587" s="10">
        <v>0</v>
      </c>
      <c r="Q587" s="14">
        <v>0</v>
      </c>
      <c r="R587" s="14">
        <v>0</v>
      </c>
      <c r="S587" s="10">
        <v>0</v>
      </c>
      <c r="T587" s="10">
        <v>0</v>
      </c>
      <c r="U587" s="14">
        <v>0</v>
      </c>
      <c r="V587" s="10"/>
      <c r="W587" s="11">
        <v>1</v>
      </c>
      <c r="X587" s="11">
        <v>1</v>
      </c>
      <c r="Y587" s="11">
        <v>0</v>
      </c>
      <c r="Z587" s="11">
        <v>0</v>
      </c>
      <c r="AA587" s="11">
        <f>MasterTable[[#This Row],[Landings
Night]]+MasterTable[[#This Row],[Landings
Day]]</f>
        <v>1</v>
      </c>
      <c r="AB587" s="10">
        <v>0</v>
      </c>
      <c r="AC587" s="10">
        <v>0</v>
      </c>
      <c r="AD587" s="11">
        <v>0</v>
      </c>
      <c r="AE587" s="21">
        <f>SUM(MasterTable[[#This Row],[ILS]:[PAR]])</f>
        <v>0</v>
      </c>
      <c r="AL587" s="11"/>
      <c r="AR587" s="140" t="str">
        <f>_xlfn.XLOOKUP(MasterTable[[#This Row],[Aircraft ID]],Aircraft!A:A,Aircraft!H:H)</f>
        <v>Airplane Single Engine Land</v>
      </c>
      <c r="AS587" s="8" t="b">
        <f>OR((SUM(MasterTable[[#This Row],[ILS]:[PAR]]) = MasterTable[[#This Row],[APPR]]))</f>
        <v>1</v>
      </c>
      <c r="AT587" s="8" t="b">
        <f>NOT(ISBLANK(MasterTable[[#This Row],[Total
Time]]))</f>
        <v>1</v>
      </c>
    </row>
    <row r="588" spans="4:46" ht="28.8" x14ac:dyDescent="0.3">
      <c r="D588" s="22">
        <v>44072</v>
      </c>
      <c r="E588" s="8" t="s">
        <v>121</v>
      </c>
      <c r="F588" s="8" t="s">
        <v>204</v>
      </c>
      <c r="G588" s="8" t="s">
        <v>204</v>
      </c>
      <c r="I588" s="10">
        <v>0.7</v>
      </c>
      <c r="J588" s="10">
        <v>0.7</v>
      </c>
      <c r="L588" s="10">
        <v>0</v>
      </c>
      <c r="M588" s="13">
        <v>0</v>
      </c>
      <c r="N588" s="13"/>
      <c r="O588" s="10">
        <v>0.7</v>
      </c>
      <c r="P588" s="10">
        <v>0</v>
      </c>
      <c r="Q588" s="14">
        <v>0</v>
      </c>
      <c r="R588" s="14">
        <v>0</v>
      </c>
      <c r="S588" s="10">
        <v>0</v>
      </c>
      <c r="T588" s="10">
        <v>0</v>
      </c>
      <c r="U588" s="14">
        <v>0</v>
      </c>
      <c r="V588" s="10"/>
      <c r="W588" s="11">
        <v>1</v>
      </c>
      <c r="X588" s="11">
        <v>1</v>
      </c>
      <c r="Y588" s="11">
        <v>0</v>
      </c>
      <c r="Z588" s="11">
        <v>0</v>
      </c>
      <c r="AA588" s="11">
        <f>MasterTable[[#This Row],[Landings
Night]]+MasterTable[[#This Row],[Landings
Day]]</f>
        <v>1</v>
      </c>
      <c r="AB588" s="10">
        <v>0</v>
      </c>
      <c r="AC588" s="10">
        <v>0</v>
      </c>
      <c r="AD588" s="11">
        <v>0</v>
      </c>
      <c r="AE588" s="21">
        <f>SUM(MasterTable[[#This Row],[ILS]:[PAR]])</f>
        <v>0</v>
      </c>
      <c r="AL588" s="11"/>
      <c r="AR588" s="140" t="str">
        <f>_xlfn.XLOOKUP(MasterTable[[#This Row],[Aircraft ID]],Aircraft!A:A,Aircraft!H:H)</f>
        <v>Airplane Single Engine Land</v>
      </c>
      <c r="AS588" s="8" t="b">
        <f>OR((SUM(MasterTable[[#This Row],[ILS]:[PAR]]) = MasterTable[[#This Row],[APPR]]))</f>
        <v>1</v>
      </c>
      <c r="AT588" s="8" t="b">
        <f>NOT(ISBLANK(MasterTable[[#This Row],[Total
Time]]))</f>
        <v>1</v>
      </c>
    </row>
    <row r="589" spans="4:46" ht="28.8" x14ac:dyDescent="0.3">
      <c r="D589" s="22">
        <v>44059</v>
      </c>
      <c r="E589" s="8" t="s">
        <v>75</v>
      </c>
      <c r="F589" s="8" t="s">
        <v>204</v>
      </c>
      <c r="G589" s="8" t="s">
        <v>204</v>
      </c>
      <c r="I589" s="10">
        <v>1.7</v>
      </c>
      <c r="J589" s="10">
        <v>1.7</v>
      </c>
      <c r="L589" s="10">
        <v>0</v>
      </c>
      <c r="M589" s="13">
        <v>0</v>
      </c>
      <c r="N589" s="13"/>
      <c r="O589" s="10">
        <v>1.7</v>
      </c>
      <c r="P589" s="10">
        <v>0</v>
      </c>
      <c r="Q589" s="14">
        <v>0</v>
      </c>
      <c r="R589" s="14">
        <v>0</v>
      </c>
      <c r="S589" s="10">
        <v>0</v>
      </c>
      <c r="T589" s="10">
        <v>0</v>
      </c>
      <c r="U589" s="14">
        <v>0</v>
      </c>
      <c r="V589" s="10"/>
      <c r="W589" s="11">
        <v>5</v>
      </c>
      <c r="X589" s="11">
        <v>5</v>
      </c>
      <c r="Y589" s="11">
        <v>0</v>
      </c>
      <c r="Z589" s="11">
        <v>0</v>
      </c>
      <c r="AA589" s="11">
        <f>MasterTable[[#This Row],[Landings
Night]]+MasterTable[[#This Row],[Landings
Day]]</f>
        <v>5</v>
      </c>
      <c r="AB589" s="10">
        <v>0</v>
      </c>
      <c r="AC589" s="10">
        <v>0</v>
      </c>
      <c r="AD589" s="11">
        <v>0</v>
      </c>
      <c r="AE589" s="21">
        <f>SUM(MasterTable[[#This Row],[ILS]:[PAR]])</f>
        <v>0</v>
      </c>
      <c r="AL589" s="11"/>
      <c r="AR589" s="140" t="str">
        <f>_xlfn.XLOOKUP(MasterTable[[#This Row],[Aircraft ID]],Aircraft!A:A,Aircraft!H:H)</f>
        <v>Airplane Single Engine Land</v>
      </c>
      <c r="AS589" s="8" t="b">
        <f>OR((SUM(MasterTable[[#This Row],[ILS]:[PAR]]) = MasterTable[[#This Row],[APPR]]))</f>
        <v>1</v>
      </c>
      <c r="AT589" s="8" t="b">
        <f>NOT(ISBLANK(MasterTable[[#This Row],[Total
Time]]))</f>
        <v>1</v>
      </c>
    </row>
    <row r="590" spans="4:46" ht="28.8" x14ac:dyDescent="0.3">
      <c r="D590" s="22">
        <v>44056</v>
      </c>
      <c r="E590" s="8" t="s">
        <v>60</v>
      </c>
      <c r="F590" s="8" t="s">
        <v>204</v>
      </c>
      <c r="G590" s="8" t="s">
        <v>256</v>
      </c>
      <c r="I590" s="10">
        <v>1.5</v>
      </c>
      <c r="J590" s="10">
        <v>1.5</v>
      </c>
      <c r="L590" s="10">
        <v>0</v>
      </c>
      <c r="M590" s="13">
        <v>0</v>
      </c>
      <c r="N590" s="13"/>
      <c r="O590" s="10">
        <v>1.5</v>
      </c>
      <c r="P590" s="10">
        <v>0</v>
      </c>
      <c r="Q590" s="14">
        <v>0</v>
      </c>
      <c r="R590" s="14">
        <v>0</v>
      </c>
      <c r="S590" s="10">
        <v>0</v>
      </c>
      <c r="T590" s="10">
        <v>0</v>
      </c>
      <c r="U590" s="14">
        <v>0</v>
      </c>
      <c r="V590" s="10"/>
      <c r="W590" s="11">
        <v>4</v>
      </c>
      <c r="X590" s="11">
        <v>4</v>
      </c>
      <c r="Y590" s="11">
        <v>0</v>
      </c>
      <c r="Z590" s="11">
        <v>0</v>
      </c>
      <c r="AA590" s="11">
        <f>MasterTable[[#This Row],[Landings
Night]]+MasterTable[[#This Row],[Landings
Day]]</f>
        <v>4</v>
      </c>
      <c r="AB590" s="10">
        <v>0</v>
      </c>
      <c r="AC590" s="10">
        <v>0</v>
      </c>
      <c r="AD590" s="11">
        <v>0</v>
      </c>
      <c r="AE590" s="21">
        <f>SUM(MasterTable[[#This Row],[ILS]:[PAR]])</f>
        <v>0</v>
      </c>
      <c r="AL590" s="11"/>
      <c r="AR590" s="140" t="str">
        <f>_xlfn.XLOOKUP(MasterTable[[#This Row],[Aircraft ID]],Aircraft!A:A,Aircraft!H:H)</f>
        <v>Airplane Single Engine Land</v>
      </c>
      <c r="AS590" s="8" t="b">
        <f>OR((SUM(MasterTable[[#This Row],[ILS]:[PAR]]) = MasterTable[[#This Row],[APPR]]))</f>
        <v>1</v>
      </c>
      <c r="AT590" s="8" t="b">
        <f>NOT(ISBLANK(MasterTable[[#This Row],[Total
Time]]))</f>
        <v>1</v>
      </c>
    </row>
    <row r="591" spans="4:46" ht="28.8" x14ac:dyDescent="0.3">
      <c r="D591" s="22">
        <v>44053</v>
      </c>
      <c r="E591" s="8" t="s">
        <v>60</v>
      </c>
      <c r="F591" s="8" t="s">
        <v>204</v>
      </c>
      <c r="G591" s="8" t="s">
        <v>204</v>
      </c>
      <c r="I591" s="10">
        <v>1.2</v>
      </c>
      <c r="J591" s="10">
        <v>1.2</v>
      </c>
      <c r="L591" s="10">
        <v>0</v>
      </c>
      <c r="M591" s="13">
        <v>0</v>
      </c>
      <c r="N591" s="13"/>
      <c r="O591" s="10">
        <v>1.2</v>
      </c>
      <c r="P591" s="10">
        <v>0</v>
      </c>
      <c r="Q591" s="14">
        <v>0</v>
      </c>
      <c r="R591" s="14">
        <v>0</v>
      </c>
      <c r="S591" s="10">
        <v>0</v>
      </c>
      <c r="T591" s="10">
        <v>0</v>
      </c>
      <c r="U591" s="14">
        <v>0</v>
      </c>
      <c r="V591" s="10"/>
      <c r="W591" s="11">
        <v>3</v>
      </c>
      <c r="X591" s="11">
        <v>3</v>
      </c>
      <c r="Y591" s="11">
        <v>0</v>
      </c>
      <c r="Z591" s="11">
        <v>0</v>
      </c>
      <c r="AA591" s="11">
        <f>MasterTable[[#This Row],[Landings
Night]]+MasterTable[[#This Row],[Landings
Day]]</f>
        <v>3</v>
      </c>
      <c r="AB591" s="10">
        <v>0</v>
      </c>
      <c r="AC591" s="10">
        <v>0</v>
      </c>
      <c r="AD591" s="11">
        <v>0</v>
      </c>
      <c r="AE591" s="21">
        <f>SUM(MasterTable[[#This Row],[ILS]:[PAR]])</f>
        <v>0</v>
      </c>
      <c r="AL591" s="11"/>
      <c r="AR591" s="140" t="str">
        <f>_xlfn.XLOOKUP(MasterTable[[#This Row],[Aircraft ID]],Aircraft!A:A,Aircraft!H:H)</f>
        <v>Airplane Single Engine Land</v>
      </c>
      <c r="AS591" s="8" t="b">
        <f>OR((SUM(MasterTable[[#This Row],[ILS]:[PAR]]) = MasterTable[[#This Row],[APPR]]))</f>
        <v>1</v>
      </c>
      <c r="AT591" s="8" t="b">
        <f>NOT(ISBLANK(MasterTable[[#This Row],[Total
Time]]))</f>
        <v>1</v>
      </c>
    </row>
    <row r="592" spans="4:46" ht="28.8" x14ac:dyDescent="0.3">
      <c r="D592" s="22">
        <v>44053</v>
      </c>
      <c r="E592" s="8" t="s">
        <v>121</v>
      </c>
      <c r="F592" s="8" t="s">
        <v>204</v>
      </c>
      <c r="G592" s="8" t="s">
        <v>204</v>
      </c>
      <c r="I592" s="10">
        <v>0.7</v>
      </c>
      <c r="J592" s="10">
        <v>0.7</v>
      </c>
      <c r="L592" s="10">
        <v>0</v>
      </c>
      <c r="M592" s="13">
        <v>0</v>
      </c>
      <c r="N592" s="13"/>
      <c r="O592" s="10">
        <v>0.7</v>
      </c>
      <c r="P592" s="10">
        <v>0</v>
      </c>
      <c r="Q592" s="14">
        <v>0</v>
      </c>
      <c r="R592" s="14">
        <v>0</v>
      </c>
      <c r="S592" s="10">
        <v>0</v>
      </c>
      <c r="T592" s="10">
        <v>0</v>
      </c>
      <c r="U592" s="14">
        <v>0</v>
      </c>
      <c r="V592" s="10"/>
      <c r="W592" s="11">
        <v>1</v>
      </c>
      <c r="X592" s="11">
        <v>1</v>
      </c>
      <c r="Y592" s="11">
        <v>0</v>
      </c>
      <c r="Z592" s="11">
        <v>0</v>
      </c>
      <c r="AA592" s="11">
        <f>MasterTable[[#This Row],[Landings
Night]]+MasterTable[[#This Row],[Landings
Day]]</f>
        <v>1</v>
      </c>
      <c r="AB592" s="10">
        <v>0</v>
      </c>
      <c r="AC592" s="10">
        <v>0</v>
      </c>
      <c r="AD592" s="11">
        <v>0</v>
      </c>
      <c r="AE592" s="21">
        <f>SUM(MasterTable[[#This Row],[ILS]:[PAR]])</f>
        <v>0</v>
      </c>
      <c r="AL592" s="11"/>
      <c r="AR592" s="140" t="str">
        <f>_xlfn.XLOOKUP(MasterTable[[#This Row],[Aircraft ID]],Aircraft!A:A,Aircraft!H:H)</f>
        <v>Airplane Single Engine Land</v>
      </c>
      <c r="AS592" s="8" t="b">
        <f>OR((SUM(MasterTable[[#This Row],[ILS]:[PAR]]) = MasterTable[[#This Row],[APPR]]))</f>
        <v>1</v>
      </c>
      <c r="AT592" s="8" t="b">
        <f>NOT(ISBLANK(MasterTable[[#This Row],[Total
Time]]))</f>
        <v>1</v>
      </c>
    </row>
    <row r="593" spans="4:46" ht="28.8" x14ac:dyDescent="0.3">
      <c r="D593" s="22">
        <v>44052</v>
      </c>
      <c r="E593" s="8" t="s">
        <v>60</v>
      </c>
      <c r="F593" s="8" t="s">
        <v>204</v>
      </c>
      <c r="G593" s="8" t="s">
        <v>204</v>
      </c>
      <c r="I593" s="10">
        <v>1</v>
      </c>
      <c r="J593" s="10">
        <v>1</v>
      </c>
      <c r="L593" s="10">
        <v>0</v>
      </c>
      <c r="M593" s="13">
        <v>0</v>
      </c>
      <c r="N593" s="13"/>
      <c r="O593" s="10">
        <v>1</v>
      </c>
      <c r="P593" s="10">
        <v>0</v>
      </c>
      <c r="Q593" s="14">
        <v>0</v>
      </c>
      <c r="R593" s="14">
        <v>0</v>
      </c>
      <c r="S593" s="10">
        <v>0</v>
      </c>
      <c r="T593" s="10">
        <v>0</v>
      </c>
      <c r="U593" s="14">
        <v>0</v>
      </c>
      <c r="V593" s="10"/>
      <c r="W593" s="11">
        <v>4</v>
      </c>
      <c r="X593" s="11">
        <v>4</v>
      </c>
      <c r="Y593" s="11">
        <v>0</v>
      </c>
      <c r="Z593" s="11">
        <v>0</v>
      </c>
      <c r="AA593" s="11">
        <f>MasterTable[[#This Row],[Landings
Night]]+MasterTable[[#This Row],[Landings
Day]]</f>
        <v>4</v>
      </c>
      <c r="AB593" s="10">
        <v>0</v>
      </c>
      <c r="AC593" s="10">
        <v>0</v>
      </c>
      <c r="AD593" s="11">
        <v>0</v>
      </c>
      <c r="AE593" s="21">
        <f>SUM(MasterTable[[#This Row],[ILS]:[PAR]])</f>
        <v>0</v>
      </c>
      <c r="AL593" s="11"/>
      <c r="AR593" s="140" t="str">
        <f>_xlfn.XLOOKUP(MasterTable[[#This Row],[Aircraft ID]],Aircraft!A:A,Aircraft!H:H)</f>
        <v>Airplane Single Engine Land</v>
      </c>
      <c r="AS593" s="8" t="b">
        <f>OR((SUM(MasterTable[[#This Row],[ILS]:[PAR]]) = MasterTable[[#This Row],[APPR]]))</f>
        <v>1</v>
      </c>
      <c r="AT593" s="8" t="b">
        <f>NOT(ISBLANK(MasterTable[[#This Row],[Total
Time]]))</f>
        <v>1</v>
      </c>
    </row>
    <row r="594" spans="4:46" ht="28.8" x14ac:dyDescent="0.3">
      <c r="D594" s="22">
        <v>44050</v>
      </c>
      <c r="E594" s="8" t="s">
        <v>75</v>
      </c>
      <c r="F594" s="8" t="s">
        <v>204</v>
      </c>
      <c r="G594" s="8" t="s">
        <v>204</v>
      </c>
      <c r="I594" s="10">
        <v>1.5</v>
      </c>
      <c r="J594" s="10">
        <v>1.5</v>
      </c>
      <c r="L594" s="10">
        <v>0</v>
      </c>
      <c r="M594" s="13">
        <v>0</v>
      </c>
      <c r="N594" s="13"/>
      <c r="O594" s="10">
        <v>1.5</v>
      </c>
      <c r="P594" s="10">
        <v>0</v>
      </c>
      <c r="Q594" s="14">
        <v>0</v>
      </c>
      <c r="R594" s="14">
        <v>0</v>
      </c>
      <c r="S594" s="10">
        <v>0</v>
      </c>
      <c r="T594" s="10">
        <v>0</v>
      </c>
      <c r="U594" s="14">
        <v>0</v>
      </c>
      <c r="V594" s="10"/>
      <c r="W594" s="11">
        <v>5</v>
      </c>
      <c r="X594" s="11">
        <v>5</v>
      </c>
      <c r="Y594" s="11">
        <v>0</v>
      </c>
      <c r="Z594" s="11">
        <v>0</v>
      </c>
      <c r="AA594" s="11">
        <f>MasterTable[[#This Row],[Landings
Night]]+MasterTable[[#This Row],[Landings
Day]]</f>
        <v>5</v>
      </c>
      <c r="AB594" s="10">
        <v>0</v>
      </c>
      <c r="AC594" s="10">
        <v>0</v>
      </c>
      <c r="AD594" s="11">
        <v>0</v>
      </c>
      <c r="AE594" s="21">
        <f>SUM(MasterTable[[#This Row],[ILS]:[PAR]])</f>
        <v>0</v>
      </c>
      <c r="AL594" s="11"/>
      <c r="AR594" s="140" t="str">
        <f>_xlfn.XLOOKUP(MasterTable[[#This Row],[Aircraft ID]],Aircraft!A:A,Aircraft!H:H)</f>
        <v>Airplane Single Engine Land</v>
      </c>
      <c r="AS594" s="8" t="b">
        <f>OR((SUM(MasterTable[[#This Row],[ILS]:[PAR]]) = MasterTable[[#This Row],[APPR]]))</f>
        <v>1</v>
      </c>
      <c r="AT594" s="8" t="b">
        <f>NOT(ISBLANK(MasterTable[[#This Row],[Total
Time]]))</f>
        <v>1</v>
      </c>
    </row>
    <row r="595" spans="4:46" ht="28.8" x14ac:dyDescent="0.3">
      <c r="D595" s="22">
        <v>44049</v>
      </c>
      <c r="E595" s="8" t="s">
        <v>60</v>
      </c>
      <c r="F595" s="8" t="s">
        <v>204</v>
      </c>
      <c r="G595" s="8" t="s">
        <v>204</v>
      </c>
      <c r="I595" s="10">
        <v>0.8</v>
      </c>
      <c r="J595" s="10">
        <v>0.8</v>
      </c>
      <c r="L595" s="10">
        <v>0</v>
      </c>
      <c r="M595" s="13">
        <v>0</v>
      </c>
      <c r="N595" s="13"/>
      <c r="O595" s="10">
        <v>0.8</v>
      </c>
      <c r="P595" s="10">
        <v>0</v>
      </c>
      <c r="Q595" s="14">
        <v>0</v>
      </c>
      <c r="R595" s="14">
        <v>0</v>
      </c>
      <c r="S595" s="10">
        <v>0</v>
      </c>
      <c r="T595" s="10">
        <v>0</v>
      </c>
      <c r="U595" s="14">
        <v>0</v>
      </c>
      <c r="V595" s="10"/>
      <c r="W595" s="11">
        <v>5</v>
      </c>
      <c r="X595" s="11">
        <v>5</v>
      </c>
      <c r="Y595" s="11">
        <v>0</v>
      </c>
      <c r="Z595" s="11">
        <v>0</v>
      </c>
      <c r="AA595" s="11">
        <f>MasterTable[[#This Row],[Landings
Night]]+MasterTable[[#This Row],[Landings
Day]]</f>
        <v>5</v>
      </c>
      <c r="AB595" s="10">
        <v>0</v>
      </c>
      <c r="AC595" s="10">
        <v>0</v>
      </c>
      <c r="AD595" s="11">
        <v>0</v>
      </c>
      <c r="AE595" s="21">
        <f>SUM(MasterTable[[#This Row],[ILS]:[PAR]])</f>
        <v>0</v>
      </c>
      <c r="AL595" s="11"/>
      <c r="AR595" s="140" t="str">
        <f>_xlfn.XLOOKUP(MasterTable[[#This Row],[Aircraft ID]],Aircraft!A:A,Aircraft!H:H)</f>
        <v>Airplane Single Engine Land</v>
      </c>
      <c r="AS595" s="8" t="b">
        <f>OR((SUM(MasterTable[[#This Row],[ILS]:[PAR]]) = MasterTable[[#This Row],[APPR]]))</f>
        <v>1</v>
      </c>
      <c r="AT595" s="8" t="b">
        <f>NOT(ISBLANK(MasterTable[[#This Row],[Total
Time]]))</f>
        <v>1</v>
      </c>
    </row>
    <row r="596" spans="4:46" ht="28.8" x14ac:dyDescent="0.3">
      <c r="D596" s="22">
        <v>44049</v>
      </c>
      <c r="E596" s="8" t="s">
        <v>75</v>
      </c>
      <c r="F596" s="8" t="s">
        <v>204</v>
      </c>
      <c r="G596" s="8" t="s">
        <v>204</v>
      </c>
      <c r="I596" s="10">
        <v>1.2</v>
      </c>
      <c r="J596" s="10">
        <v>1.2</v>
      </c>
      <c r="L596" s="10">
        <v>0</v>
      </c>
      <c r="M596" s="13">
        <v>0</v>
      </c>
      <c r="N596" s="13"/>
      <c r="O596" s="10">
        <v>1.2</v>
      </c>
      <c r="P596" s="10">
        <v>0</v>
      </c>
      <c r="Q596" s="14">
        <v>0</v>
      </c>
      <c r="R596" s="14">
        <v>0</v>
      </c>
      <c r="S596" s="10">
        <v>0</v>
      </c>
      <c r="T596" s="10">
        <v>0</v>
      </c>
      <c r="U596" s="14">
        <v>0</v>
      </c>
      <c r="V596" s="10"/>
      <c r="W596" s="11">
        <v>3</v>
      </c>
      <c r="X596" s="11">
        <v>3</v>
      </c>
      <c r="Y596" s="11">
        <v>0</v>
      </c>
      <c r="Z596" s="11">
        <v>0</v>
      </c>
      <c r="AA596" s="11">
        <f>MasterTable[[#This Row],[Landings
Night]]+MasterTable[[#This Row],[Landings
Day]]</f>
        <v>3</v>
      </c>
      <c r="AB596" s="10">
        <v>0</v>
      </c>
      <c r="AC596" s="10">
        <v>0</v>
      </c>
      <c r="AD596" s="11">
        <v>0</v>
      </c>
      <c r="AE596" s="21">
        <f>SUM(MasterTable[[#This Row],[ILS]:[PAR]])</f>
        <v>0</v>
      </c>
      <c r="AL596" s="11"/>
      <c r="AR596" s="140" t="str">
        <f>_xlfn.XLOOKUP(MasterTable[[#This Row],[Aircraft ID]],Aircraft!A:A,Aircraft!H:H)</f>
        <v>Airplane Single Engine Land</v>
      </c>
      <c r="AS596" s="8" t="b">
        <f>OR((SUM(MasterTable[[#This Row],[ILS]:[PAR]]) = MasterTable[[#This Row],[APPR]]))</f>
        <v>1</v>
      </c>
      <c r="AT596" s="8" t="b">
        <f>NOT(ISBLANK(MasterTable[[#This Row],[Total
Time]]))</f>
        <v>1</v>
      </c>
    </row>
    <row r="597" spans="4:46" ht="28.8" x14ac:dyDescent="0.3">
      <c r="D597" s="22">
        <v>44048</v>
      </c>
      <c r="E597" s="8" t="s">
        <v>60</v>
      </c>
      <c r="F597" s="8" t="s">
        <v>204</v>
      </c>
      <c r="G597" s="8" t="s">
        <v>204</v>
      </c>
      <c r="I597" s="10">
        <v>1.6</v>
      </c>
      <c r="J597" s="10">
        <v>1.6</v>
      </c>
      <c r="L597" s="10">
        <v>0</v>
      </c>
      <c r="M597" s="13">
        <v>0</v>
      </c>
      <c r="N597" s="13"/>
      <c r="O597" s="10">
        <v>1.6</v>
      </c>
      <c r="P597" s="10">
        <v>0</v>
      </c>
      <c r="Q597" s="14">
        <v>0</v>
      </c>
      <c r="R597" s="14">
        <v>0</v>
      </c>
      <c r="S597" s="10">
        <v>0</v>
      </c>
      <c r="T597" s="10">
        <v>0</v>
      </c>
      <c r="U597" s="14">
        <v>0</v>
      </c>
      <c r="V597" s="10"/>
      <c r="W597" s="11">
        <v>4</v>
      </c>
      <c r="X597" s="11">
        <v>4</v>
      </c>
      <c r="Y597" s="11">
        <v>0</v>
      </c>
      <c r="Z597" s="11">
        <v>0</v>
      </c>
      <c r="AA597" s="11">
        <f>MasterTable[[#This Row],[Landings
Night]]+MasterTable[[#This Row],[Landings
Day]]</f>
        <v>4</v>
      </c>
      <c r="AB597" s="10">
        <v>0</v>
      </c>
      <c r="AC597" s="10">
        <v>0</v>
      </c>
      <c r="AD597" s="11">
        <v>0</v>
      </c>
      <c r="AE597" s="21">
        <f>SUM(MasterTable[[#This Row],[ILS]:[PAR]])</f>
        <v>0</v>
      </c>
      <c r="AL597" s="11"/>
      <c r="AR597" s="140" t="str">
        <f>_xlfn.XLOOKUP(MasterTable[[#This Row],[Aircraft ID]],Aircraft!A:A,Aircraft!H:H)</f>
        <v>Airplane Single Engine Land</v>
      </c>
      <c r="AS597" s="8" t="b">
        <f>OR((SUM(MasterTable[[#This Row],[ILS]:[PAR]]) = MasterTable[[#This Row],[APPR]]))</f>
        <v>1</v>
      </c>
      <c r="AT597" s="8" t="b">
        <f>NOT(ISBLANK(MasterTable[[#This Row],[Total
Time]]))</f>
        <v>1</v>
      </c>
    </row>
    <row r="598" spans="4:46" ht="28.8" x14ac:dyDescent="0.3">
      <c r="D598" s="22">
        <v>44046</v>
      </c>
      <c r="E598" s="8" t="s">
        <v>162</v>
      </c>
      <c r="F598" s="8" t="s">
        <v>204</v>
      </c>
      <c r="G598" s="8" t="s">
        <v>204</v>
      </c>
      <c r="I598" s="10">
        <v>1.6</v>
      </c>
      <c r="J598" s="10">
        <v>1.6</v>
      </c>
      <c r="L598" s="10">
        <v>0</v>
      </c>
      <c r="M598" s="13">
        <v>0</v>
      </c>
      <c r="N598" s="13"/>
      <c r="O598" s="10">
        <v>1.6</v>
      </c>
      <c r="P598" s="10">
        <v>0</v>
      </c>
      <c r="Q598" s="14">
        <v>0</v>
      </c>
      <c r="R598" s="14">
        <v>0</v>
      </c>
      <c r="S598" s="10">
        <v>0</v>
      </c>
      <c r="T598" s="10">
        <v>0</v>
      </c>
      <c r="U598" s="14">
        <v>0</v>
      </c>
      <c r="V598" s="10"/>
      <c r="W598" s="11">
        <v>3</v>
      </c>
      <c r="X598" s="11">
        <v>3</v>
      </c>
      <c r="Y598" s="11">
        <v>0</v>
      </c>
      <c r="Z598" s="11">
        <v>0</v>
      </c>
      <c r="AA598" s="11">
        <f>MasterTable[[#This Row],[Landings
Night]]+MasterTable[[#This Row],[Landings
Day]]</f>
        <v>3</v>
      </c>
      <c r="AB598" s="10">
        <v>0</v>
      </c>
      <c r="AC598" s="10">
        <v>0</v>
      </c>
      <c r="AD598" s="11">
        <v>0</v>
      </c>
      <c r="AE598" s="21">
        <f>SUM(MasterTable[[#This Row],[ILS]:[PAR]])</f>
        <v>0</v>
      </c>
      <c r="AL598" s="11"/>
      <c r="AR598" s="140" t="str">
        <f>_xlfn.XLOOKUP(MasterTable[[#This Row],[Aircraft ID]],Aircraft!A:A,Aircraft!H:H)</f>
        <v>Airplane Single Engine Land</v>
      </c>
      <c r="AS598" s="8" t="b">
        <f>OR((SUM(MasterTable[[#This Row],[ILS]:[PAR]]) = MasterTable[[#This Row],[APPR]]))</f>
        <v>1</v>
      </c>
      <c r="AT598" s="8" t="b">
        <f>NOT(ISBLANK(MasterTable[[#This Row],[Total
Time]]))</f>
        <v>1</v>
      </c>
    </row>
    <row r="599" spans="4:46" ht="28.8" x14ac:dyDescent="0.3">
      <c r="D599" s="22">
        <v>44045</v>
      </c>
      <c r="E599" s="8" t="s">
        <v>162</v>
      </c>
      <c r="F599" s="8" t="s">
        <v>204</v>
      </c>
      <c r="G599" s="8" t="s">
        <v>204</v>
      </c>
      <c r="I599" s="10">
        <v>1</v>
      </c>
      <c r="J599" s="10">
        <v>1</v>
      </c>
      <c r="L599" s="10">
        <v>0</v>
      </c>
      <c r="M599" s="13">
        <v>0</v>
      </c>
      <c r="N599" s="13"/>
      <c r="O599" s="10">
        <v>1</v>
      </c>
      <c r="P599" s="10">
        <v>0</v>
      </c>
      <c r="Q599" s="14">
        <v>0</v>
      </c>
      <c r="R599" s="14">
        <v>0</v>
      </c>
      <c r="S599" s="10">
        <v>0</v>
      </c>
      <c r="T599" s="10">
        <v>0</v>
      </c>
      <c r="U599" s="14">
        <v>0</v>
      </c>
      <c r="V599" s="10"/>
      <c r="W599" s="11">
        <v>10</v>
      </c>
      <c r="X599" s="11">
        <v>10</v>
      </c>
      <c r="Y599" s="11">
        <v>0</v>
      </c>
      <c r="Z599" s="11">
        <v>0</v>
      </c>
      <c r="AA599" s="11">
        <f>MasterTable[[#This Row],[Landings
Night]]+MasterTable[[#This Row],[Landings
Day]]</f>
        <v>10</v>
      </c>
      <c r="AB599" s="10">
        <v>0</v>
      </c>
      <c r="AC599" s="10">
        <v>0</v>
      </c>
      <c r="AD599" s="11">
        <v>0</v>
      </c>
      <c r="AE599" s="21">
        <f>SUM(MasterTable[[#This Row],[ILS]:[PAR]])</f>
        <v>0</v>
      </c>
      <c r="AL599" s="11"/>
      <c r="AR599" s="140" t="str">
        <f>_xlfn.XLOOKUP(MasterTable[[#This Row],[Aircraft ID]],Aircraft!A:A,Aircraft!H:H)</f>
        <v>Airplane Single Engine Land</v>
      </c>
      <c r="AS599" s="8" t="b">
        <f>OR((SUM(MasterTable[[#This Row],[ILS]:[PAR]]) = MasterTable[[#This Row],[APPR]]))</f>
        <v>1</v>
      </c>
      <c r="AT599" s="8" t="b">
        <f>NOT(ISBLANK(MasterTable[[#This Row],[Total
Time]]))</f>
        <v>1</v>
      </c>
    </row>
    <row r="600" spans="4:46" ht="28.8" x14ac:dyDescent="0.3">
      <c r="D600" s="22">
        <v>44045</v>
      </c>
      <c r="E600" s="8" t="s">
        <v>162</v>
      </c>
      <c r="F600" s="8" t="s">
        <v>204</v>
      </c>
      <c r="G600" s="8" t="s">
        <v>204</v>
      </c>
      <c r="I600" s="10">
        <v>1.3</v>
      </c>
      <c r="J600" s="10">
        <v>1.3</v>
      </c>
      <c r="L600" s="10">
        <v>0</v>
      </c>
      <c r="M600" s="13">
        <v>0</v>
      </c>
      <c r="N600" s="13"/>
      <c r="O600" s="10">
        <v>1.3</v>
      </c>
      <c r="P600" s="10">
        <v>0</v>
      </c>
      <c r="Q600" s="14">
        <v>0</v>
      </c>
      <c r="R600" s="14">
        <v>0</v>
      </c>
      <c r="S600" s="10">
        <v>0</v>
      </c>
      <c r="T600" s="10">
        <v>0</v>
      </c>
      <c r="U600" s="14">
        <v>0</v>
      </c>
      <c r="V600" s="10"/>
      <c r="W600" s="11">
        <v>2</v>
      </c>
      <c r="X600" s="11">
        <v>2</v>
      </c>
      <c r="Y600" s="11">
        <v>0</v>
      </c>
      <c r="Z600" s="11">
        <v>0</v>
      </c>
      <c r="AA600" s="11">
        <f>MasterTable[[#This Row],[Landings
Night]]+MasterTable[[#This Row],[Landings
Day]]</f>
        <v>2</v>
      </c>
      <c r="AB600" s="10">
        <v>0</v>
      </c>
      <c r="AC600" s="10">
        <v>0</v>
      </c>
      <c r="AD600" s="11">
        <v>0</v>
      </c>
      <c r="AE600" s="21">
        <f>SUM(MasterTable[[#This Row],[ILS]:[PAR]])</f>
        <v>0</v>
      </c>
      <c r="AL600" s="11"/>
      <c r="AR600" s="140" t="str">
        <f>_xlfn.XLOOKUP(MasterTable[[#This Row],[Aircraft ID]],Aircraft!A:A,Aircraft!H:H)</f>
        <v>Airplane Single Engine Land</v>
      </c>
      <c r="AS600" s="8" t="b">
        <f>OR((SUM(MasterTable[[#This Row],[ILS]:[PAR]]) = MasterTable[[#This Row],[APPR]]))</f>
        <v>1</v>
      </c>
      <c r="AT600" s="8" t="b">
        <f>NOT(ISBLANK(MasterTable[[#This Row],[Total
Time]]))</f>
        <v>1</v>
      </c>
    </row>
    <row r="601" spans="4:46" ht="28.8" x14ac:dyDescent="0.3">
      <c r="D601" s="22">
        <v>44044</v>
      </c>
      <c r="E601" s="8" t="s">
        <v>162</v>
      </c>
      <c r="F601" s="8" t="s">
        <v>204</v>
      </c>
      <c r="G601" s="8" t="s">
        <v>258</v>
      </c>
      <c r="I601" s="10">
        <v>2.9</v>
      </c>
      <c r="J601" s="10">
        <v>2.9</v>
      </c>
      <c r="L601" s="10">
        <v>0</v>
      </c>
      <c r="M601" s="13">
        <v>0</v>
      </c>
      <c r="N601" s="13"/>
      <c r="O601" s="10">
        <v>2.9</v>
      </c>
      <c r="P601" s="10">
        <v>0</v>
      </c>
      <c r="Q601" s="14">
        <v>0</v>
      </c>
      <c r="R601" s="14">
        <v>0</v>
      </c>
      <c r="S601" s="10">
        <v>0</v>
      </c>
      <c r="T601" s="10">
        <v>0</v>
      </c>
      <c r="U601" s="14">
        <v>0</v>
      </c>
      <c r="V601" s="10"/>
      <c r="W601" s="11">
        <v>12</v>
      </c>
      <c r="X601" s="11">
        <v>12</v>
      </c>
      <c r="Y601" s="11">
        <v>0</v>
      </c>
      <c r="Z601" s="11">
        <v>0</v>
      </c>
      <c r="AA601" s="11">
        <f>MasterTable[[#This Row],[Landings
Night]]+MasterTable[[#This Row],[Landings
Day]]</f>
        <v>12</v>
      </c>
      <c r="AB601" s="10">
        <v>0</v>
      </c>
      <c r="AC601" s="10">
        <v>0</v>
      </c>
      <c r="AD601" s="11">
        <v>0</v>
      </c>
      <c r="AE601" s="21">
        <f>SUM(MasterTable[[#This Row],[ILS]:[PAR]])</f>
        <v>0</v>
      </c>
      <c r="AL601" s="11"/>
      <c r="AR601" s="140" t="str">
        <f>_xlfn.XLOOKUP(MasterTable[[#This Row],[Aircraft ID]],Aircraft!A:A,Aircraft!H:H)</f>
        <v>Airplane Single Engine Land</v>
      </c>
      <c r="AS601" s="8" t="b">
        <f>OR((SUM(MasterTable[[#This Row],[ILS]:[PAR]]) = MasterTable[[#This Row],[APPR]]))</f>
        <v>1</v>
      </c>
      <c r="AT601" s="8" t="b">
        <f>NOT(ISBLANK(MasterTable[[#This Row],[Total
Time]]))</f>
        <v>1</v>
      </c>
    </row>
    <row r="602" spans="4:46" ht="28.8" x14ac:dyDescent="0.3">
      <c r="D602" s="22">
        <v>44044</v>
      </c>
      <c r="E602" s="8" t="s">
        <v>75</v>
      </c>
      <c r="F602" s="8" t="s">
        <v>204</v>
      </c>
      <c r="G602" s="8" t="s">
        <v>256</v>
      </c>
      <c r="I602" s="10">
        <v>1.4</v>
      </c>
      <c r="J602" s="10">
        <v>1.4</v>
      </c>
      <c r="L602" s="10">
        <v>0</v>
      </c>
      <c r="M602" s="13">
        <v>0</v>
      </c>
      <c r="N602" s="13"/>
      <c r="O602" s="10">
        <v>1.4</v>
      </c>
      <c r="P602" s="10">
        <v>0</v>
      </c>
      <c r="Q602" s="14">
        <v>0</v>
      </c>
      <c r="R602" s="14">
        <v>0</v>
      </c>
      <c r="S602" s="10">
        <v>0</v>
      </c>
      <c r="T602" s="10">
        <v>0</v>
      </c>
      <c r="U602" s="14">
        <v>0</v>
      </c>
      <c r="V602" s="10"/>
      <c r="W602" s="11">
        <v>2</v>
      </c>
      <c r="X602" s="11">
        <v>2</v>
      </c>
      <c r="Y602" s="11">
        <v>0</v>
      </c>
      <c r="Z602" s="11">
        <v>0</v>
      </c>
      <c r="AA602" s="11">
        <f>MasterTable[[#This Row],[Landings
Night]]+MasterTable[[#This Row],[Landings
Day]]</f>
        <v>2</v>
      </c>
      <c r="AB602" s="10">
        <v>0</v>
      </c>
      <c r="AC602" s="10">
        <v>0</v>
      </c>
      <c r="AD602" s="11">
        <v>0</v>
      </c>
      <c r="AE602" s="21">
        <f>SUM(MasterTable[[#This Row],[ILS]:[PAR]])</f>
        <v>0</v>
      </c>
      <c r="AL602" s="11"/>
      <c r="AR602" s="140" t="str">
        <f>_xlfn.XLOOKUP(MasterTable[[#This Row],[Aircraft ID]],Aircraft!A:A,Aircraft!H:H)</f>
        <v>Airplane Single Engine Land</v>
      </c>
      <c r="AS602" s="8" t="b">
        <f>OR((SUM(MasterTable[[#This Row],[ILS]:[PAR]]) = MasterTable[[#This Row],[APPR]]))</f>
        <v>1</v>
      </c>
      <c r="AT602" s="8" t="b">
        <f>NOT(ISBLANK(MasterTable[[#This Row],[Total
Time]]))</f>
        <v>1</v>
      </c>
    </row>
    <row r="603" spans="4:46" ht="28.8" x14ac:dyDescent="0.3">
      <c r="D603" s="22">
        <v>44041</v>
      </c>
      <c r="E603" s="8" t="s">
        <v>121</v>
      </c>
      <c r="F603" s="8" t="s">
        <v>204</v>
      </c>
      <c r="G603" s="8" t="s">
        <v>204</v>
      </c>
      <c r="I603" s="10">
        <v>0.5</v>
      </c>
      <c r="J603" s="10">
        <v>0.5</v>
      </c>
      <c r="L603" s="10">
        <v>0</v>
      </c>
      <c r="M603" s="13">
        <v>0</v>
      </c>
      <c r="N603" s="13"/>
      <c r="O603" s="10">
        <v>0.5</v>
      </c>
      <c r="P603" s="10">
        <v>0</v>
      </c>
      <c r="Q603" s="14">
        <v>0</v>
      </c>
      <c r="R603" s="14">
        <v>0</v>
      </c>
      <c r="S603" s="10">
        <v>0</v>
      </c>
      <c r="T603" s="10">
        <v>0</v>
      </c>
      <c r="U603" s="14">
        <v>0</v>
      </c>
      <c r="V603" s="10"/>
      <c r="W603" s="11">
        <v>1</v>
      </c>
      <c r="X603" s="11">
        <v>1</v>
      </c>
      <c r="Y603" s="11">
        <v>0</v>
      </c>
      <c r="Z603" s="11">
        <v>0</v>
      </c>
      <c r="AA603" s="11">
        <f>MasterTable[[#This Row],[Landings
Night]]+MasterTable[[#This Row],[Landings
Day]]</f>
        <v>1</v>
      </c>
      <c r="AB603" s="10">
        <v>0</v>
      </c>
      <c r="AC603" s="10">
        <v>0</v>
      </c>
      <c r="AD603" s="11">
        <v>0</v>
      </c>
      <c r="AE603" s="21">
        <f>SUM(MasterTable[[#This Row],[ILS]:[PAR]])</f>
        <v>0</v>
      </c>
      <c r="AL603" s="11"/>
      <c r="AR603" s="140" t="str">
        <f>_xlfn.XLOOKUP(MasterTable[[#This Row],[Aircraft ID]],Aircraft!A:A,Aircraft!H:H)</f>
        <v>Airplane Single Engine Land</v>
      </c>
      <c r="AS603" s="8" t="b">
        <f>OR((SUM(MasterTable[[#This Row],[ILS]:[PAR]]) = MasterTable[[#This Row],[APPR]]))</f>
        <v>1</v>
      </c>
      <c r="AT603" s="8" t="b">
        <f>NOT(ISBLANK(MasterTable[[#This Row],[Total
Time]]))</f>
        <v>1</v>
      </c>
    </row>
    <row r="604" spans="4:46" ht="28.8" x14ac:dyDescent="0.3">
      <c r="D604" s="22">
        <v>44041</v>
      </c>
      <c r="E604" s="8" t="s">
        <v>60</v>
      </c>
      <c r="F604" s="8" t="s">
        <v>204</v>
      </c>
      <c r="G604" s="8" t="s">
        <v>204</v>
      </c>
      <c r="I604" s="10">
        <v>1.3</v>
      </c>
      <c r="J604" s="10">
        <v>1.3</v>
      </c>
      <c r="L604" s="10">
        <v>0</v>
      </c>
      <c r="M604" s="13">
        <v>0</v>
      </c>
      <c r="N604" s="13"/>
      <c r="O604" s="10">
        <v>1.3</v>
      </c>
      <c r="P604" s="10">
        <v>0</v>
      </c>
      <c r="Q604" s="14">
        <v>0</v>
      </c>
      <c r="R604" s="14">
        <v>0</v>
      </c>
      <c r="S604" s="10">
        <v>0</v>
      </c>
      <c r="T604" s="10">
        <v>0</v>
      </c>
      <c r="U604" s="14">
        <v>0</v>
      </c>
      <c r="V604" s="10"/>
      <c r="W604" s="11">
        <v>6</v>
      </c>
      <c r="X604" s="11">
        <v>6</v>
      </c>
      <c r="Y604" s="11">
        <v>0</v>
      </c>
      <c r="Z604" s="11">
        <v>0</v>
      </c>
      <c r="AA604" s="11">
        <f>MasterTable[[#This Row],[Landings
Night]]+MasterTable[[#This Row],[Landings
Day]]</f>
        <v>6</v>
      </c>
      <c r="AB604" s="10">
        <v>0</v>
      </c>
      <c r="AC604" s="10">
        <v>0</v>
      </c>
      <c r="AD604" s="11">
        <v>0</v>
      </c>
      <c r="AE604" s="21">
        <f>SUM(MasterTable[[#This Row],[ILS]:[PAR]])</f>
        <v>0</v>
      </c>
      <c r="AL604" s="11"/>
      <c r="AR604" s="140" t="str">
        <f>_xlfn.XLOOKUP(MasterTable[[#This Row],[Aircraft ID]],Aircraft!A:A,Aircraft!H:H)</f>
        <v>Airplane Single Engine Land</v>
      </c>
      <c r="AS604" s="8" t="b">
        <f>OR((SUM(MasterTable[[#This Row],[ILS]:[PAR]]) = MasterTable[[#This Row],[APPR]]))</f>
        <v>1</v>
      </c>
      <c r="AT604" s="8" t="b">
        <f>NOT(ISBLANK(MasterTable[[#This Row],[Total
Time]]))</f>
        <v>1</v>
      </c>
    </row>
    <row r="605" spans="4:46" ht="28.8" x14ac:dyDescent="0.3">
      <c r="D605" s="22">
        <v>44041</v>
      </c>
      <c r="E605" s="8" t="s">
        <v>60</v>
      </c>
      <c r="F605" s="8" t="s">
        <v>204</v>
      </c>
      <c r="G605" s="8" t="s">
        <v>214</v>
      </c>
      <c r="I605" s="10">
        <v>1.5</v>
      </c>
      <c r="J605" s="10">
        <v>1.5</v>
      </c>
      <c r="L605" s="10">
        <v>0</v>
      </c>
      <c r="M605" s="13">
        <v>0</v>
      </c>
      <c r="N605" s="13"/>
      <c r="O605" s="10">
        <v>1.5</v>
      </c>
      <c r="P605" s="10">
        <v>0</v>
      </c>
      <c r="Q605" s="14">
        <v>0</v>
      </c>
      <c r="R605" s="14">
        <v>0</v>
      </c>
      <c r="S605" s="10">
        <v>0</v>
      </c>
      <c r="T605" s="10">
        <v>0</v>
      </c>
      <c r="U605" s="14">
        <v>0</v>
      </c>
      <c r="V605" s="10"/>
      <c r="W605" s="11">
        <v>3</v>
      </c>
      <c r="X605" s="11">
        <v>3</v>
      </c>
      <c r="Y605" s="11">
        <v>0</v>
      </c>
      <c r="Z605" s="11">
        <v>0</v>
      </c>
      <c r="AA605" s="11">
        <f>MasterTable[[#This Row],[Landings
Night]]+MasterTable[[#This Row],[Landings
Day]]</f>
        <v>3</v>
      </c>
      <c r="AB605" s="10">
        <v>0</v>
      </c>
      <c r="AC605" s="10">
        <v>0</v>
      </c>
      <c r="AD605" s="11">
        <v>0</v>
      </c>
      <c r="AE605" s="21">
        <f>SUM(MasterTable[[#This Row],[ILS]:[PAR]])</f>
        <v>0</v>
      </c>
      <c r="AL605" s="11"/>
      <c r="AR605" s="140" t="str">
        <f>_xlfn.XLOOKUP(MasterTable[[#This Row],[Aircraft ID]],Aircraft!A:A,Aircraft!H:H)</f>
        <v>Airplane Single Engine Land</v>
      </c>
      <c r="AS605" s="8" t="b">
        <f>OR((SUM(MasterTable[[#This Row],[ILS]:[PAR]]) = MasterTable[[#This Row],[APPR]]))</f>
        <v>1</v>
      </c>
      <c r="AT605" s="8" t="b">
        <f>NOT(ISBLANK(MasterTable[[#This Row],[Total
Time]]))</f>
        <v>1</v>
      </c>
    </row>
    <row r="606" spans="4:46" ht="28.8" x14ac:dyDescent="0.3">
      <c r="D606" s="22">
        <v>44040</v>
      </c>
      <c r="E606" s="8" t="s">
        <v>75</v>
      </c>
      <c r="F606" s="8" t="s">
        <v>204</v>
      </c>
      <c r="G606" s="8" t="s">
        <v>204</v>
      </c>
      <c r="I606" s="10">
        <v>1.5</v>
      </c>
      <c r="J606" s="10">
        <v>1.5</v>
      </c>
      <c r="L606" s="10">
        <v>0</v>
      </c>
      <c r="M606" s="13">
        <v>0</v>
      </c>
      <c r="N606" s="13"/>
      <c r="O606" s="10">
        <v>1.5</v>
      </c>
      <c r="P606" s="10">
        <v>0</v>
      </c>
      <c r="Q606" s="14">
        <v>0</v>
      </c>
      <c r="R606" s="14">
        <v>0</v>
      </c>
      <c r="S606" s="10">
        <v>0.2</v>
      </c>
      <c r="T606" s="10">
        <v>0</v>
      </c>
      <c r="U606" s="14">
        <v>0</v>
      </c>
      <c r="V606" s="10"/>
      <c r="W606" s="11">
        <v>6</v>
      </c>
      <c r="X606" s="11">
        <v>6</v>
      </c>
      <c r="Y606" s="11">
        <v>2</v>
      </c>
      <c r="Z606" s="11">
        <v>2</v>
      </c>
      <c r="AA606" s="11">
        <f>MasterTable[[#This Row],[Landings
Night]]+MasterTable[[#This Row],[Landings
Day]]</f>
        <v>8</v>
      </c>
      <c r="AB606" s="10">
        <v>0</v>
      </c>
      <c r="AC606" s="10">
        <v>0</v>
      </c>
      <c r="AD606" s="11">
        <v>0</v>
      </c>
      <c r="AE606" s="21">
        <f>SUM(MasterTable[[#This Row],[ILS]:[PAR]])</f>
        <v>0</v>
      </c>
      <c r="AL606" s="11"/>
      <c r="AR606" s="140" t="str">
        <f>_xlfn.XLOOKUP(MasterTable[[#This Row],[Aircraft ID]],Aircraft!A:A,Aircraft!H:H)</f>
        <v>Airplane Single Engine Land</v>
      </c>
      <c r="AS606" s="8" t="b">
        <f>OR((SUM(MasterTable[[#This Row],[ILS]:[PAR]]) = MasterTable[[#This Row],[APPR]]))</f>
        <v>1</v>
      </c>
      <c r="AT606" s="8" t="b">
        <f>NOT(ISBLANK(MasterTable[[#This Row],[Total
Time]]))</f>
        <v>1</v>
      </c>
    </row>
    <row r="607" spans="4:46" ht="28.8" x14ac:dyDescent="0.3">
      <c r="D607" s="22">
        <v>44038</v>
      </c>
      <c r="E607" s="8" t="s">
        <v>60</v>
      </c>
      <c r="F607" s="8" t="s">
        <v>204</v>
      </c>
      <c r="G607" s="8" t="s">
        <v>204</v>
      </c>
      <c r="I607" s="10">
        <v>1.3</v>
      </c>
      <c r="J607" s="10">
        <v>1.3</v>
      </c>
      <c r="L607" s="10">
        <v>0</v>
      </c>
      <c r="M607" s="13">
        <v>0</v>
      </c>
      <c r="N607" s="13"/>
      <c r="O607" s="10">
        <v>1.3</v>
      </c>
      <c r="P607" s="10">
        <v>0</v>
      </c>
      <c r="Q607" s="14">
        <v>0</v>
      </c>
      <c r="R607" s="14">
        <v>0</v>
      </c>
      <c r="S607" s="10">
        <v>0</v>
      </c>
      <c r="T607" s="10">
        <v>0</v>
      </c>
      <c r="U607" s="14">
        <v>0</v>
      </c>
      <c r="V607" s="10"/>
      <c r="W607" s="11">
        <v>3</v>
      </c>
      <c r="X607" s="11">
        <v>3</v>
      </c>
      <c r="Y607" s="11">
        <v>0</v>
      </c>
      <c r="Z607" s="11">
        <v>0</v>
      </c>
      <c r="AA607" s="11">
        <f>MasterTable[[#This Row],[Landings
Night]]+MasterTable[[#This Row],[Landings
Day]]</f>
        <v>3</v>
      </c>
      <c r="AB607" s="10">
        <v>0</v>
      </c>
      <c r="AC607" s="10">
        <v>0</v>
      </c>
      <c r="AD607" s="11">
        <v>0</v>
      </c>
      <c r="AE607" s="21">
        <f>SUM(MasterTable[[#This Row],[ILS]:[PAR]])</f>
        <v>0</v>
      </c>
      <c r="AL607" s="11"/>
      <c r="AR607" s="140" t="str">
        <f>_xlfn.XLOOKUP(MasterTable[[#This Row],[Aircraft ID]],Aircraft!A:A,Aircraft!H:H)</f>
        <v>Airplane Single Engine Land</v>
      </c>
      <c r="AS607" s="8" t="b">
        <f>OR((SUM(MasterTable[[#This Row],[ILS]:[PAR]]) = MasterTable[[#This Row],[APPR]]))</f>
        <v>1</v>
      </c>
      <c r="AT607" s="8" t="b">
        <f>NOT(ISBLANK(MasterTable[[#This Row],[Total
Time]]))</f>
        <v>1</v>
      </c>
    </row>
    <row r="608" spans="4:46" ht="28.8" x14ac:dyDescent="0.3">
      <c r="D608" s="22">
        <v>44036</v>
      </c>
      <c r="E608" s="8" t="s">
        <v>75</v>
      </c>
      <c r="F608" s="8" t="s">
        <v>214</v>
      </c>
      <c r="G608" s="8" t="s">
        <v>267</v>
      </c>
      <c r="H608" s="8" t="s">
        <v>268</v>
      </c>
      <c r="I608" s="10">
        <v>3.2</v>
      </c>
      <c r="J608" s="10">
        <v>3.2</v>
      </c>
      <c r="L608" s="10">
        <v>0</v>
      </c>
      <c r="M608" s="13">
        <v>0</v>
      </c>
      <c r="N608" s="13"/>
      <c r="O608" s="10">
        <v>3.2</v>
      </c>
      <c r="P608" s="10">
        <v>0</v>
      </c>
      <c r="Q608" s="14">
        <v>0</v>
      </c>
      <c r="R608" s="14">
        <v>0</v>
      </c>
      <c r="S608" s="10">
        <v>3.2</v>
      </c>
      <c r="T608" s="10">
        <v>3.2</v>
      </c>
      <c r="U608" s="14">
        <v>0</v>
      </c>
      <c r="V608" s="10"/>
      <c r="W608" s="11">
        <v>0</v>
      </c>
      <c r="X608" s="11">
        <v>0</v>
      </c>
      <c r="Y608" s="11">
        <v>2</v>
      </c>
      <c r="Z608" s="11">
        <v>2</v>
      </c>
      <c r="AA608" s="11">
        <f>MasterTable[[#This Row],[Landings
Night]]+MasterTable[[#This Row],[Landings
Day]]</f>
        <v>2</v>
      </c>
      <c r="AB608" s="10">
        <v>0</v>
      </c>
      <c r="AC608" s="10">
        <v>0</v>
      </c>
      <c r="AD608" s="11">
        <v>0</v>
      </c>
      <c r="AE608" s="21">
        <f>SUM(MasterTable[[#This Row],[ILS]:[PAR]])</f>
        <v>0</v>
      </c>
      <c r="AL608" s="11"/>
      <c r="AR608" s="140" t="str">
        <f>_xlfn.XLOOKUP(MasterTable[[#This Row],[Aircraft ID]],Aircraft!A:A,Aircraft!H:H)</f>
        <v>Airplane Single Engine Land</v>
      </c>
      <c r="AS608" s="8" t="b">
        <f>OR((SUM(MasterTable[[#This Row],[ILS]:[PAR]]) = MasterTable[[#This Row],[APPR]]))</f>
        <v>1</v>
      </c>
      <c r="AT608" s="8" t="b">
        <f>NOT(ISBLANK(MasterTable[[#This Row],[Total
Time]]))</f>
        <v>1</v>
      </c>
    </row>
    <row r="609" spans="4:46" ht="28.8" x14ac:dyDescent="0.3">
      <c r="D609" s="22">
        <v>44036</v>
      </c>
      <c r="E609" s="8" t="s">
        <v>162</v>
      </c>
      <c r="F609" s="8" t="s">
        <v>202</v>
      </c>
      <c r="G609" s="8" t="s">
        <v>202</v>
      </c>
      <c r="I609" s="10">
        <v>1.2</v>
      </c>
      <c r="J609" s="10">
        <v>1.2</v>
      </c>
      <c r="L609" s="10">
        <v>0</v>
      </c>
      <c r="M609" s="13">
        <v>0</v>
      </c>
      <c r="N609" s="13"/>
      <c r="O609" s="10">
        <v>1.2</v>
      </c>
      <c r="P609" s="10">
        <v>0</v>
      </c>
      <c r="Q609" s="14">
        <v>0</v>
      </c>
      <c r="R609" s="14">
        <v>0</v>
      </c>
      <c r="S609" s="10">
        <v>0</v>
      </c>
      <c r="T609" s="10">
        <v>0</v>
      </c>
      <c r="U609" s="14">
        <v>0</v>
      </c>
      <c r="V609" s="10"/>
      <c r="W609" s="11">
        <v>1</v>
      </c>
      <c r="X609" s="11">
        <v>1</v>
      </c>
      <c r="Y609" s="11">
        <v>0</v>
      </c>
      <c r="Z609" s="11">
        <v>0</v>
      </c>
      <c r="AA609" s="11">
        <f>MasterTable[[#This Row],[Landings
Night]]+MasterTable[[#This Row],[Landings
Day]]</f>
        <v>1</v>
      </c>
      <c r="AB609" s="10">
        <v>0</v>
      </c>
      <c r="AC609" s="10">
        <v>0</v>
      </c>
      <c r="AD609" s="11">
        <v>0</v>
      </c>
      <c r="AE609" s="21">
        <f>SUM(MasterTable[[#This Row],[ILS]:[PAR]])</f>
        <v>0</v>
      </c>
      <c r="AL609" s="11"/>
      <c r="AR609" s="140" t="str">
        <f>_xlfn.XLOOKUP(MasterTable[[#This Row],[Aircraft ID]],Aircraft!A:A,Aircraft!H:H)</f>
        <v>Airplane Single Engine Land</v>
      </c>
      <c r="AS609" s="8" t="b">
        <f>OR((SUM(MasterTable[[#This Row],[ILS]:[PAR]]) = MasterTable[[#This Row],[APPR]]))</f>
        <v>1</v>
      </c>
      <c r="AT609" s="8" t="b">
        <f>NOT(ISBLANK(MasterTable[[#This Row],[Total
Time]]))</f>
        <v>1</v>
      </c>
    </row>
    <row r="610" spans="4:46" ht="28.8" x14ac:dyDescent="0.3">
      <c r="D610" s="22">
        <v>44033</v>
      </c>
      <c r="E610" s="8" t="s">
        <v>60</v>
      </c>
      <c r="F610" s="8" t="s">
        <v>204</v>
      </c>
      <c r="G610" s="8" t="s">
        <v>204</v>
      </c>
      <c r="I610" s="10">
        <v>0.8</v>
      </c>
      <c r="J610" s="10">
        <v>0.8</v>
      </c>
      <c r="L610" s="10">
        <v>0</v>
      </c>
      <c r="M610" s="13">
        <v>0</v>
      </c>
      <c r="N610" s="13"/>
      <c r="O610" s="10">
        <v>0.8</v>
      </c>
      <c r="P610" s="10">
        <v>0</v>
      </c>
      <c r="Q610" s="14">
        <v>0</v>
      </c>
      <c r="R610" s="14">
        <v>0</v>
      </c>
      <c r="S610" s="10">
        <v>0</v>
      </c>
      <c r="T610" s="10">
        <v>0</v>
      </c>
      <c r="U610" s="14">
        <v>0</v>
      </c>
      <c r="V610" s="10"/>
      <c r="W610" s="11">
        <v>1</v>
      </c>
      <c r="X610" s="11">
        <v>1</v>
      </c>
      <c r="Y610" s="11">
        <v>0</v>
      </c>
      <c r="Z610" s="11">
        <v>0</v>
      </c>
      <c r="AA610" s="11">
        <f>MasterTable[[#This Row],[Landings
Night]]+MasterTable[[#This Row],[Landings
Day]]</f>
        <v>1</v>
      </c>
      <c r="AB610" s="10">
        <v>0</v>
      </c>
      <c r="AC610" s="10">
        <v>0</v>
      </c>
      <c r="AD610" s="11">
        <v>0</v>
      </c>
      <c r="AE610" s="21">
        <f>SUM(MasterTable[[#This Row],[ILS]:[PAR]])</f>
        <v>0</v>
      </c>
      <c r="AL610" s="11"/>
      <c r="AR610" s="140" t="str">
        <f>_xlfn.XLOOKUP(MasterTable[[#This Row],[Aircraft ID]],Aircraft!A:A,Aircraft!H:H)</f>
        <v>Airplane Single Engine Land</v>
      </c>
      <c r="AS610" s="8" t="b">
        <f>OR((SUM(MasterTable[[#This Row],[ILS]:[PAR]]) = MasterTable[[#This Row],[APPR]]))</f>
        <v>1</v>
      </c>
      <c r="AT610" s="8" t="b">
        <f>NOT(ISBLANK(MasterTable[[#This Row],[Total
Time]]))</f>
        <v>1</v>
      </c>
    </row>
    <row r="611" spans="4:46" ht="28.8" x14ac:dyDescent="0.3">
      <c r="D611" s="22">
        <v>44033</v>
      </c>
      <c r="E611" s="8" t="s">
        <v>162</v>
      </c>
      <c r="F611" s="8" t="s">
        <v>214</v>
      </c>
      <c r="G611" s="8" t="s">
        <v>214</v>
      </c>
      <c r="I611" s="10">
        <v>1.6</v>
      </c>
      <c r="J611" s="10">
        <v>1.6</v>
      </c>
      <c r="L611" s="10">
        <v>0</v>
      </c>
      <c r="M611" s="13">
        <v>0</v>
      </c>
      <c r="N611" s="13"/>
      <c r="O611" s="10">
        <v>1.6</v>
      </c>
      <c r="P611" s="10">
        <v>0</v>
      </c>
      <c r="Q611" s="14">
        <v>0</v>
      </c>
      <c r="R611" s="14">
        <v>0</v>
      </c>
      <c r="S611" s="10">
        <v>0</v>
      </c>
      <c r="T611" s="10">
        <v>0</v>
      </c>
      <c r="U611" s="14">
        <v>0</v>
      </c>
      <c r="V611" s="10"/>
      <c r="W611" s="11">
        <v>3</v>
      </c>
      <c r="X611" s="11">
        <v>3</v>
      </c>
      <c r="Y611" s="11">
        <v>0</v>
      </c>
      <c r="Z611" s="11">
        <v>0</v>
      </c>
      <c r="AA611" s="11">
        <f>MasterTable[[#This Row],[Landings
Night]]+MasterTable[[#This Row],[Landings
Day]]</f>
        <v>3</v>
      </c>
      <c r="AB611" s="10">
        <v>0</v>
      </c>
      <c r="AC611" s="10">
        <v>0</v>
      </c>
      <c r="AD611" s="11">
        <v>0</v>
      </c>
      <c r="AE611" s="21">
        <f>SUM(MasterTable[[#This Row],[ILS]:[PAR]])</f>
        <v>0</v>
      </c>
      <c r="AL611" s="11"/>
      <c r="AR611" s="140" t="str">
        <f>_xlfn.XLOOKUP(MasterTable[[#This Row],[Aircraft ID]],Aircraft!A:A,Aircraft!H:H)</f>
        <v>Airplane Single Engine Land</v>
      </c>
      <c r="AS611" s="8" t="b">
        <f>OR((SUM(MasterTable[[#This Row],[ILS]:[PAR]]) = MasterTable[[#This Row],[APPR]]))</f>
        <v>1</v>
      </c>
      <c r="AT611" s="8" t="b">
        <f>NOT(ISBLANK(MasterTable[[#This Row],[Total
Time]]))</f>
        <v>1</v>
      </c>
    </row>
    <row r="612" spans="4:46" ht="28.8" x14ac:dyDescent="0.3">
      <c r="D612" s="22">
        <v>44032</v>
      </c>
      <c r="E612" s="8" t="s">
        <v>162</v>
      </c>
      <c r="F612" s="8" t="s">
        <v>214</v>
      </c>
      <c r="G612" s="8" t="s">
        <v>269</v>
      </c>
      <c r="I612" s="10">
        <v>3.4</v>
      </c>
      <c r="J612" s="10">
        <v>3.4</v>
      </c>
      <c r="L612" s="10">
        <v>0</v>
      </c>
      <c r="M612" s="13">
        <v>0</v>
      </c>
      <c r="N612" s="13"/>
      <c r="O612" s="10">
        <v>3.4</v>
      </c>
      <c r="P612" s="10">
        <v>0</v>
      </c>
      <c r="Q612" s="14">
        <v>0</v>
      </c>
      <c r="R612" s="14">
        <v>0</v>
      </c>
      <c r="S612" s="10">
        <v>3.4</v>
      </c>
      <c r="T612" s="10">
        <v>3.4</v>
      </c>
      <c r="U612" s="14">
        <v>0</v>
      </c>
      <c r="V612" s="10"/>
      <c r="W612" s="11">
        <v>0</v>
      </c>
      <c r="X612" s="11">
        <v>0</v>
      </c>
      <c r="Y612" s="11">
        <v>2</v>
      </c>
      <c r="Z612" s="11">
        <v>2</v>
      </c>
      <c r="AA612" s="11">
        <f>MasterTable[[#This Row],[Landings
Night]]+MasterTable[[#This Row],[Landings
Day]]</f>
        <v>2</v>
      </c>
      <c r="AB612" s="10">
        <v>0</v>
      </c>
      <c r="AC612" s="10">
        <v>0</v>
      </c>
      <c r="AD612" s="11">
        <v>0</v>
      </c>
      <c r="AE612" s="21">
        <f>SUM(MasterTable[[#This Row],[ILS]:[PAR]])</f>
        <v>0</v>
      </c>
      <c r="AL612" s="11"/>
      <c r="AR612" s="140" t="str">
        <f>_xlfn.XLOOKUP(MasterTable[[#This Row],[Aircraft ID]],Aircraft!A:A,Aircraft!H:H)</f>
        <v>Airplane Single Engine Land</v>
      </c>
      <c r="AS612" s="8" t="b">
        <f>OR((SUM(MasterTable[[#This Row],[ILS]:[PAR]]) = MasterTable[[#This Row],[APPR]]))</f>
        <v>1</v>
      </c>
      <c r="AT612" s="8" t="b">
        <f>NOT(ISBLANK(MasterTable[[#This Row],[Total
Time]]))</f>
        <v>1</v>
      </c>
    </row>
    <row r="613" spans="4:46" ht="28.8" x14ac:dyDescent="0.3">
      <c r="D613" s="22">
        <v>44032</v>
      </c>
      <c r="E613" s="8" t="s">
        <v>60</v>
      </c>
      <c r="F613" s="8" t="s">
        <v>204</v>
      </c>
      <c r="G613" s="8" t="s">
        <v>204</v>
      </c>
      <c r="I613" s="10">
        <v>1</v>
      </c>
      <c r="J613" s="10">
        <v>1</v>
      </c>
      <c r="L613" s="10">
        <v>0</v>
      </c>
      <c r="M613" s="13">
        <v>0</v>
      </c>
      <c r="N613" s="13"/>
      <c r="O613" s="10">
        <v>1</v>
      </c>
      <c r="P613" s="10">
        <v>0</v>
      </c>
      <c r="Q613" s="14">
        <v>0</v>
      </c>
      <c r="R613" s="14">
        <v>0</v>
      </c>
      <c r="S613" s="10">
        <v>0</v>
      </c>
      <c r="T613" s="10">
        <v>0</v>
      </c>
      <c r="U613" s="14">
        <v>0</v>
      </c>
      <c r="V613" s="10"/>
      <c r="W613" s="11">
        <v>1</v>
      </c>
      <c r="X613" s="11">
        <v>1</v>
      </c>
      <c r="Y613" s="11">
        <v>0</v>
      </c>
      <c r="Z613" s="11">
        <v>0</v>
      </c>
      <c r="AA613" s="11">
        <f>MasterTable[[#This Row],[Landings
Night]]+MasterTable[[#This Row],[Landings
Day]]</f>
        <v>1</v>
      </c>
      <c r="AB613" s="10">
        <v>0</v>
      </c>
      <c r="AC613" s="10">
        <v>0</v>
      </c>
      <c r="AD613" s="11">
        <v>0</v>
      </c>
      <c r="AE613" s="21">
        <f>SUM(MasterTable[[#This Row],[ILS]:[PAR]])</f>
        <v>0</v>
      </c>
      <c r="AL613" s="11"/>
      <c r="AR613" s="140" t="str">
        <f>_xlfn.XLOOKUP(MasterTable[[#This Row],[Aircraft ID]],Aircraft!A:A,Aircraft!H:H)</f>
        <v>Airplane Single Engine Land</v>
      </c>
      <c r="AS613" s="8" t="b">
        <f>OR((SUM(MasterTable[[#This Row],[ILS]:[PAR]]) = MasterTable[[#This Row],[APPR]]))</f>
        <v>1</v>
      </c>
      <c r="AT613" s="8" t="b">
        <f>NOT(ISBLANK(MasterTable[[#This Row],[Total
Time]]))</f>
        <v>1</v>
      </c>
    </row>
    <row r="614" spans="4:46" ht="28.8" x14ac:dyDescent="0.3">
      <c r="D614" s="22">
        <v>44029</v>
      </c>
      <c r="E614" s="8" t="s">
        <v>60</v>
      </c>
      <c r="F614" s="8" t="s">
        <v>204</v>
      </c>
      <c r="G614" s="8" t="s">
        <v>204</v>
      </c>
      <c r="I614" s="10">
        <v>0.9</v>
      </c>
      <c r="J614" s="10">
        <v>0.9</v>
      </c>
      <c r="L614" s="10">
        <v>0</v>
      </c>
      <c r="M614" s="13">
        <v>0</v>
      </c>
      <c r="N614" s="13"/>
      <c r="O614" s="10">
        <v>0.9</v>
      </c>
      <c r="P614" s="10">
        <v>0</v>
      </c>
      <c r="Q614" s="14">
        <v>0</v>
      </c>
      <c r="R614" s="14">
        <v>0</v>
      </c>
      <c r="S614" s="10">
        <v>0</v>
      </c>
      <c r="T614" s="10">
        <v>0</v>
      </c>
      <c r="U614" s="14">
        <v>0</v>
      </c>
      <c r="V614" s="10"/>
      <c r="W614" s="11">
        <v>1</v>
      </c>
      <c r="X614" s="11">
        <v>1</v>
      </c>
      <c r="Y614" s="11">
        <v>0</v>
      </c>
      <c r="Z614" s="11">
        <v>0</v>
      </c>
      <c r="AA614" s="11">
        <f>MasterTable[[#This Row],[Landings
Night]]+MasterTable[[#This Row],[Landings
Day]]</f>
        <v>1</v>
      </c>
      <c r="AB614" s="10">
        <v>0</v>
      </c>
      <c r="AC614" s="10">
        <v>0</v>
      </c>
      <c r="AD614" s="11">
        <v>0</v>
      </c>
      <c r="AE614" s="21">
        <f>SUM(MasterTable[[#This Row],[ILS]:[PAR]])</f>
        <v>0</v>
      </c>
      <c r="AL614" s="11"/>
      <c r="AR614" s="140" t="str">
        <f>_xlfn.XLOOKUP(MasterTable[[#This Row],[Aircraft ID]],Aircraft!A:A,Aircraft!H:H)</f>
        <v>Airplane Single Engine Land</v>
      </c>
      <c r="AS614" s="8" t="b">
        <f>OR((SUM(MasterTable[[#This Row],[ILS]:[PAR]]) = MasterTable[[#This Row],[APPR]]))</f>
        <v>1</v>
      </c>
      <c r="AT614" s="8" t="b">
        <f>NOT(ISBLANK(MasterTable[[#This Row],[Total
Time]]))</f>
        <v>1</v>
      </c>
    </row>
    <row r="615" spans="4:46" ht="28.8" x14ac:dyDescent="0.3">
      <c r="D615" s="22">
        <v>44029</v>
      </c>
      <c r="E615" s="8" t="s">
        <v>60</v>
      </c>
      <c r="F615" s="8" t="s">
        <v>204</v>
      </c>
      <c r="G615" s="8" t="s">
        <v>204</v>
      </c>
      <c r="I615" s="10">
        <v>1.3</v>
      </c>
      <c r="J615" s="10">
        <v>1.3</v>
      </c>
      <c r="L615" s="10">
        <v>0</v>
      </c>
      <c r="M615" s="13">
        <v>0</v>
      </c>
      <c r="N615" s="13"/>
      <c r="O615" s="10">
        <v>1.3</v>
      </c>
      <c r="P615" s="10">
        <v>0</v>
      </c>
      <c r="Q615" s="14">
        <v>0</v>
      </c>
      <c r="R615" s="14">
        <v>0</v>
      </c>
      <c r="S615" s="10">
        <v>0</v>
      </c>
      <c r="T615" s="10">
        <v>0</v>
      </c>
      <c r="U615" s="14">
        <v>0</v>
      </c>
      <c r="V615" s="10"/>
      <c r="W615" s="11">
        <v>6</v>
      </c>
      <c r="X615" s="11">
        <v>6</v>
      </c>
      <c r="Y615" s="11">
        <v>0</v>
      </c>
      <c r="Z615" s="11">
        <v>0</v>
      </c>
      <c r="AA615" s="11">
        <f>MasterTable[[#This Row],[Landings
Night]]+MasterTable[[#This Row],[Landings
Day]]</f>
        <v>6</v>
      </c>
      <c r="AB615" s="10">
        <v>0</v>
      </c>
      <c r="AC615" s="10">
        <v>0</v>
      </c>
      <c r="AD615" s="11">
        <v>0</v>
      </c>
      <c r="AE615" s="21">
        <f>SUM(MasterTable[[#This Row],[ILS]:[PAR]])</f>
        <v>0</v>
      </c>
      <c r="AL615" s="11"/>
      <c r="AR615" s="140" t="str">
        <f>_xlfn.XLOOKUP(MasterTable[[#This Row],[Aircraft ID]],Aircraft!A:A,Aircraft!H:H)</f>
        <v>Airplane Single Engine Land</v>
      </c>
      <c r="AS615" s="8" t="b">
        <f>OR((SUM(MasterTable[[#This Row],[ILS]:[PAR]]) = MasterTable[[#This Row],[APPR]]))</f>
        <v>1</v>
      </c>
      <c r="AT615" s="8" t="b">
        <f>NOT(ISBLANK(MasterTable[[#This Row],[Total
Time]]))</f>
        <v>1</v>
      </c>
    </row>
    <row r="616" spans="4:46" ht="28.8" x14ac:dyDescent="0.3">
      <c r="D616" s="22">
        <v>44028</v>
      </c>
      <c r="E616" s="8" t="s">
        <v>60</v>
      </c>
      <c r="F616" s="8" t="s">
        <v>204</v>
      </c>
      <c r="G616" s="8" t="s">
        <v>204</v>
      </c>
      <c r="I616" s="10">
        <v>0.7</v>
      </c>
      <c r="J616" s="10">
        <v>0.7</v>
      </c>
      <c r="L616" s="10">
        <v>0</v>
      </c>
      <c r="M616" s="13">
        <v>0</v>
      </c>
      <c r="N616" s="13"/>
      <c r="O616" s="10">
        <v>0.7</v>
      </c>
      <c r="P616" s="10">
        <v>0</v>
      </c>
      <c r="Q616" s="14">
        <v>0</v>
      </c>
      <c r="R616" s="14">
        <v>0</v>
      </c>
      <c r="S616" s="10">
        <v>0</v>
      </c>
      <c r="T616" s="10">
        <v>0</v>
      </c>
      <c r="U616" s="14">
        <v>0</v>
      </c>
      <c r="V616" s="10"/>
      <c r="W616" s="11">
        <v>1</v>
      </c>
      <c r="X616" s="11">
        <v>1</v>
      </c>
      <c r="Y616" s="11">
        <v>0</v>
      </c>
      <c r="Z616" s="11">
        <v>0</v>
      </c>
      <c r="AA616" s="11">
        <f>MasterTable[[#This Row],[Landings
Night]]+MasterTable[[#This Row],[Landings
Day]]</f>
        <v>1</v>
      </c>
      <c r="AB616" s="10">
        <v>0</v>
      </c>
      <c r="AC616" s="10">
        <v>0</v>
      </c>
      <c r="AD616" s="11">
        <v>0</v>
      </c>
      <c r="AE616" s="21">
        <f>SUM(MasterTable[[#This Row],[ILS]:[PAR]])</f>
        <v>0</v>
      </c>
      <c r="AL616" s="11"/>
      <c r="AR616" s="140" t="str">
        <f>_xlfn.XLOOKUP(MasterTable[[#This Row],[Aircraft ID]],Aircraft!A:A,Aircraft!H:H)</f>
        <v>Airplane Single Engine Land</v>
      </c>
      <c r="AS616" s="8" t="b">
        <f>OR((SUM(MasterTable[[#This Row],[ILS]:[PAR]]) = MasterTable[[#This Row],[APPR]]))</f>
        <v>1</v>
      </c>
      <c r="AT616" s="8" t="b">
        <f>NOT(ISBLANK(MasterTable[[#This Row],[Total
Time]]))</f>
        <v>1</v>
      </c>
    </row>
    <row r="617" spans="4:46" ht="28.8" x14ac:dyDescent="0.3">
      <c r="D617" s="22">
        <v>44028</v>
      </c>
      <c r="E617" s="8" t="s">
        <v>60</v>
      </c>
      <c r="F617" s="8" t="s">
        <v>204</v>
      </c>
      <c r="G617" s="8" t="s">
        <v>204</v>
      </c>
      <c r="I617" s="10">
        <v>0.9</v>
      </c>
      <c r="J617" s="10">
        <v>0.9</v>
      </c>
      <c r="L617" s="10">
        <v>0</v>
      </c>
      <c r="M617" s="13">
        <v>0</v>
      </c>
      <c r="N617" s="13"/>
      <c r="O617" s="10">
        <v>0.9</v>
      </c>
      <c r="P617" s="10">
        <v>0</v>
      </c>
      <c r="Q617" s="14">
        <v>0</v>
      </c>
      <c r="R617" s="14">
        <v>0</v>
      </c>
      <c r="S617" s="10">
        <v>0</v>
      </c>
      <c r="T617" s="10">
        <v>0</v>
      </c>
      <c r="U617" s="14">
        <v>0</v>
      </c>
      <c r="V617" s="10"/>
      <c r="W617" s="11">
        <v>5</v>
      </c>
      <c r="X617" s="11">
        <v>5</v>
      </c>
      <c r="Y617" s="11">
        <v>0</v>
      </c>
      <c r="Z617" s="11">
        <v>0</v>
      </c>
      <c r="AA617" s="11">
        <f>MasterTable[[#This Row],[Landings
Night]]+MasterTable[[#This Row],[Landings
Day]]</f>
        <v>5</v>
      </c>
      <c r="AB617" s="10">
        <v>0</v>
      </c>
      <c r="AC617" s="10">
        <v>0</v>
      </c>
      <c r="AD617" s="11">
        <v>0</v>
      </c>
      <c r="AE617" s="21">
        <f>SUM(MasterTable[[#This Row],[ILS]:[PAR]])</f>
        <v>0</v>
      </c>
      <c r="AL617" s="11"/>
      <c r="AR617" s="140" t="str">
        <f>_xlfn.XLOOKUP(MasterTable[[#This Row],[Aircraft ID]],Aircraft!A:A,Aircraft!H:H)</f>
        <v>Airplane Single Engine Land</v>
      </c>
      <c r="AS617" s="8" t="b">
        <f>OR((SUM(MasterTable[[#This Row],[ILS]:[PAR]]) = MasterTable[[#This Row],[APPR]]))</f>
        <v>1</v>
      </c>
      <c r="AT617" s="8" t="b">
        <f>NOT(ISBLANK(MasterTable[[#This Row],[Total
Time]]))</f>
        <v>1</v>
      </c>
    </row>
    <row r="618" spans="4:46" ht="28.8" x14ac:dyDescent="0.3">
      <c r="D618" s="22">
        <v>44026</v>
      </c>
      <c r="E618" s="8" t="s">
        <v>60</v>
      </c>
      <c r="F618" s="8" t="s">
        <v>204</v>
      </c>
      <c r="G618" s="8" t="s">
        <v>214</v>
      </c>
      <c r="I618" s="10">
        <v>1.5</v>
      </c>
      <c r="J618" s="10">
        <v>1.5</v>
      </c>
      <c r="L618" s="10">
        <v>0</v>
      </c>
      <c r="M618" s="13">
        <v>0</v>
      </c>
      <c r="N618" s="13"/>
      <c r="O618" s="10">
        <v>1.5</v>
      </c>
      <c r="P618" s="10">
        <v>0</v>
      </c>
      <c r="Q618" s="14">
        <v>0</v>
      </c>
      <c r="R618" s="14">
        <v>0</v>
      </c>
      <c r="S618" s="10">
        <v>0</v>
      </c>
      <c r="T618" s="10">
        <v>0</v>
      </c>
      <c r="U618" s="14">
        <v>0</v>
      </c>
      <c r="V618" s="10"/>
      <c r="W618" s="11">
        <v>5</v>
      </c>
      <c r="X618" s="11">
        <v>5</v>
      </c>
      <c r="Y618" s="11">
        <v>0</v>
      </c>
      <c r="Z618" s="11">
        <v>0</v>
      </c>
      <c r="AA618" s="11">
        <f>MasterTable[[#This Row],[Landings
Night]]+MasterTable[[#This Row],[Landings
Day]]</f>
        <v>5</v>
      </c>
      <c r="AB618" s="10">
        <v>0</v>
      </c>
      <c r="AC618" s="10">
        <v>0</v>
      </c>
      <c r="AD618" s="11">
        <v>0</v>
      </c>
      <c r="AE618" s="21">
        <f>SUM(MasterTable[[#This Row],[ILS]:[PAR]])</f>
        <v>0</v>
      </c>
      <c r="AL618" s="11"/>
      <c r="AR618" s="140" t="str">
        <f>_xlfn.XLOOKUP(MasterTable[[#This Row],[Aircraft ID]],Aircraft!A:A,Aircraft!H:H)</f>
        <v>Airplane Single Engine Land</v>
      </c>
      <c r="AS618" s="8" t="b">
        <f>OR((SUM(MasterTable[[#This Row],[ILS]:[PAR]]) = MasterTable[[#This Row],[APPR]]))</f>
        <v>1</v>
      </c>
      <c r="AT618" s="8" t="b">
        <f>NOT(ISBLANK(MasterTable[[#This Row],[Total
Time]]))</f>
        <v>1</v>
      </c>
    </row>
    <row r="619" spans="4:46" ht="28.8" x14ac:dyDescent="0.3">
      <c r="D619" s="22">
        <v>44024</v>
      </c>
      <c r="E619" s="8" t="s">
        <v>121</v>
      </c>
      <c r="F619" s="8" t="s">
        <v>204</v>
      </c>
      <c r="G619" s="8" t="s">
        <v>233</v>
      </c>
      <c r="I619" s="10">
        <v>2.2000000000000002</v>
      </c>
      <c r="J619" s="10">
        <v>2.2000000000000002</v>
      </c>
      <c r="L619" s="10">
        <v>0</v>
      </c>
      <c r="M619" s="13">
        <v>0</v>
      </c>
      <c r="N619" s="13"/>
      <c r="O619" s="10">
        <v>2.2000000000000002</v>
      </c>
      <c r="P619" s="10">
        <v>0</v>
      </c>
      <c r="Q619" s="14">
        <v>0</v>
      </c>
      <c r="R619" s="14">
        <v>0</v>
      </c>
      <c r="S619" s="10">
        <v>0</v>
      </c>
      <c r="T619" s="10">
        <v>2.2000000000000002</v>
      </c>
      <c r="U619" s="14">
        <v>0</v>
      </c>
      <c r="V619" s="10"/>
      <c r="W619" s="11">
        <v>2</v>
      </c>
      <c r="X619" s="11">
        <v>2</v>
      </c>
      <c r="Y619" s="11">
        <v>0</v>
      </c>
      <c r="Z619" s="11">
        <v>0</v>
      </c>
      <c r="AA619" s="11">
        <f>MasterTable[[#This Row],[Landings
Night]]+MasterTable[[#This Row],[Landings
Day]]</f>
        <v>2</v>
      </c>
      <c r="AB619" s="10">
        <v>0</v>
      </c>
      <c r="AC619" s="10">
        <v>0</v>
      </c>
      <c r="AD619" s="11">
        <v>0</v>
      </c>
      <c r="AE619" s="21">
        <f>SUM(MasterTable[[#This Row],[ILS]:[PAR]])</f>
        <v>0</v>
      </c>
      <c r="AL619" s="11"/>
      <c r="AR619" s="140" t="str">
        <f>_xlfn.XLOOKUP(MasterTable[[#This Row],[Aircraft ID]],Aircraft!A:A,Aircraft!H:H)</f>
        <v>Airplane Single Engine Land</v>
      </c>
      <c r="AS619" s="8" t="b">
        <f>OR((SUM(MasterTable[[#This Row],[ILS]:[PAR]]) = MasterTable[[#This Row],[APPR]]))</f>
        <v>1</v>
      </c>
      <c r="AT619" s="8" t="b">
        <f>NOT(ISBLANK(MasterTable[[#This Row],[Total
Time]]))</f>
        <v>1</v>
      </c>
    </row>
    <row r="620" spans="4:46" ht="28.8" x14ac:dyDescent="0.3">
      <c r="D620" s="22">
        <v>44018</v>
      </c>
      <c r="E620" s="8" t="s">
        <v>50</v>
      </c>
      <c r="F620" s="8" t="s">
        <v>202</v>
      </c>
      <c r="G620" s="8" t="s">
        <v>270</v>
      </c>
      <c r="I620" s="10">
        <v>1.8</v>
      </c>
      <c r="J620" s="10">
        <v>0</v>
      </c>
      <c r="L620" s="10">
        <v>1.8</v>
      </c>
      <c r="M620" s="13">
        <v>0</v>
      </c>
      <c r="N620" s="13"/>
      <c r="O620" s="10">
        <v>0</v>
      </c>
      <c r="P620" s="10">
        <v>0</v>
      </c>
      <c r="Q620" s="14">
        <v>0</v>
      </c>
      <c r="R620" s="14">
        <v>0</v>
      </c>
      <c r="S620" s="10">
        <v>0</v>
      </c>
      <c r="T620" s="10">
        <v>1.8</v>
      </c>
      <c r="U620" s="14">
        <v>0</v>
      </c>
      <c r="V620" s="10"/>
      <c r="W620" s="11">
        <v>2</v>
      </c>
      <c r="X620" s="11">
        <v>2</v>
      </c>
      <c r="Y620" s="11">
        <v>0</v>
      </c>
      <c r="Z620" s="11">
        <v>0</v>
      </c>
      <c r="AA620" s="11">
        <f>MasterTable[[#This Row],[Landings
Night]]+MasterTable[[#This Row],[Landings
Day]]</f>
        <v>2</v>
      </c>
      <c r="AB620" s="10">
        <v>0</v>
      </c>
      <c r="AC620" s="10">
        <v>0</v>
      </c>
      <c r="AD620" s="11">
        <v>0</v>
      </c>
      <c r="AE620" s="21">
        <f>SUM(MasterTable[[#This Row],[ILS]:[PAR]])</f>
        <v>0</v>
      </c>
      <c r="AL620" s="11"/>
      <c r="AR620" s="140" t="str">
        <f>_xlfn.XLOOKUP(MasterTable[[#This Row],[Aircraft ID]],Aircraft!A:A,Aircraft!H:H)</f>
        <v>Airplane Multi Engine Land</v>
      </c>
      <c r="AS620" s="8" t="b">
        <f>OR((SUM(MasterTable[[#This Row],[ILS]:[PAR]]) = MasterTable[[#This Row],[APPR]]))</f>
        <v>1</v>
      </c>
      <c r="AT620" s="8" t="b">
        <f>NOT(ISBLANK(MasterTable[[#This Row],[Total
Time]]))</f>
        <v>1</v>
      </c>
    </row>
    <row r="621" spans="4:46" ht="28.8" x14ac:dyDescent="0.3">
      <c r="D621" s="22">
        <v>44018</v>
      </c>
      <c r="E621" s="8" t="s">
        <v>174</v>
      </c>
      <c r="F621" s="8" t="s">
        <v>202</v>
      </c>
      <c r="G621" s="8" t="s">
        <v>202</v>
      </c>
      <c r="I621" s="10">
        <v>1.4</v>
      </c>
      <c r="J621" s="10">
        <v>1.4</v>
      </c>
      <c r="L621" s="10">
        <v>0</v>
      </c>
      <c r="M621" s="13">
        <v>0</v>
      </c>
      <c r="N621" s="13"/>
      <c r="O621" s="10">
        <v>0</v>
      </c>
      <c r="P621" s="10">
        <v>0</v>
      </c>
      <c r="Q621" s="14">
        <v>0</v>
      </c>
      <c r="R621" s="14">
        <v>0</v>
      </c>
      <c r="S621" s="10">
        <v>0</v>
      </c>
      <c r="T621" s="10">
        <v>0</v>
      </c>
      <c r="U621" s="14">
        <v>0</v>
      </c>
      <c r="V621" s="10"/>
      <c r="W621" s="11">
        <v>1</v>
      </c>
      <c r="X621" s="11">
        <v>1</v>
      </c>
      <c r="Y621" s="11">
        <v>0</v>
      </c>
      <c r="Z621" s="11">
        <v>0</v>
      </c>
      <c r="AA621" s="11">
        <f>MasterTable[[#This Row],[Landings
Night]]+MasterTable[[#This Row],[Landings
Day]]</f>
        <v>1</v>
      </c>
      <c r="AB621" s="10">
        <v>0</v>
      </c>
      <c r="AC621" s="10">
        <v>0</v>
      </c>
      <c r="AD621" s="11">
        <v>0</v>
      </c>
      <c r="AE621" s="21">
        <f>SUM(MasterTable[[#This Row],[ILS]:[PAR]])</f>
        <v>0</v>
      </c>
      <c r="AL621" s="11"/>
      <c r="AR621" s="140" t="str">
        <f>_xlfn.XLOOKUP(MasterTable[[#This Row],[Aircraft ID]],Aircraft!A:A,Aircraft!H:H)</f>
        <v>Airplane Single Engine Land</v>
      </c>
      <c r="AS621" s="8" t="b">
        <f>OR((SUM(MasterTable[[#This Row],[ILS]:[PAR]]) = MasterTable[[#This Row],[APPR]]))</f>
        <v>1</v>
      </c>
      <c r="AT621" s="8" t="b">
        <f>NOT(ISBLANK(MasterTable[[#This Row],[Total
Time]]))</f>
        <v>1</v>
      </c>
    </row>
    <row r="622" spans="4:46" ht="28.8" x14ac:dyDescent="0.3">
      <c r="D622" s="22">
        <v>44015</v>
      </c>
      <c r="E622" s="8" t="s">
        <v>121</v>
      </c>
      <c r="F622" s="8" t="s">
        <v>204</v>
      </c>
      <c r="G622" s="8" t="s">
        <v>204</v>
      </c>
      <c r="I622" s="10">
        <v>1.3</v>
      </c>
      <c r="J622" s="10">
        <v>1.3</v>
      </c>
      <c r="L622" s="10">
        <v>0</v>
      </c>
      <c r="M622" s="13">
        <v>0</v>
      </c>
      <c r="N622" s="13"/>
      <c r="O622" s="10">
        <v>1.3</v>
      </c>
      <c r="P622" s="10">
        <v>0</v>
      </c>
      <c r="Q622" s="14">
        <v>0</v>
      </c>
      <c r="R622" s="14">
        <v>0</v>
      </c>
      <c r="S622" s="10">
        <v>0</v>
      </c>
      <c r="T622" s="10">
        <v>0</v>
      </c>
      <c r="U622" s="14">
        <v>0</v>
      </c>
      <c r="V622" s="10"/>
      <c r="W622" s="11">
        <v>3</v>
      </c>
      <c r="X622" s="11">
        <v>3</v>
      </c>
      <c r="Y622" s="11">
        <v>0</v>
      </c>
      <c r="Z622" s="11">
        <v>0</v>
      </c>
      <c r="AA622" s="11">
        <f>MasterTable[[#This Row],[Landings
Night]]+MasterTable[[#This Row],[Landings
Day]]</f>
        <v>3</v>
      </c>
      <c r="AB622" s="10">
        <v>0</v>
      </c>
      <c r="AC622" s="10">
        <v>0</v>
      </c>
      <c r="AD622" s="11">
        <v>0</v>
      </c>
      <c r="AE622" s="21">
        <f>SUM(MasterTable[[#This Row],[ILS]:[PAR]])</f>
        <v>0</v>
      </c>
      <c r="AL622" s="11"/>
      <c r="AR622" s="140" t="str">
        <f>_xlfn.XLOOKUP(MasterTable[[#This Row],[Aircraft ID]],Aircraft!A:A,Aircraft!H:H)</f>
        <v>Airplane Single Engine Land</v>
      </c>
      <c r="AS622" s="8" t="b">
        <f>OR((SUM(MasterTable[[#This Row],[ILS]:[PAR]]) = MasterTable[[#This Row],[APPR]]))</f>
        <v>1</v>
      </c>
      <c r="AT622" s="8" t="b">
        <f>NOT(ISBLANK(MasterTable[[#This Row],[Total
Time]]))</f>
        <v>1</v>
      </c>
    </row>
    <row r="623" spans="4:46" ht="28.8" x14ac:dyDescent="0.3">
      <c r="D623" s="22">
        <v>44015</v>
      </c>
      <c r="E623" s="8" t="s">
        <v>60</v>
      </c>
      <c r="F623" s="8" t="s">
        <v>204</v>
      </c>
      <c r="G623" s="8" t="s">
        <v>204</v>
      </c>
      <c r="I623" s="10">
        <v>1.1000000000000001</v>
      </c>
      <c r="J623" s="10">
        <v>1.1000000000000001</v>
      </c>
      <c r="L623" s="10">
        <v>0</v>
      </c>
      <c r="M623" s="13">
        <v>0</v>
      </c>
      <c r="N623" s="13"/>
      <c r="O623" s="10">
        <v>1.1000000000000001</v>
      </c>
      <c r="P623" s="10">
        <v>0</v>
      </c>
      <c r="Q623" s="14">
        <v>0</v>
      </c>
      <c r="R623" s="14">
        <v>0</v>
      </c>
      <c r="S623" s="10">
        <v>0</v>
      </c>
      <c r="T623" s="10">
        <v>0</v>
      </c>
      <c r="U623" s="14">
        <v>0</v>
      </c>
      <c r="V623" s="10"/>
      <c r="W623" s="11">
        <v>1</v>
      </c>
      <c r="X623" s="11">
        <v>1</v>
      </c>
      <c r="Y623" s="11">
        <v>0</v>
      </c>
      <c r="Z623" s="11">
        <v>0</v>
      </c>
      <c r="AA623" s="11">
        <f>MasterTable[[#This Row],[Landings
Night]]+MasterTable[[#This Row],[Landings
Day]]</f>
        <v>1</v>
      </c>
      <c r="AB623" s="10">
        <v>0</v>
      </c>
      <c r="AC623" s="10">
        <v>0</v>
      </c>
      <c r="AD623" s="11">
        <v>0</v>
      </c>
      <c r="AE623" s="21">
        <f>SUM(MasterTable[[#This Row],[ILS]:[PAR]])</f>
        <v>0</v>
      </c>
      <c r="AL623" s="11"/>
      <c r="AR623" s="140" t="str">
        <f>_xlfn.XLOOKUP(MasterTable[[#This Row],[Aircraft ID]],Aircraft!A:A,Aircraft!H:H)</f>
        <v>Airplane Single Engine Land</v>
      </c>
      <c r="AS623" s="8" t="b">
        <f>OR((SUM(MasterTable[[#This Row],[ILS]:[PAR]]) = MasterTable[[#This Row],[APPR]]))</f>
        <v>1</v>
      </c>
      <c r="AT623" s="8" t="b">
        <f>NOT(ISBLANK(MasterTable[[#This Row],[Total
Time]]))</f>
        <v>1</v>
      </c>
    </row>
    <row r="624" spans="4:46" ht="28.8" x14ac:dyDescent="0.3">
      <c r="D624" s="22">
        <v>44011</v>
      </c>
      <c r="E624" s="8" t="s">
        <v>60</v>
      </c>
      <c r="F624" s="8" t="s">
        <v>204</v>
      </c>
      <c r="G624" s="8" t="s">
        <v>204</v>
      </c>
      <c r="I624" s="10">
        <v>1</v>
      </c>
      <c r="J624" s="10">
        <v>1</v>
      </c>
      <c r="L624" s="10">
        <v>0</v>
      </c>
      <c r="M624" s="13">
        <v>0</v>
      </c>
      <c r="N624" s="13"/>
      <c r="O624" s="10">
        <v>1</v>
      </c>
      <c r="P624" s="10">
        <v>0</v>
      </c>
      <c r="Q624" s="14">
        <v>0</v>
      </c>
      <c r="R624" s="14">
        <v>0</v>
      </c>
      <c r="S624" s="10">
        <v>0</v>
      </c>
      <c r="T624" s="10">
        <v>0</v>
      </c>
      <c r="U624" s="14">
        <v>0</v>
      </c>
      <c r="V624" s="10"/>
      <c r="W624" s="11">
        <v>1</v>
      </c>
      <c r="X624" s="11">
        <v>1</v>
      </c>
      <c r="Y624" s="11">
        <v>0</v>
      </c>
      <c r="Z624" s="11">
        <v>0</v>
      </c>
      <c r="AA624" s="11">
        <f>MasterTable[[#This Row],[Landings
Night]]+MasterTable[[#This Row],[Landings
Day]]</f>
        <v>1</v>
      </c>
      <c r="AB624" s="10">
        <v>0</v>
      </c>
      <c r="AC624" s="10">
        <v>0</v>
      </c>
      <c r="AD624" s="11">
        <v>0</v>
      </c>
      <c r="AE624" s="21">
        <f>SUM(MasterTable[[#This Row],[ILS]:[PAR]])</f>
        <v>0</v>
      </c>
      <c r="AL624" s="11"/>
      <c r="AR624" s="140" t="str">
        <f>_xlfn.XLOOKUP(MasterTable[[#This Row],[Aircraft ID]],Aircraft!A:A,Aircraft!H:H)</f>
        <v>Airplane Single Engine Land</v>
      </c>
      <c r="AS624" s="8" t="b">
        <f>OR((SUM(MasterTable[[#This Row],[ILS]:[PAR]]) = MasterTable[[#This Row],[APPR]]))</f>
        <v>1</v>
      </c>
      <c r="AT624" s="8" t="b">
        <f>NOT(ISBLANK(MasterTable[[#This Row],[Total
Time]]))</f>
        <v>1</v>
      </c>
    </row>
    <row r="625" spans="4:46" ht="28.8" x14ac:dyDescent="0.3">
      <c r="D625" s="22">
        <v>44009</v>
      </c>
      <c r="E625" s="8" t="s">
        <v>75</v>
      </c>
      <c r="F625" s="8" t="s">
        <v>204</v>
      </c>
      <c r="G625" s="8" t="s">
        <v>204</v>
      </c>
      <c r="I625" s="10">
        <v>1.2</v>
      </c>
      <c r="J625" s="10">
        <v>1.2</v>
      </c>
      <c r="L625" s="10">
        <v>0</v>
      </c>
      <c r="M625" s="13">
        <v>0</v>
      </c>
      <c r="N625" s="13"/>
      <c r="O625" s="10">
        <v>1.2</v>
      </c>
      <c r="P625" s="10">
        <v>0</v>
      </c>
      <c r="Q625" s="14">
        <v>0</v>
      </c>
      <c r="R625" s="14">
        <v>0</v>
      </c>
      <c r="S625" s="10">
        <v>0</v>
      </c>
      <c r="T625" s="10">
        <v>0</v>
      </c>
      <c r="U625" s="14">
        <v>0</v>
      </c>
      <c r="V625" s="10"/>
      <c r="W625" s="11">
        <v>1</v>
      </c>
      <c r="X625" s="11">
        <v>1</v>
      </c>
      <c r="Y625" s="11">
        <v>0</v>
      </c>
      <c r="Z625" s="11">
        <v>0</v>
      </c>
      <c r="AA625" s="11">
        <f>MasterTable[[#This Row],[Landings
Night]]+MasterTable[[#This Row],[Landings
Day]]</f>
        <v>1</v>
      </c>
      <c r="AB625" s="10">
        <v>0</v>
      </c>
      <c r="AC625" s="10">
        <v>0</v>
      </c>
      <c r="AD625" s="11">
        <v>0</v>
      </c>
      <c r="AE625" s="21">
        <f>SUM(MasterTable[[#This Row],[ILS]:[PAR]])</f>
        <v>0</v>
      </c>
      <c r="AL625" s="11"/>
      <c r="AR625" s="140" t="str">
        <f>_xlfn.XLOOKUP(MasterTable[[#This Row],[Aircraft ID]],Aircraft!A:A,Aircraft!H:H)</f>
        <v>Airplane Single Engine Land</v>
      </c>
      <c r="AS625" s="8" t="b">
        <f>OR((SUM(MasterTable[[#This Row],[ILS]:[PAR]]) = MasterTable[[#This Row],[APPR]]))</f>
        <v>1</v>
      </c>
      <c r="AT625" s="8" t="b">
        <f>NOT(ISBLANK(MasterTable[[#This Row],[Total
Time]]))</f>
        <v>1</v>
      </c>
    </row>
    <row r="626" spans="4:46" ht="28.8" x14ac:dyDescent="0.3">
      <c r="D626" s="22">
        <v>44006</v>
      </c>
      <c r="E626" s="8" t="s">
        <v>75</v>
      </c>
      <c r="F626" s="8" t="s">
        <v>204</v>
      </c>
      <c r="G626" s="8" t="s">
        <v>258</v>
      </c>
      <c r="I626" s="10">
        <v>1.5</v>
      </c>
      <c r="J626" s="10">
        <v>1.5</v>
      </c>
      <c r="L626" s="10">
        <v>0</v>
      </c>
      <c r="M626" s="13">
        <v>0</v>
      </c>
      <c r="N626" s="13"/>
      <c r="O626" s="10">
        <v>1.5</v>
      </c>
      <c r="P626" s="10">
        <v>0</v>
      </c>
      <c r="Q626" s="14">
        <v>0</v>
      </c>
      <c r="R626" s="14">
        <v>0</v>
      </c>
      <c r="S626" s="10">
        <v>0</v>
      </c>
      <c r="T626" s="10">
        <v>0</v>
      </c>
      <c r="U626" s="14">
        <v>0</v>
      </c>
      <c r="V626" s="10"/>
      <c r="W626" s="11">
        <v>6</v>
      </c>
      <c r="X626" s="11">
        <v>6</v>
      </c>
      <c r="Y626" s="11">
        <v>0</v>
      </c>
      <c r="Z626" s="11">
        <v>0</v>
      </c>
      <c r="AA626" s="11">
        <f>MasterTable[[#This Row],[Landings
Night]]+MasterTable[[#This Row],[Landings
Day]]</f>
        <v>6</v>
      </c>
      <c r="AB626" s="10">
        <v>0</v>
      </c>
      <c r="AC626" s="10">
        <v>0</v>
      </c>
      <c r="AD626" s="11">
        <v>0</v>
      </c>
      <c r="AE626" s="21">
        <f>SUM(MasterTable[[#This Row],[ILS]:[PAR]])</f>
        <v>0</v>
      </c>
      <c r="AL626" s="11"/>
      <c r="AR626" s="140" t="str">
        <f>_xlfn.XLOOKUP(MasterTable[[#This Row],[Aircraft ID]],Aircraft!A:A,Aircraft!H:H)</f>
        <v>Airplane Single Engine Land</v>
      </c>
      <c r="AS626" s="8" t="b">
        <f>OR((SUM(MasterTable[[#This Row],[ILS]:[PAR]]) = MasterTable[[#This Row],[APPR]]))</f>
        <v>1</v>
      </c>
      <c r="AT626" s="8" t="b">
        <f>NOT(ISBLANK(MasterTable[[#This Row],[Total
Time]]))</f>
        <v>1</v>
      </c>
    </row>
    <row r="627" spans="4:46" ht="28.8" x14ac:dyDescent="0.3">
      <c r="D627" s="22">
        <v>44005</v>
      </c>
      <c r="E627" s="8" t="s">
        <v>75</v>
      </c>
      <c r="F627" s="8" t="s">
        <v>204</v>
      </c>
      <c r="G627" s="8" t="s">
        <v>260</v>
      </c>
      <c r="I627" s="10">
        <v>2.2999999999999998</v>
      </c>
      <c r="J627" s="10">
        <v>2.2999999999999998</v>
      </c>
      <c r="L627" s="10">
        <v>0</v>
      </c>
      <c r="M627" s="13">
        <v>0</v>
      </c>
      <c r="N627" s="13"/>
      <c r="O627" s="10">
        <v>2.2999999999999998</v>
      </c>
      <c r="P627" s="10">
        <v>0</v>
      </c>
      <c r="Q627" s="14">
        <v>0</v>
      </c>
      <c r="R627" s="14">
        <v>0</v>
      </c>
      <c r="S627" s="10">
        <v>0</v>
      </c>
      <c r="T627" s="10">
        <v>2.2999999999999998</v>
      </c>
      <c r="U627" s="14">
        <v>0</v>
      </c>
      <c r="V627" s="10"/>
      <c r="W627" s="11">
        <v>2</v>
      </c>
      <c r="X627" s="11">
        <v>2</v>
      </c>
      <c r="Y627" s="11">
        <v>0</v>
      </c>
      <c r="Z627" s="11">
        <v>0</v>
      </c>
      <c r="AA627" s="11">
        <f>MasterTable[[#This Row],[Landings
Night]]+MasterTable[[#This Row],[Landings
Day]]</f>
        <v>2</v>
      </c>
      <c r="AB627" s="10">
        <v>0</v>
      </c>
      <c r="AC627" s="10">
        <v>0</v>
      </c>
      <c r="AD627" s="11">
        <v>0</v>
      </c>
      <c r="AE627" s="21">
        <f>SUM(MasterTable[[#This Row],[ILS]:[PAR]])</f>
        <v>0</v>
      </c>
      <c r="AL627" s="11"/>
      <c r="AR627" s="140" t="str">
        <f>_xlfn.XLOOKUP(MasterTable[[#This Row],[Aircraft ID]],Aircraft!A:A,Aircraft!H:H)</f>
        <v>Airplane Single Engine Land</v>
      </c>
      <c r="AS627" s="8" t="b">
        <f>OR((SUM(MasterTable[[#This Row],[ILS]:[PAR]]) = MasterTable[[#This Row],[APPR]]))</f>
        <v>1</v>
      </c>
      <c r="AT627" s="8" t="b">
        <f>NOT(ISBLANK(MasterTable[[#This Row],[Total
Time]]))</f>
        <v>1</v>
      </c>
    </row>
    <row r="628" spans="4:46" ht="28.8" x14ac:dyDescent="0.3">
      <c r="D628" s="22">
        <v>44004</v>
      </c>
      <c r="E628" s="8" t="s">
        <v>60</v>
      </c>
      <c r="F628" s="8" t="s">
        <v>204</v>
      </c>
      <c r="G628" s="8" t="s">
        <v>204</v>
      </c>
      <c r="I628" s="10">
        <v>0.6</v>
      </c>
      <c r="J628" s="10">
        <v>0.6</v>
      </c>
      <c r="L628" s="10">
        <v>0</v>
      </c>
      <c r="M628" s="13">
        <v>0</v>
      </c>
      <c r="N628" s="13"/>
      <c r="O628" s="10">
        <v>0.6</v>
      </c>
      <c r="P628" s="10">
        <v>0</v>
      </c>
      <c r="Q628" s="14">
        <v>0</v>
      </c>
      <c r="R628" s="14">
        <v>0</v>
      </c>
      <c r="S628" s="10">
        <v>0</v>
      </c>
      <c r="T628" s="10">
        <v>0</v>
      </c>
      <c r="U628" s="14">
        <v>0</v>
      </c>
      <c r="V628" s="10"/>
      <c r="W628" s="11">
        <v>4</v>
      </c>
      <c r="X628" s="11">
        <v>4</v>
      </c>
      <c r="Y628" s="11">
        <v>0</v>
      </c>
      <c r="Z628" s="11">
        <v>0</v>
      </c>
      <c r="AA628" s="11">
        <f>MasterTable[[#This Row],[Landings
Night]]+MasterTable[[#This Row],[Landings
Day]]</f>
        <v>4</v>
      </c>
      <c r="AB628" s="10">
        <v>0</v>
      </c>
      <c r="AC628" s="10">
        <v>0</v>
      </c>
      <c r="AD628" s="11">
        <v>0</v>
      </c>
      <c r="AE628" s="21">
        <f>SUM(MasterTable[[#This Row],[ILS]:[PAR]])</f>
        <v>0</v>
      </c>
      <c r="AL628" s="11"/>
      <c r="AR628" s="140" t="str">
        <f>_xlfn.XLOOKUP(MasterTable[[#This Row],[Aircraft ID]],Aircraft!A:A,Aircraft!H:H)</f>
        <v>Airplane Single Engine Land</v>
      </c>
      <c r="AS628" s="8" t="b">
        <f>OR((SUM(MasterTable[[#This Row],[ILS]:[PAR]]) = MasterTable[[#This Row],[APPR]]))</f>
        <v>1</v>
      </c>
      <c r="AT628" s="8" t="b">
        <f>NOT(ISBLANK(MasterTable[[#This Row],[Total
Time]]))</f>
        <v>1</v>
      </c>
    </row>
    <row r="629" spans="4:46" ht="28.8" x14ac:dyDescent="0.3">
      <c r="D629" s="22">
        <v>44003</v>
      </c>
      <c r="E629" s="8" t="s">
        <v>174</v>
      </c>
      <c r="F629" s="8" t="s">
        <v>202</v>
      </c>
      <c r="G629" s="8" t="s">
        <v>202</v>
      </c>
      <c r="I629" s="10">
        <v>1.2</v>
      </c>
      <c r="J629" s="10">
        <v>1.2</v>
      </c>
      <c r="L629" s="10">
        <v>0</v>
      </c>
      <c r="M629" s="13">
        <v>0</v>
      </c>
      <c r="N629" s="13"/>
      <c r="O629" s="10">
        <v>0</v>
      </c>
      <c r="P629" s="10">
        <v>0</v>
      </c>
      <c r="Q629" s="14">
        <v>0</v>
      </c>
      <c r="R629" s="14">
        <v>0</v>
      </c>
      <c r="S629" s="10">
        <v>0</v>
      </c>
      <c r="T629" s="10">
        <v>0</v>
      </c>
      <c r="U629" s="14">
        <v>0</v>
      </c>
      <c r="V629" s="10"/>
      <c r="W629" s="11">
        <v>1</v>
      </c>
      <c r="X629" s="11">
        <v>1</v>
      </c>
      <c r="Y629" s="11">
        <v>0</v>
      </c>
      <c r="Z629" s="11">
        <v>0</v>
      </c>
      <c r="AA629" s="11">
        <f>MasterTable[[#This Row],[Landings
Night]]+MasterTable[[#This Row],[Landings
Day]]</f>
        <v>1</v>
      </c>
      <c r="AB629" s="10">
        <v>0</v>
      </c>
      <c r="AC629" s="10">
        <v>0</v>
      </c>
      <c r="AD629" s="11">
        <v>0</v>
      </c>
      <c r="AE629" s="21">
        <f>SUM(MasterTable[[#This Row],[ILS]:[PAR]])</f>
        <v>0</v>
      </c>
      <c r="AL629" s="11"/>
      <c r="AR629" s="140" t="str">
        <f>_xlfn.XLOOKUP(MasterTable[[#This Row],[Aircraft ID]],Aircraft!A:A,Aircraft!H:H)</f>
        <v>Airplane Single Engine Land</v>
      </c>
      <c r="AS629" s="8" t="b">
        <f>OR((SUM(MasterTable[[#This Row],[ILS]:[PAR]]) = MasterTable[[#This Row],[APPR]]))</f>
        <v>1</v>
      </c>
      <c r="AT629" s="8" t="b">
        <f>NOT(ISBLANK(MasterTable[[#This Row],[Total
Time]]))</f>
        <v>1</v>
      </c>
    </row>
    <row r="630" spans="4:46" ht="28.8" x14ac:dyDescent="0.3">
      <c r="D630" s="22">
        <v>44002</v>
      </c>
      <c r="E630" s="8" t="s">
        <v>75</v>
      </c>
      <c r="F630" s="8" t="s">
        <v>204</v>
      </c>
      <c r="G630" s="8" t="s">
        <v>204</v>
      </c>
      <c r="I630" s="10">
        <v>1.1000000000000001</v>
      </c>
      <c r="J630" s="10">
        <v>1.1000000000000001</v>
      </c>
      <c r="L630" s="10">
        <v>0</v>
      </c>
      <c r="M630" s="13">
        <v>0</v>
      </c>
      <c r="N630" s="13"/>
      <c r="O630" s="10">
        <v>1.1000000000000001</v>
      </c>
      <c r="P630" s="10">
        <v>0</v>
      </c>
      <c r="Q630" s="14">
        <v>0</v>
      </c>
      <c r="R630" s="14">
        <v>0</v>
      </c>
      <c r="S630" s="10">
        <v>0</v>
      </c>
      <c r="T630" s="10">
        <v>0</v>
      </c>
      <c r="U630" s="14">
        <v>0</v>
      </c>
      <c r="V630" s="10"/>
      <c r="W630" s="11">
        <v>4</v>
      </c>
      <c r="X630" s="11">
        <v>4</v>
      </c>
      <c r="Y630" s="11">
        <v>0</v>
      </c>
      <c r="Z630" s="11">
        <v>0</v>
      </c>
      <c r="AA630" s="11">
        <f>MasterTable[[#This Row],[Landings
Night]]+MasterTable[[#This Row],[Landings
Day]]</f>
        <v>4</v>
      </c>
      <c r="AB630" s="10">
        <v>0</v>
      </c>
      <c r="AC630" s="10">
        <v>0</v>
      </c>
      <c r="AD630" s="11">
        <v>0</v>
      </c>
      <c r="AE630" s="21">
        <f>SUM(MasterTable[[#This Row],[ILS]:[PAR]])</f>
        <v>0</v>
      </c>
      <c r="AL630" s="11"/>
      <c r="AR630" s="140" t="str">
        <f>_xlfn.XLOOKUP(MasterTable[[#This Row],[Aircraft ID]],Aircraft!A:A,Aircraft!H:H)</f>
        <v>Airplane Single Engine Land</v>
      </c>
      <c r="AS630" s="8" t="b">
        <f>OR((SUM(MasterTable[[#This Row],[ILS]:[PAR]]) = MasterTable[[#This Row],[APPR]]))</f>
        <v>1</v>
      </c>
      <c r="AT630" s="8" t="b">
        <f>NOT(ISBLANK(MasterTable[[#This Row],[Total
Time]]))</f>
        <v>1</v>
      </c>
    </row>
    <row r="631" spans="4:46" ht="28.8" x14ac:dyDescent="0.3">
      <c r="D631" s="22">
        <v>44001</v>
      </c>
      <c r="E631" s="8" t="s">
        <v>60</v>
      </c>
      <c r="F631" s="8" t="s">
        <v>204</v>
      </c>
      <c r="G631" s="8" t="s">
        <v>233</v>
      </c>
      <c r="I631" s="10">
        <v>2</v>
      </c>
      <c r="J631" s="10">
        <v>2</v>
      </c>
      <c r="L631" s="10">
        <v>0</v>
      </c>
      <c r="M631" s="13">
        <v>0</v>
      </c>
      <c r="N631" s="13"/>
      <c r="O631" s="10">
        <v>2</v>
      </c>
      <c r="P631" s="10">
        <v>0</v>
      </c>
      <c r="Q631" s="14">
        <v>0</v>
      </c>
      <c r="R631" s="14">
        <v>0</v>
      </c>
      <c r="S631" s="10">
        <v>0</v>
      </c>
      <c r="T631" s="10">
        <v>2</v>
      </c>
      <c r="U631" s="14">
        <v>0</v>
      </c>
      <c r="V631" s="10"/>
      <c r="W631" s="11">
        <v>2</v>
      </c>
      <c r="X631" s="11">
        <v>2</v>
      </c>
      <c r="Y631" s="11">
        <v>0</v>
      </c>
      <c r="Z631" s="11">
        <v>0</v>
      </c>
      <c r="AA631" s="11">
        <f>MasterTable[[#This Row],[Landings
Night]]+MasterTable[[#This Row],[Landings
Day]]</f>
        <v>2</v>
      </c>
      <c r="AB631" s="10">
        <v>0</v>
      </c>
      <c r="AC631" s="10">
        <v>0</v>
      </c>
      <c r="AD631" s="11">
        <v>0</v>
      </c>
      <c r="AE631" s="21">
        <f>SUM(MasterTable[[#This Row],[ILS]:[PAR]])</f>
        <v>0</v>
      </c>
      <c r="AL631" s="11"/>
      <c r="AR631" s="140" t="str">
        <f>_xlfn.XLOOKUP(MasterTable[[#This Row],[Aircraft ID]],Aircraft!A:A,Aircraft!H:H)</f>
        <v>Airplane Single Engine Land</v>
      </c>
      <c r="AS631" s="8" t="b">
        <f>OR((SUM(MasterTable[[#This Row],[ILS]:[PAR]]) = MasterTable[[#This Row],[APPR]]))</f>
        <v>1</v>
      </c>
      <c r="AT631" s="8" t="b">
        <f>NOT(ISBLANK(MasterTable[[#This Row],[Total
Time]]))</f>
        <v>1</v>
      </c>
    </row>
    <row r="632" spans="4:46" ht="28.8" x14ac:dyDescent="0.3">
      <c r="D632" s="22">
        <v>44001</v>
      </c>
      <c r="E632" s="8" t="s">
        <v>75</v>
      </c>
      <c r="F632" s="8" t="s">
        <v>204</v>
      </c>
      <c r="G632" s="8" t="s">
        <v>204</v>
      </c>
      <c r="I632" s="10">
        <v>1</v>
      </c>
      <c r="J632" s="10">
        <v>1</v>
      </c>
      <c r="L632" s="10">
        <v>0</v>
      </c>
      <c r="M632" s="13">
        <v>0</v>
      </c>
      <c r="N632" s="13"/>
      <c r="O632" s="10">
        <v>1</v>
      </c>
      <c r="P632" s="10">
        <v>0</v>
      </c>
      <c r="Q632" s="14">
        <v>0</v>
      </c>
      <c r="R632" s="14">
        <v>0</v>
      </c>
      <c r="S632" s="10">
        <v>0</v>
      </c>
      <c r="T632" s="10">
        <v>0</v>
      </c>
      <c r="U632" s="14">
        <v>0</v>
      </c>
      <c r="V632" s="10"/>
      <c r="W632" s="11">
        <v>2</v>
      </c>
      <c r="X632" s="11">
        <v>2</v>
      </c>
      <c r="Y632" s="11">
        <v>0</v>
      </c>
      <c r="Z632" s="11">
        <v>0</v>
      </c>
      <c r="AA632" s="11">
        <f>MasterTable[[#This Row],[Landings
Night]]+MasterTable[[#This Row],[Landings
Day]]</f>
        <v>2</v>
      </c>
      <c r="AB632" s="10">
        <v>0</v>
      </c>
      <c r="AC632" s="10">
        <v>0</v>
      </c>
      <c r="AD632" s="11">
        <v>0</v>
      </c>
      <c r="AE632" s="21">
        <f>SUM(MasterTable[[#This Row],[ILS]:[PAR]])</f>
        <v>0</v>
      </c>
      <c r="AL632" s="11"/>
      <c r="AR632" s="140" t="str">
        <f>_xlfn.XLOOKUP(MasterTable[[#This Row],[Aircraft ID]],Aircraft!A:A,Aircraft!H:H)</f>
        <v>Airplane Single Engine Land</v>
      </c>
      <c r="AS632" s="8" t="b">
        <f>OR((SUM(MasterTable[[#This Row],[ILS]:[PAR]]) = MasterTable[[#This Row],[APPR]]))</f>
        <v>1</v>
      </c>
      <c r="AT632" s="8" t="b">
        <f>NOT(ISBLANK(MasterTable[[#This Row],[Total
Time]]))</f>
        <v>1</v>
      </c>
    </row>
    <row r="633" spans="4:46" ht="28.8" x14ac:dyDescent="0.3">
      <c r="D633" s="22">
        <v>43999</v>
      </c>
      <c r="E633" s="8" t="s">
        <v>75</v>
      </c>
      <c r="F633" s="8" t="s">
        <v>204</v>
      </c>
      <c r="G633" s="8" t="s">
        <v>204</v>
      </c>
      <c r="I633" s="10">
        <v>1.2</v>
      </c>
      <c r="J633" s="10">
        <v>1.2</v>
      </c>
      <c r="L633" s="10">
        <v>0</v>
      </c>
      <c r="M633" s="13">
        <v>0</v>
      </c>
      <c r="N633" s="13"/>
      <c r="O633" s="10">
        <v>1.2</v>
      </c>
      <c r="P633" s="10">
        <v>0</v>
      </c>
      <c r="Q633" s="14">
        <v>0</v>
      </c>
      <c r="R633" s="14">
        <v>0</v>
      </c>
      <c r="S633" s="10">
        <v>0</v>
      </c>
      <c r="T633" s="10">
        <v>0</v>
      </c>
      <c r="U633" s="14">
        <v>0</v>
      </c>
      <c r="V633" s="10"/>
      <c r="W633" s="11">
        <v>1</v>
      </c>
      <c r="X633" s="11">
        <v>1</v>
      </c>
      <c r="Y633" s="11">
        <v>0</v>
      </c>
      <c r="Z633" s="11">
        <v>0</v>
      </c>
      <c r="AA633" s="11">
        <f>MasterTable[[#This Row],[Landings
Night]]+MasterTable[[#This Row],[Landings
Day]]</f>
        <v>1</v>
      </c>
      <c r="AB633" s="10">
        <v>0</v>
      </c>
      <c r="AC633" s="10">
        <v>0</v>
      </c>
      <c r="AD633" s="11">
        <v>0</v>
      </c>
      <c r="AE633" s="21">
        <f>SUM(MasterTable[[#This Row],[ILS]:[PAR]])</f>
        <v>0</v>
      </c>
      <c r="AL633" s="11"/>
      <c r="AR633" s="140" t="str">
        <f>_xlfn.XLOOKUP(MasterTable[[#This Row],[Aircraft ID]],Aircraft!A:A,Aircraft!H:H)</f>
        <v>Airplane Single Engine Land</v>
      </c>
      <c r="AS633" s="8" t="b">
        <f>OR((SUM(MasterTable[[#This Row],[ILS]:[PAR]]) = MasterTable[[#This Row],[APPR]]))</f>
        <v>1</v>
      </c>
      <c r="AT633" s="8" t="b">
        <f>NOT(ISBLANK(MasterTable[[#This Row],[Total
Time]]))</f>
        <v>1</v>
      </c>
    </row>
    <row r="634" spans="4:46" ht="28.8" x14ac:dyDescent="0.3">
      <c r="D634" s="22">
        <v>43999</v>
      </c>
      <c r="E634" s="8" t="s">
        <v>60</v>
      </c>
      <c r="F634" s="8" t="s">
        <v>204</v>
      </c>
      <c r="G634" s="8" t="s">
        <v>204</v>
      </c>
      <c r="I634" s="10">
        <v>1.3</v>
      </c>
      <c r="J634" s="10">
        <v>1.3</v>
      </c>
      <c r="L634" s="10">
        <v>0</v>
      </c>
      <c r="M634" s="13">
        <v>0</v>
      </c>
      <c r="N634" s="13"/>
      <c r="O634" s="10">
        <v>1.3</v>
      </c>
      <c r="P634" s="10">
        <v>0</v>
      </c>
      <c r="Q634" s="14">
        <v>0</v>
      </c>
      <c r="R634" s="14">
        <v>0</v>
      </c>
      <c r="S634" s="10">
        <v>0</v>
      </c>
      <c r="T634" s="10">
        <v>0</v>
      </c>
      <c r="U634" s="14">
        <v>0</v>
      </c>
      <c r="V634" s="10"/>
      <c r="W634" s="11">
        <v>1</v>
      </c>
      <c r="X634" s="11">
        <v>1</v>
      </c>
      <c r="Y634" s="11">
        <v>0</v>
      </c>
      <c r="Z634" s="11">
        <v>0</v>
      </c>
      <c r="AA634" s="11">
        <f>MasterTable[[#This Row],[Landings
Night]]+MasterTable[[#This Row],[Landings
Day]]</f>
        <v>1</v>
      </c>
      <c r="AB634" s="10">
        <v>0</v>
      </c>
      <c r="AC634" s="10">
        <v>0</v>
      </c>
      <c r="AD634" s="11">
        <v>0</v>
      </c>
      <c r="AE634" s="21">
        <f>SUM(MasterTable[[#This Row],[ILS]:[PAR]])</f>
        <v>0</v>
      </c>
      <c r="AL634" s="11"/>
      <c r="AR634" s="140" t="str">
        <f>_xlfn.XLOOKUP(MasterTable[[#This Row],[Aircraft ID]],Aircraft!A:A,Aircraft!H:H)</f>
        <v>Airplane Single Engine Land</v>
      </c>
      <c r="AS634" s="8" t="b">
        <f>OR((SUM(MasterTable[[#This Row],[ILS]:[PAR]]) = MasterTable[[#This Row],[APPR]]))</f>
        <v>1</v>
      </c>
      <c r="AT634" s="8" t="b">
        <f>NOT(ISBLANK(MasterTable[[#This Row],[Total
Time]]))</f>
        <v>1</v>
      </c>
    </row>
    <row r="635" spans="4:46" ht="28.8" x14ac:dyDescent="0.3">
      <c r="D635" s="22">
        <v>43996</v>
      </c>
      <c r="E635" s="8" t="s">
        <v>174</v>
      </c>
      <c r="F635" s="8" t="s">
        <v>204</v>
      </c>
      <c r="G635" s="8" t="s">
        <v>202</v>
      </c>
      <c r="I635" s="10">
        <v>1.8</v>
      </c>
      <c r="J635" s="10">
        <v>1.8</v>
      </c>
      <c r="L635" s="10">
        <v>0</v>
      </c>
      <c r="M635" s="13">
        <v>0</v>
      </c>
      <c r="N635" s="13"/>
      <c r="O635" s="10">
        <v>0</v>
      </c>
      <c r="P635" s="10">
        <v>0</v>
      </c>
      <c r="Q635" s="14">
        <v>0</v>
      </c>
      <c r="R635" s="14">
        <v>0</v>
      </c>
      <c r="S635" s="10">
        <v>0</v>
      </c>
      <c r="T635" s="10">
        <v>1.8</v>
      </c>
      <c r="U635" s="14">
        <v>0</v>
      </c>
      <c r="V635" s="10"/>
      <c r="W635" s="11">
        <v>1</v>
      </c>
      <c r="X635" s="11">
        <v>1</v>
      </c>
      <c r="Y635" s="11">
        <v>0</v>
      </c>
      <c r="Z635" s="11">
        <v>0</v>
      </c>
      <c r="AA635" s="11">
        <f>MasterTable[[#This Row],[Landings
Night]]+MasterTable[[#This Row],[Landings
Day]]</f>
        <v>1</v>
      </c>
      <c r="AB635" s="10">
        <v>0</v>
      </c>
      <c r="AC635" s="10">
        <v>0.6</v>
      </c>
      <c r="AD635" s="11">
        <v>0</v>
      </c>
      <c r="AE635" s="21">
        <f>SUM(MasterTable[[#This Row],[ILS]:[PAR]])</f>
        <v>2</v>
      </c>
      <c r="AF635" s="11">
        <v>1</v>
      </c>
      <c r="AH635" s="11">
        <v>1</v>
      </c>
      <c r="AL635" s="11">
        <v>1</v>
      </c>
      <c r="AR635" s="140" t="str">
        <f>_xlfn.XLOOKUP(MasterTable[[#This Row],[Aircraft ID]],Aircraft!A:A,Aircraft!H:H)</f>
        <v>Airplane Single Engine Land</v>
      </c>
      <c r="AS635" s="8" t="b">
        <f>OR((SUM(MasterTable[[#This Row],[ILS]:[PAR]]) = MasterTable[[#This Row],[APPR]]))</f>
        <v>1</v>
      </c>
      <c r="AT635" s="8" t="b">
        <f>NOT(ISBLANK(MasterTable[[#This Row],[Total
Time]]))</f>
        <v>1</v>
      </c>
    </row>
    <row r="636" spans="4:46" ht="28.8" x14ac:dyDescent="0.3">
      <c r="D636" s="22">
        <v>43995</v>
      </c>
      <c r="E636" s="8" t="s">
        <v>174</v>
      </c>
      <c r="F636" s="8" t="s">
        <v>204</v>
      </c>
      <c r="G636" s="8" t="s">
        <v>271</v>
      </c>
      <c r="H636" s="8" t="s">
        <v>272</v>
      </c>
      <c r="I636" s="10">
        <v>6.2</v>
      </c>
      <c r="J636" s="10">
        <v>6.2</v>
      </c>
      <c r="L636" s="10">
        <v>0</v>
      </c>
      <c r="M636" s="13">
        <v>0</v>
      </c>
      <c r="N636" s="13"/>
      <c r="O636" s="10">
        <v>0</v>
      </c>
      <c r="P636" s="10">
        <v>0</v>
      </c>
      <c r="Q636" s="14">
        <v>0</v>
      </c>
      <c r="R636" s="14">
        <v>0</v>
      </c>
      <c r="S636" s="10">
        <v>1.5</v>
      </c>
      <c r="T636" s="10">
        <v>6.2</v>
      </c>
      <c r="U636" s="14">
        <v>0</v>
      </c>
      <c r="V636" s="10">
        <v>4</v>
      </c>
      <c r="W636" s="11">
        <v>2</v>
      </c>
      <c r="X636" s="11">
        <v>2</v>
      </c>
      <c r="Y636" s="11">
        <v>1</v>
      </c>
      <c r="Z636" s="11">
        <v>1</v>
      </c>
      <c r="AA636" s="11">
        <f>MasterTable[[#This Row],[Landings
Night]]+MasterTable[[#This Row],[Landings
Day]]</f>
        <v>3</v>
      </c>
      <c r="AB636" s="10">
        <v>0</v>
      </c>
      <c r="AC636" s="10">
        <v>0</v>
      </c>
      <c r="AD636" s="11">
        <v>0</v>
      </c>
      <c r="AE636" s="21">
        <f>SUM(MasterTable[[#This Row],[ILS]:[PAR]])</f>
        <v>0</v>
      </c>
      <c r="AL636" s="11"/>
      <c r="AR636" s="140" t="str">
        <f>_xlfn.XLOOKUP(MasterTable[[#This Row],[Aircraft ID]],Aircraft!A:A,Aircraft!H:H)</f>
        <v>Airplane Single Engine Land</v>
      </c>
      <c r="AS636" s="8" t="b">
        <f>OR((SUM(MasterTable[[#This Row],[ILS]:[PAR]]) = MasterTable[[#This Row],[APPR]]))</f>
        <v>1</v>
      </c>
      <c r="AT636" s="8" t="b">
        <f>NOT(ISBLANK(MasterTable[[#This Row],[Total
Time]]))</f>
        <v>1</v>
      </c>
    </row>
    <row r="637" spans="4:46" ht="28.8" x14ac:dyDescent="0.3">
      <c r="D637" s="22">
        <v>43994</v>
      </c>
      <c r="E637" s="8" t="s">
        <v>174</v>
      </c>
      <c r="F637" s="8" t="s">
        <v>202</v>
      </c>
      <c r="G637" s="8" t="s">
        <v>204</v>
      </c>
      <c r="I637" s="10">
        <v>1.2</v>
      </c>
      <c r="J637" s="10">
        <v>1.2</v>
      </c>
      <c r="L637" s="10">
        <v>0</v>
      </c>
      <c r="M637" s="13">
        <v>0</v>
      </c>
      <c r="N637" s="13"/>
      <c r="O637" s="10">
        <v>0</v>
      </c>
      <c r="P637" s="10">
        <v>0</v>
      </c>
      <c r="Q637" s="14">
        <v>0</v>
      </c>
      <c r="R637" s="14">
        <v>0</v>
      </c>
      <c r="S637" s="10">
        <v>0</v>
      </c>
      <c r="T637" s="10">
        <v>1.2</v>
      </c>
      <c r="U637" s="14">
        <v>0</v>
      </c>
      <c r="V637" s="10"/>
      <c r="W637" s="11">
        <v>1</v>
      </c>
      <c r="X637" s="11">
        <v>1</v>
      </c>
      <c r="Y637" s="11">
        <v>0</v>
      </c>
      <c r="Z637" s="11">
        <v>0</v>
      </c>
      <c r="AA637" s="11">
        <f>MasterTable[[#This Row],[Landings
Night]]+MasterTable[[#This Row],[Landings
Day]]</f>
        <v>1</v>
      </c>
      <c r="AB637" s="10">
        <v>0</v>
      </c>
      <c r="AC637" s="10">
        <v>0</v>
      </c>
      <c r="AD637" s="11">
        <v>0</v>
      </c>
      <c r="AE637" s="21">
        <f>SUM(MasterTable[[#This Row],[ILS]:[PAR]])</f>
        <v>0</v>
      </c>
      <c r="AL637" s="11"/>
      <c r="AR637" s="140" t="str">
        <f>_xlfn.XLOOKUP(MasterTable[[#This Row],[Aircraft ID]],Aircraft!A:A,Aircraft!H:H)</f>
        <v>Airplane Single Engine Land</v>
      </c>
      <c r="AS637" s="8" t="b">
        <f>OR((SUM(MasterTable[[#This Row],[ILS]:[PAR]]) = MasterTable[[#This Row],[APPR]]))</f>
        <v>1</v>
      </c>
      <c r="AT637" s="8" t="b">
        <f>NOT(ISBLANK(MasterTable[[#This Row],[Total
Time]]))</f>
        <v>1</v>
      </c>
    </row>
    <row r="638" spans="4:46" ht="28.8" x14ac:dyDescent="0.3">
      <c r="D638" s="22">
        <v>43993</v>
      </c>
      <c r="E638" s="8" t="s">
        <v>75</v>
      </c>
      <c r="F638" s="8" t="s">
        <v>204</v>
      </c>
      <c r="G638" s="8" t="s">
        <v>204</v>
      </c>
      <c r="I638" s="10">
        <v>1.1000000000000001</v>
      </c>
      <c r="J638" s="10">
        <v>1.1000000000000001</v>
      </c>
      <c r="L638" s="10">
        <v>0</v>
      </c>
      <c r="M638" s="13">
        <v>0</v>
      </c>
      <c r="N638" s="13"/>
      <c r="O638" s="10">
        <v>1.1000000000000001</v>
      </c>
      <c r="P638" s="10">
        <v>0</v>
      </c>
      <c r="Q638" s="14">
        <v>0</v>
      </c>
      <c r="R638" s="14">
        <v>0</v>
      </c>
      <c r="S638" s="10">
        <v>1.1000000000000001</v>
      </c>
      <c r="T638" s="10">
        <v>0</v>
      </c>
      <c r="U638" s="14">
        <v>0</v>
      </c>
      <c r="V638" s="10"/>
      <c r="W638" s="11">
        <v>0</v>
      </c>
      <c r="X638" s="11">
        <v>0</v>
      </c>
      <c r="Y638" s="11">
        <v>6</v>
      </c>
      <c r="Z638" s="11">
        <v>6</v>
      </c>
      <c r="AA638" s="11">
        <f>MasterTable[[#This Row],[Landings
Night]]+MasterTable[[#This Row],[Landings
Day]]</f>
        <v>6</v>
      </c>
      <c r="AB638" s="10">
        <v>0</v>
      </c>
      <c r="AC638" s="10">
        <v>0</v>
      </c>
      <c r="AD638" s="11">
        <v>0</v>
      </c>
      <c r="AE638" s="21">
        <f>SUM(MasterTable[[#This Row],[ILS]:[PAR]])</f>
        <v>0</v>
      </c>
      <c r="AL638" s="11"/>
      <c r="AR638" s="140" t="str">
        <f>_xlfn.XLOOKUP(MasterTable[[#This Row],[Aircraft ID]],Aircraft!A:A,Aircraft!H:H)</f>
        <v>Airplane Single Engine Land</v>
      </c>
      <c r="AS638" s="8" t="b">
        <f>OR((SUM(MasterTable[[#This Row],[ILS]:[PAR]]) = MasterTable[[#This Row],[APPR]]))</f>
        <v>1</v>
      </c>
      <c r="AT638" s="8" t="b">
        <f>NOT(ISBLANK(MasterTable[[#This Row],[Total
Time]]))</f>
        <v>1</v>
      </c>
    </row>
    <row r="639" spans="4:46" ht="28.8" x14ac:dyDescent="0.3">
      <c r="D639" s="22">
        <v>43991</v>
      </c>
      <c r="E639" s="8" t="s">
        <v>75</v>
      </c>
      <c r="F639" s="8" t="s">
        <v>204</v>
      </c>
      <c r="G639" s="8" t="s">
        <v>204</v>
      </c>
      <c r="I639" s="10">
        <v>0.4</v>
      </c>
      <c r="J639" s="10">
        <v>0.4</v>
      </c>
      <c r="L639" s="10">
        <v>0</v>
      </c>
      <c r="M639" s="13">
        <v>0</v>
      </c>
      <c r="N639" s="13"/>
      <c r="O639" s="10">
        <v>0.4</v>
      </c>
      <c r="P639" s="10">
        <v>0</v>
      </c>
      <c r="Q639" s="14">
        <v>0</v>
      </c>
      <c r="R639" s="14">
        <v>0</v>
      </c>
      <c r="S639" s="10">
        <v>0</v>
      </c>
      <c r="T639" s="10">
        <v>0</v>
      </c>
      <c r="U639" s="14">
        <v>0</v>
      </c>
      <c r="V639" s="10">
        <v>0</v>
      </c>
      <c r="W639" s="11">
        <v>2</v>
      </c>
      <c r="X639" s="11">
        <v>2</v>
      </c>
      <c r="Y639" s="11">
        <v>0</v>
      </c>
      <c r="Z639" s="11">
        <v>0</v>
      </c>
      <c r="AA639" s="11">
        <f>MasterTable[[#This Row],[Landings
Night]]+MasterTable[[#This Row],[Landings
Day]]</f>
        <v>2</v>
      </c>
      <c r="AB639" s="10">
        <v>0</v>
      </c>
      <c r="AC639" s="10">
        <v>0</v>
      </c>
      <c r="AD639" s="11">
        <v>0</v>
      </c>
      <c r="AE639" s="21">
        <f>SUM(MasterTable[[#This Row],[ILS]:[PAR]])</f>
        <v>0</v>
      </c>
      <c r="AL639" s="11"/>
      <c r="AR639" s="140" t="str">
        <f>_xlfn.XLOOKUP(MasterTable[[#This Row],[Aircraft ID]],Aircraft!A:A,Aircraft!H:H)</f>
        <v>Airplane Single Engine Land</v>
      </c>
      <c r="AS639" s="8" t="b">
        <f>OR((SUM(MasterTable[[#This Row],[ILS]:[PAR]]) = MasterTable[[#This Row],[APPR]]))</f>
        <v>1</v>
      </c>
      <c r="AT639" s="8" t="b">
        <f>NOT(ISBLANK(MasterTable[[#This Row],[Total
Time]]))</f>
        <v>1</v>
      </c>
    </row>
    <row r="640" spans="4:46" ht="28.8" x14ac:dyDescent="0.3">
      <c r="D640" s="22">
        <v>43987</v>
      </c>
      <c r="E640" s="8" t="s">
        <v>75</v>
      </c>
      <c r="F640" s="8" t="s">
        <v>204</v>
      </c>
      <c r="G640" s="8" t="s">
        <v>258</v>
      </c>
      <c r="I640" s="10">
        <v>1.4</v>
      </c>
      <c r="J640" s="10">
        <v>1.4</v>
      </c>
      <c r="L640" s="10">
        <v>0</v>
      </c>
      <c r="M640" s="13">
        <v>0</v>
      </c>
      <c r="N640" s="13"/>
      <c r="O640" s="10">
        <v>1.4</v>
      </c>
      <c r="P640" s="10">
        <v>0</v>
      </c>
      <c r="Q640" s="14">
        <v>0</v>
      </c>
      <c r="R640" s="14">
        <v>0</v>
      </c>
      <c r="S640" s="10">
        <v>0</v>
      </c>
      <c r="T640" s="10">
        <v>0</v>
      </c>
      <c r="U640" s="14">
        <v>0</v>
      </c>
      <c r="V640" s="10"/>
      <c r="W640" s="11">
        <v>5</v>
      </c>
      <c r="X640" s="11">
        <v>5</v>
      </c>
      <c r="Y640" s="11">
        <v>0</v>
      </c>
      <c r="Z640" s="11">
        <v>0</v>
      </c>
      <c r="AA640" s="11">
        <f>MasterTable[[#This Row],[Landings
Night]]+MasterTable[[#This Row],[Landings
Day]]</f>
        <v>5</v>
      </c>
      <c r="AB640" s="10">
        <v>0</v>
      </c>
      <c r="AC640" s="10">
        <v>0</v>
      </c>
      <c r="AD640" s="11">
        <v>0</v>
      </c>
      <c r="AE640" s="21">
        <f>SUM(MasterTable[[#This Row],[ILS]:[PAR]])</f>
        <v>0</v>
      </c>
      <c r="AL640" s="11"/>
      <c r="AR640" s="140" t="str">
        <f>_xlfn.XLOOKUP(MasterTable[[#This Row],[Aircraft ID]],Aircraft!A:A,Aircraft!H:H)</f>
        <v>Airplane Single Engine Land</v>
      </c>
      <c r="AS640" s="8" t="b">
        <f>OR((SUM(MasterTable[[#This Row],[ILS]:[PAR]]) = MasterTable[[#This Row],[APPR]]))</f>
        <v>1</v>
      </c>
      <c r="AT640" s="8" t="b">
        <f>NOT(ISBLANK(MasterTable[[#This Row],[Total
Time]]))</f>
        <v>1</v>
      </c>
    </row>
    <row r="641" spans="4:46" ht="28.8" x14ac:dyDescent="0.3">
      <c r="D641" s="22">
        <v>43984</v>
      </c>
      <c r="E641" s="8" t="s">
        <v>75</v>
      </c>
      <c r="F641" s="8" t="s">
        <v>204</v>
      </c>
      <c r="G641" s="8" t="s">
        <v>204</v>
      </c>
      <c r="I641" s="10">
        <v>1.1000000000000001</v>
      </c>
      <c r="J641" s="10">
        <v>1.1000000000000001</v>
      </c>
      <c r="L641" s="10">
        <v>0</v>
      </c>
      <c r="M641" s="13">
        <v>0</v>
      </c>
      <c r="N641" s="13"/>
      <c r="O641" s="10">
        <v>1.1000000000000001</v>
      </c>
      <c r="P641" s="10">
        <v>0</v>
      </c>
      <c r="Q641" s="14">
        <v>0</v>
      </c>
      <c r="R641" s="14">
        <v>0</v>
      </c>
      <c r="S641" s="10">
        <v>0</v>
      </c>
      <c r="T641" s="10">
        <v>0</v>
      </c>
      <c r="U641" s="14">
        <v>0</v>
      </c>
      <c r="V641" s="10"/>
      <c r="W641" s="11">
        <v>5</v>
      </c>
      <c r="X641" s="11">
        <v>5</v>
      </c>
      <c r="Y641" s="11">
        <v>0</v>
      </c>
      <c r="Z641" s="11">
        <v>0</v>
      </c>
      <c r="AA641" s="11">
        <f>MasterTable[[#This Row],[Landings
Night]]+MasterTable[[#This Row],[Landings
Day]]</f>
        <v>5</v>
      </c>
      <c r="AB641" s="10">
        <v>0</v>
      </c>
      <c r="AC641" s="10">
        <v>0</v>
      </c>
      <c r="AD641" s="11">
        <v>0</v>
      </c>
      <c r="AE641" s="21">
        <f>SUM(MasterTable[[#This Row],[ILS]:[PAR]])</f>
        <v>0</v>
      </c>
      <c r="AL641" s="11"/>
      <c r="AR641" s="140" t="str">
        <f>_xlfn.XLOOKUP(MasterTable[[#This Row],[Aircraft ID]],Aircraft!A:A,Aircraft!H:H)</f>
        <v>Airplane Single Engine Land</v>
      </c>
      <c r="AS641" s="8" t="b">
        <f>OR((SUM(MasterTable[[#This Row],[ILS]:[PAR]]) = MasterTable[[#This Row],[APPR]]))</f>
        <v>1</v>
      </c>
      <c r="AT641" s="8" t="b">
        <f>NOT(ISBLANK(MasterTable[[#This Row],[Total
Time]]))</f>
        <v>1</v>
      </c>
    </row>
    <row r="642" spans="4:46" ht="28.8" x14ac:dyDescent="0.3">
      <c r="D642" s="22">
        <v>43982</v>
      </c>
      <c r="E642" s="8" t="s">
        <v>60</v>
      </c>
      <c r="F642" s="8" t="s">
        <v>204</v>
      </c>
      <c r="G642" s="8" t="s">
        <v>260</v>
      </c>
      <c r="I642" s="10">
        <v>2.1</v>
      </c>
      <c r="J642" s="10">
        <v>2.1</v>
      </c>
      <c r="L642" s="10">
        <v>0</v>
      </c>
      <c r="M642" s="13">
        <v>0</v>
      </c>
      <c r="N642" s="13"/>
      <c r="O642" s="10">
        <v>2.1</v>
      </c>
      <c r="P642" s="10">
        <v>0</v>
      </c>
      <c r="Q642" s="14">
        <v>0</v>
      </c>
      <c r="R642" s="14">
        <v>0</v>
      </c>
      <c r="S642" s="10">
        <v>0</v>
      </c>
      <c r="T642" s="10">
        <v>2.1</v>
      </c>
      <c r="U642" s="14">
        <v>0</v>
      </c>
      <c r="V642" s="10"/>
      <c r="W642" s="11">
        <v>2</v>
      </c>
      <c r="X642" s="11">
        <v>2</v>
      </c>
      <c r="Y642" s="11">
        <v>0</v>
      </c>
      <c r="Z642" s="11">
        <v>0</v>
      </c>
      <c r="AA642" s="11">
        <f>MasterTable[[#This Row],[Landings
Night]]+MasterTable[[#This Row],[Landings
Day]]</f>
        <v>2</v>
      </c>
      <c r="AB642" s="10">
        <v>0</v>
      </c>
      <c r="AC642" s="10">
        <v>0</v>
      </c>
      <c r="AD642" s="11">
        <v>0</v>
      </c>
      <c r="AE642" s="21">
        <f>SUM(MasterTable[[#This Row],[ILS]:[PAR]])</f>
        <v>0</v>
      </c>
      <c r="AL642" s="11"/>
      <c r="AR642" s="140" t="str">
        <f>_xlfn.XLOOKUP(MasterTable[[#This Row],[Aircraft ID]],Aircraft!A:A,Aircraft!H:H)</f>
        <v>Airplane Single Engine Land</v>
      </c>
      <c r="AS642" s="8" t="b">
        <f>OR((SUM(MasterTable[[#This Row],[ILS]:[PAR]]) = MasterTable[[#This Row],[APPR]]))</f>
        <v>1</v>
      </c>
      <c r="AT642" s="8" t="b">
        <f>NOT(ISBLANK(MasterTable[[#This Row],[Total
Time]]))</f>
        <v>1</v>
      </c>
    </row>
    <row r="643" spans="4:46" ht="28.8" x14ac:dyDescent="0.3">
      <c r="D643" s="22">
        <v>43980</v>
      </c>
      <c r="E643" s="8" t="s">
        <v>60</v>
      </c>
      <c r="F643" s="8" t="s">
        <v>204</v>
      </c>
      <c r="G643" s="8" t="s">
        <v>204</v>
      </c>
      <c r="I643" s="10">
        <v>0.9</v>
      </c>
      <c r="J643" s="10">
        <v>0.9</v>
      </c>
      <c r="L643" s="10">
        <v>0</v>
      </c>
      <c r="M643" s="13">
        <v>0</v>
      </c>
      <c r="N643" s="13"/>
      <c r="O643" s="10">
        <v>0.9</v>
      </c>
      <c r="P643" s="10">
        <v>0</v>
      </c>
      <c r="Q643" s="14">
        <v>0</v>
      </c>
      <c r="R643" s="14">
        <v>0</v>
      </c>
      <c r="S643" s="10">
        <v>0</v>
      </c>
      <c r="T643" s="10">
        <v>0</v>
      </c>
      <c r="U643" s="14">
        <v>0</v>
      </c>
      <c r="V643" s="10"/>
      <c r="W643" s="11">
        <v>8</v>
      </c>
      <c r="X643" s="11">
        <v>8</v>
      </c>
      <c r="Y643" s="11">
        <v>0</v>
      </c>
      <c r="Z643" s="11">
        <v>0</v>
      </c>
      <c r="AA643" s="11">
        <f>MasterTable[[#This Row],[Landings
Night]]+MasterTable[[#This Row],[Landings
Day]]</f>
        <v>8</v>
      </c>
      <c r="AB643" s="10">
        <v>0</v>
      </c>
      <c r="AC643" s="10">
        <v>0</v>
      </c>
      <c r="AD643" s="11">
        <v>0</v>
      </c>
      <c r="AE643" s="21">
        <f>SUM(MasterTable[[#This Row],[ILS]:[PAR]])</f>
        <v>0</v>
      </c>
      <c r="AL643" s="11"/>
      <c r="AR643" s="140" t="str">
        <f>_xlfn.XLOOKUP(MasterTable[[#This Row],[Aircraft ID]],Aircraft!A:A,Aircraft!H:H)</f>
        <v>Airplane Single Engine Land</v>
      </c>
      <c r="AS643" s="8" t="b">
        <f>OR((SUM(MasterTable[[#This Row],[ILS]:[PAR]]) = MasterTable[[#This Row],[APPR]]))</f>
        <v>1</v>
      </c>
      <c r="AT643" s="8" t="b">
        <f>NOT(ISBLANK(MasterTable[[#This Row],[Total
Time]]))</f>
        <v>1</v>
      </c>
    </row>
    <row r="644" spans="4:46" ht="28.8" x14ac:dyDescent="0.3">
      <c r="D644" s="22">
        <v>43978</v>
      </c>
      <c r="E644" s="8" t="s">
        <v>60</v>
      </c>
      <c r="F644" s="8" t="s">
        <v>204</v>
      </c>
      <c r="G644" s="8" t="s">
        <v>204</v>
      </c>
      <c r="I644" s="10">
        <v>1.3</v>
      </c>
      <c r="J644" s="10">
        <v>1.3</v>
      </c>
      <c r="L644" s="10">
        <v>0</v>
      </c>
      <c r="M644" s="13">
        <v>0</v>
      </c>
      <c r="N644" s="13"/>
      <c r="O644" s="10">
        <v>1.3</v>
      </c>
      <c r="P644" s="10">
        <v>0</v>
      </c>
      <c r="Q644" s="14">
        <v>0</v>
      </c>
      <c r="R644" s="14">
        <v>0</v>
      </c>
      <c r="S644" s="10">
        <v>1.3</v>
      </c>
      <c r="T644" s="10">
        <v>0</v>
      </c>
      <c r="U644" s="14">
        <v>0</v>
      </c>
      <c r="V644" s="10"/>
      <c r="W644" s="11">
        <v>0</v>
      </c>
      <c r="X644" s="11">
        <v>0</v>
      </c>
      <c r="Y644" s="11">
        <v>9</v>
      </c>
      <c r="Z644" s="11">
        <v>9</v>
      </c>
      <c r="AA644" s="11">
        <f>MasterTable[[#This Row],[Landings
Night]]+MasterTable[[#This Row],[Landings
Day]]</f>
        <v>9</v>
      </c>
      <c r="AB644" s="10">
        <v>0</v>
      </c>
      <c r="AC644" s="10">
        <v>0</v>
      </c>
      <c r="AD644" s="11">
        <v>0</v>
      </c>
      <c r="AE644" s="21">
        <f>SUM(MasterTable[[#This Row],[ILS]:[PAR]])</f>
        <v>0</v>
      </c>
      <c r="AL644" s="11"/>
      <c r="AR644" s="140" t="str">
        <f>_xlfn.XLOOKUP(MasterTable[[#This Row],[Aircraft ID]],Aircraft!A:A,Aircraft!H:H)</f>
        <v>Airplane Single Engine Land</v>
      </c>
      <c r="AS644" s="8" t="b">
        <f>OR((SUM(MasterTable[[#This Row],[ILS]:[PAR]]) = MasterTable[[#This Row],[APPR]]))</f>
        <v>1</v>
      </c>
      <c r="AT644" s="8" t="b">
        <f>NOT(ISBLANK(MasterTable[[#This Row],[Total
Time]]))</f>
        <v>1</v>
      </c>
    </row>
    <row r="645" spans="4:46" ht="28.8" x14ac:dyDescent="0.3">
      <c r="D645" s="22">
        <v>43973</v>
      </c>
      <c r="E645" s="8" t="s">
        <v>60</v>
      </c>
      <c r="F645" s="8" t="s">
        <v>204</v>
      </c>
      <c r="G645" s="8" t="s">
        <v>214</v>
      </c>
      <c r="I645" s="10">
        <v>1.9</v>
      </c>
      <c r="J645" s="10">
        <v>1.9</v>
      </c>
      <c r="L645" s="10">
        <v>0</v>
      </c>
      <c r="M645" s="13">
        <v>0</v>
      </c>
      <c r="N645" s="13"/>
      <c r="O645" s="10">
        <v>1.9</v>
      </c>
      <c r="P645" s="10">
        <v>0</v>
      </c>
      <c r="Q645" s="14">
        <v>0</v>
      </c>
      <c r="R645" s="14">
        <v>0</v>
      </c>
      <c r="S645" s="10">
        <v>0</v>
      </c>
      <c r="T645" s="10">
        <v>0</v>
      </c>
      <c r="U645" s="14">
        <v>0</v>
      </c>
      <c r="V645" s="10"/>
      <c r="W645" s="11">
        <v>10</v>
      </c>
      <c r="X645" s="11">
        <v>10</v>
      </c>
      <c r="Y645" s="11">
        <v>0</v>
      </c>
      <c r="Z645" s="11">
        <v>0</v>
      </c>
      <c r="AA645" s="11">
        <f>MasterTable[[#This Row],[Landings
Night]]+MasterTable[[#This Row],[Landings
Day]]</f>
        <v>10</v>
      </c>
      <c r="AB645" s="10">
        <v>0</v>
      </c>
      <c r="AC645" s="10">
        <v>0</v>
      </c>
      <c r="AD645" s="11">
        <v>0</v>
      </c>
      <c r="AE645" s="21">
        <f>SUM(MasterTable[[#This Row],[ILS]:[PAR]])</f>
        <v>0</v>
      </c>
      <c r="AL645" s="11"/>
      <c r="AR645" s="140" t="str">
        <f>_xlfn.XLOOKUP(MasterTable[[#This Row],[Aircraft ID]],Aircraft!A:A,Aircraft!H:H)</f>
        <v>Airplane Single Engine Land</v>
      </c>
      <c r="AS645" s="8" t="b">
        <f>OR((SUM(MasterTable[[#This Row],[ILS]:[PAR]]) = MasterTable[[#This Row],[APPR]]))</f>
        <v>1</v>
      </c>
      <c r="AT645" s="8" t="b">
        <f>NOT(ISBLANK(MasterTable[[#This Row],[Total
Time]]))</f>
        <v>1</v>
      </c>
    </row>
    <row r="646" spans="4:46" ht="28.8" x14ac:dyDescent="0.3">
      <c r="D646" s="22">
        <v>43972</v>
      </c>
      <c r="E646" s="8" t="s">
        <v>60</v>
      </c>
      <c r="F646" s="8" t="s">
        <v>204</v>
      </c>
      <c r="G646" s="8" t="s">
        <v>204</v>
      </c>
      <c r="I646" s="10">
        <v>0.8</v>
      </c>
      <c r="J646" s="10">
        <v>0.8</v>
      </c>
      <c r="L646" s="10">
        <v>0</v>
      </c>
      <c r="M646" s="13">
        <v>0</v>
      </c>
      <c r="N646" s="13"/>
      <c r="O646" s="10">
        <v>0.8</v>
      </c>
      <c r="P646" s="10">
        <v>0</v>
      </c>
      <c r="Q646" s="14">
        <v>0</v>
      </c>
      <c r="R646" s="14">
        <v>0</v>
      </c>
      <c r="S646" s="10">
        <v>0</v>
      </c>
      <c r="T646" s="10">
        <v>0</v>
      </c>
      <c r="U646" s="14">
        <v>0</v>
      </c>
      <c r="V646" s="10"/>
      <c r="W646" s="11">
        <v>1</v>
      </c>
      <c r="X646" s="11">
        <v>1</v>
      </c>
      <c r="Y646" s="11">
        <v>0</v>
      </c>
      <c r="Z646" s="11">
        <v>0</v>
      </c>
      <c r="AA646" s="11">
        <f>MasterTable[[#This Row],[Landings
Night]]+MasterTable[[#This Row],[Landings
Day]]</f>
        <v>1</v>
      </c>
      <c r="AB646" s="10">
        <v>0</v>
      </c>
      <c r="AC646" s="10">
        <v>0</v>
      </c>
      <c r="AD646" s="11">
        <v>0</v>
      </c>
      <c r="AE646" s="21">
        <f>SUM(MasterTable[[#This Row],[ILS]:[PAR]])</f>
        <v>0</v>
      </c>
      <c r="AL646" s="11"/>
      <c r="AR646" s="140" t="str">
        <f>_xlfn.XLOOKUP(MasterTable[[#This Row],[Aircraft ID]],Aircraft!A:A,Aircraft!H:H)</f>
        <v>Airplane Single Engine Land</v>
      </c>
      <c r="AS646" s="8" t="b">
        <f>OR((SUM(MasterTable[[#This Row],[ILS]:[PAR]]) = MasterTable[[#This Row],[APPR]]))</f>
        <v>1</v>
      </c>
      <c r="AT646" s="8" t="b">
        <f>NOT(ISBLANK(MasterTable[[#This Row],[Total
Time]]))</f>
        <v>1</v>
      </c>
    </row>
    <row r="647" spans="4:46" ht="28.8" x14ac:dyDescent="0.3">
      <c r="D647" s="22">
        <v>43971</v>
      </c>
      <c r="E647" s="8" t="s">
        <v>75</v>
      </c>
      <c r="F647" s="8" t="s">
        <v>204</v>
      </c>
      <c r="G647" s="8" t="s">
        <v>259</v>
      </c>
      <c r="I647" s="10">
        <v>2.2000000000000002</v>
      </c>
      <c r="J647" s="10">
        <v>2.2000000000000002</v>
      </c>
      <c r="L647" s="10">
        <v>0</v>
      </c>
      <c r="M647" s="13">
        <v>0</v>
      </c>
      <c r="N647" s="13"/>
      <c r="O647" s="10">
        <v>2.2000000000000002</v>
      </c>
      <c r="P647" s="10">
        <v>0</v>
      </c>
      <c r="Q647" s="14">
        <v>0</v>
      </c>
      <c r="R647" s="14">
        <v>0</v>
      </c>
      <c r="S647" s="10">
        <v>0</v>
      </c>
      <c r="T647" s="10">
        <v>2.2000000000000002</v>
      </c>
      <c r="U647" s="14">
        <v>0</v>
      </c>
      <c r="V647" s="10"/>
      <c r="W647" s="11">
        <v>2</v>
      </c>
      <c r="X647" s="11">
        <v>2</v>
      </c>
      <c r="Y647" s="11">
        <v>0</v>
      </c>
      <c r="Z647" s="11">
        <v>0</v>
      </c>
      <c r="AA647" s="11">
        <f>MasterTable[[#This Row],[Landings
Night]]+MasterTable[[#This Row],[Landings
Day]]</f>
        <v>2</v>
      </c>
      <c r="AB647" s="10">
        <v>0</v>
      </c>
      <c r="AC647" s="10">
        <v>0</v>
      </c>
      <c r="AD647" s="11">
        <v>0</v>
      </c>
      <c r="AE647" s="21">
        <f>SUM(MasterTable[[#This Row],[ILS]:[PAR]])</f>
        <v>0</v>
      </c>
      <c r="AL647" s="11"/>
      <c r="AR647" s="140" t="str">
        <f>_xlfn.XLOOKUP(MasterTable[[#This Row],[Aircraft ID]],Aircraft!A:A,Aircraft!H:H)</f>
        <v>Airplane Single Engine Land</v>
      </c>
      <c r="AS647" s="8" t="b">
        <f>OR((SUM(MasterTable[[#This Row],[ILS]:[PAR]]) = MasterTable[[#This Row],[APPR]]))</f>
        <v>1</v>
      </c>
      <c r="AT647" s="8" t="b">
        <f>NOT(ISBLANK(MasterTable[[#This Row],[Total
Time]]))</f>
        <v>1</v>
      </c>
    </row>
    <row r="648" spans="4:46" ht="28.8" x14ac:dyDescent="0.3">
      <c r="D648" s="22">
        <v>43966</v>
      </c>
      <c r="E648" s="8" t="s">
        <v>174</v>
      </c>
      <c r="F648" s="8" t="s">
        <v>202</v>
      </c>
      <c r="G648" s="8" t="s">
        <v>204</v>
      </c>
      <c r="I648" s="10">
        <v>2.6</v>
      </c>
      <c r="J648" s="10">
        <v>2.6</v>
      </c>
      <c r="L648" s="10">
        <v>0</v>
      </c>
      <c r="M648" s="13">
        <v>0</v>
      </c>
      <c r="N648" s="13"/>
      <c r="O648" s="10">
        <v>0</v>
      </c>
      <c r="P648" s="10">
        <v>0</v>
      </c>
      <c r="Q648" s="14">
        <v>0</v>
      </c>
      <c r="R648" s="14">
        <v>0</v>
      </c>
      <c r="S648" s="10">
        <v>0</v>
      </c>
      <c r="T648" s="10">
        <v>2.6</v>
      </c>
      <c r="U648" s="14">
        <v>0</v>
      </c>
      <c r="V648" s="10"/>
      <c r="W648" s="11">
        <v>2</v>
      </c>
      <c r="X648" s="11">
        <v>2</v>
      </c>
      <c r="Y648" s="11">
        <v>0</v>
      </c>
      <c r="Z648" s="11">
        <v>0</v>
      </c>
      <c r="AA648" s="11">
        <f>MasterTable[[#This Row],[Landings
Night]]+MasterTable[[#This Row],[Landings
Day]]</f>
        <v>2</v>
      </c>
      <c r="AB648" s="10">
        <v>0</v>
      </c>
      <c r="AC648" s="10">
        <v>0.4</v>
      </c>
      <c r="AD648" s="11">
        <v>2</v>
      </c>
      <c r="AE648" s="21">
        <f>SUM(MasterTable[[#This Row],[ILS]:[PAR]])</f>
        <v>1</v>
      </c>
      <c r="AF648" s="11">
        <v>1</v>
      </c>
      <c r="AL648" s="11">
        <v>1</v>
      </c>
      <c r="AR648" s="140" t="str">
        <f>_xlfn.XLOOKUP(MasterTable[[#This Row],[Aircraft ID]],Aircraft!A:A,Aircraft!H:H)</f>
        <v>Airplane Single Engine Land</v>
      </c>
      <c r="AS648" s="8" t="b">
        <f>OR((SUM(MasterTable[[#This Row],[ILS]:[PAR]]) = MasterTable[[#This Row],[APPR]]))</f>
        <v>1</v>
      </c>
      <c r="AT648" s="8" t="b">
        <f>NOT(ISBLANK(MasterTable[[#This Row],[Total
Time]]))</f>
        <v>1</v>
      </c>
    </row>
    <row r="649" spans="4:46" ht="28.8" x14ac:dyDescent="0.3">
      <c r="D649" s="22">
        <v>43966</v>
      </c>
      <c r="E649" s="8" t="s">
        <v>60</v>
      </c>
      <c r="F649" s="8" t="s">
        <v>204</v>
      </c>
      <c r="G649" s="8" t="s">
        <v>259</v>
      </c>
      <c r="I649" s="10">
        <v>2.4</v>
      </c>
      <c r="J649" s="10">
        <v>2.4</v>
      </c>
      <c r="L649" s="10">
        <v>0</v>
      </c>
      <c r="M649" s="13">
        <v>0</v>
      </c>
      <c r="N649" s="13"/>
      <c r="O649" s="10">
        <v>2.4</v>
      </c>
      <c r="P649" s="10">
        <v>0</v>
      </c>
      <c r="Q649" s="14">
        <v>0</v>
      </c>
      <c r="R649" s="14">
        <v>0</v>
      </c>
      <c r="S649" s="10">
        <v>0</v>
      </c>
      <c r="T649" s="10">
        <v>2.4</v>
      </c>
      <c r="U649" s="14">
        <v>0</v>
      </c>
      <c r="V649" s="10"/>
      <c r="W649" s="11">
        <v>2</v>
      </c>
      <c r="X649" s="11">
        <v>2</v>
      </c>
      <c r="Y649" s="11">
        <v>0</v>
      </c>
      <c r="Z649" s="11">
        <v>0</v>
      </c>
      <c r="AA649" s="11">
        <f>MasterTable[[#This Row],[Landings
Night]]+MasterTable[[#This Row],[Landings
Day]]</f>
        <v>2</v>
      </c>
      <c r="AB649" s="10">
        <v>0</v>
      </c>
      <c r="AC649" s="10">
        <v>0</v>
      </c>
      <c r="AD649" s="11">
        <v>0</v>
      </c>
      <c r="AE649" s="21">
        <f>SUM(MasterTable[[#This Row],[ILS]:[PAR]])</f>
        <v>0</v>
      </c>
      <c r="AL649" s="11"/>
      <c r="AR649" s="140" t="str">
        <f>_xlfn.XLOOKUP(MasterTable[[#This Row],[Aircraft ID]],Aircraft!A:A,Aircraft!H:H)</f>
        <v>Airplane Single Engine Land</v>
      </c>
      <c r="AS649" s="8" t="b">
        <f>OR((SUM(MasterTable[[#This Row],[ILS]:[PAR]]) = MasterTable[[#This Row],[APPR]]))</f>
        <v>1</v>
      </c>
      <c r="AT649" s="8" t="b">
        <f>NOT(ISBLANK(MasterTable[[#This Row],[Total
Time]]))</f>
        <v>1</v>
      </c>
    </row>
    <row r="650" spans="4:46" ht="28.8" x14ac:dyDescent="0.3">
      <c r="D650" s="22">
        <v>43966</v>
      </c>
      <c r="E650" s="8" t="s">
        <v>75</v>
      </c>
      <c r="F650" s="8" t="s">
        <v>204</v>
      </c>
      <c r="G650" s="8" t="s">
        <v>204</v>
      </c>
      <c r="I650" s="10">
        <v>1.4</v>
      </c>
      <c r="J650" s="10">
        <v>1.4</v>
      </c>
      <c r="L650" s="10">
        <v>0</v>
      </c>
      <c r="M650" s="13">
        <v>0</v>
      </c>
      <c r="N650" s="13"/>
      <c r="O650" s="10">
        <v>1.4</v>
      </c>
      <c r="P650" s="10">
        <v>0</v>
      </c>
      <c r="Q650" s="14">
        <v>0</v>
      </c>
      <c r="R650" s="14">
        <v>0</v>
      </c>
      <c r="S650" s="10">
        <v>0</v>
      </c>
      <c r="T650" s="10">
        <v>0</v>
      </c>
      <c r="U650" s="14">
        <v>0</v>
      </c>
      <c r="V650" s="10"/>
      <c r="W650" s="11">
        <v>4</v>
      </c>
      <c r="X650" s="11">
        <v>4</v>
      </c>
      <c r="Y650" s="11">
        <v>0</v>
      </c>
      <c r="Z650" s="11">
        <v>0</v>
      </c>
      <c r="AA650" s="11">
        <f>MasterTable[[#This Row],[Landings
Night]]+MasterTable[[#This Row],[Landings
Day]]</f>
        <v>4</v>
      </c>
      <c r="AB650" s="10">
        <v>0</v>
      </c>
      <c r="AC650" s="10">
        <v>0</v>
      </c>
      <c r="AD650" s="11">
        <v>0</v>
      </c>
      <c r="AE650" s="21">
        <f>SUM(MasterTable[[#This Row],[ILS]:[PAR]])</f>
        <v>0</v>
      </c>
      <c r="AL650" s="11"/>
      <c r="AR650" s="140" t="str">
        <f>_xlfn.XLOOKUP(MasterTable[[#This Row],[Aircraft ID]],Aircraft!A:A,Aircraft!H:H)</f>
        <v>Airplane Single Engine Land</v>
      </c>
      <c r="AS650" s="8" t="b">
        <f>OR((SUM(MasterTable[[#This Row],[ILS]:[PAR]]) = MasterTable[[#This Row],[APPR]]))</f>
        <v>1</v>
      </c>
      <c r="AT650" s="8" t="b">
        <f>NOT(ISBLANK(MasterTable[[#This Row],[Total
Time]]))</f>
        <v>1</v>
      </c>
    </row>
    <row r="651" spans="4:46" ht="28.8" x14ac:dyDescent="0.3">
      <c r="D651" s="22">
        <v>43964</v>
      </c>
      <c r="E651" s="8" t="s">
        <v>174</v>
      </c>
      <c r="F651" s="8" t="s">
        <v>202</v>
      </c>
      <c r="G651" s="8" t="s">
        <v>202</v>
      </c>
      <c r="I651" s="10">
        <v>1.1000000000000001</v>
      </c>
      <c r="J651" s="10">
        <v>1.1000000000000001</v>
      </c>
      <c r="L651" s="10">
        <v>0</v>
      </c>
      <c r="M651" s="13">
        <v>0</v>
      </c>
      <c r="N651" s="13"/>
      <c r="O651" s="10">
        <v>1.1000000000000001</v>
      </c>
      <c r="P651" s="10">
        <v>0</v>
      </c>
      <c r="Q651" s="14">
        <v>0</v>
      </c>
      <c r="R651" s="14">
        <v>0</v>
      </c>
      <c r="S651" s="10">
        <v>0</v>
      </c>
      <c r="T651" s="10">
        <v>0</v>
      </c>
      <c r="U651" s="14">
        <v>0</v>
      </c>
      <c r="V651" s="10"/>
      <c r="W651" s="11">
        <v>1</v>
      </c>
      <c r="X651" s="11">
        <v>1</v>
      </c>
      <c r="Y651" s="11">
        <v>0</v>
      </c>
      <c r="Z651" s="11">
        <v>0</v>
      </c>
      <c r="AA651" s="11">
        <f>MasterTable[[#This Row],[Landings
Night]]+MasterTable[[#This Row],[Landings
Day]]</f>
        <v>1</v>
      </c>
      <c r="AB651" s="10">
        <v>0</v>
      </c>
      <c r="AC651" s="10">
        <v>0</v>
      </c>
      <c r="AD651" s="11">
        <v>0</v>
      </c>
      <c r="AE651" s="21">
        <f>SUM(MasterTable[[#This Row],[ILS]:[PAR]])</f>
        <v>0</v>
      </c>
      <c r="AL651" s="11"/>
      <c r="AR651" s="140" t="str">
        <f>_xlfn.XLOOKUP(MasterTable[[#This Row],[Aircraft ID]],Aircraft!A:A,Aircraft!H:H)</f>
        <v>Airplane Single Engine Land</v>
      </c>
      <c r="AS651" s="8" t="b">
        <f>OR((SUM(MasterTable[[#This Row],[ILS]:[PAR]]) = MasterTable[[#This Row],[APPR]]))</f>
        <v>1</v>
      </c>
      <c r="AT651" s="8" t="b">
        <f>NOT(ISBLANK(MasterTable[[#This Row],[Total
Time]]))</f>
        <v>1</v>
      </c>
    </row>
    <row r="652" spans="4:46" ht="28.8" x14ac:dyDescent="0.3">
      <c r="D652" s="22">
        <v>43960</v>
      </c>
      <c r="E652" s="8" t="s">
        <v>75</v>
      </c>
      <c r="F652" s="8" t="s">
        <v>204</v>
      </c>
      <c r="G652" s="8" t="s">
        <v>204</v>
      </c>
      <c r="I652" s="10">
        <v>0.9</v>
      </c>
      <c r="J652" s="10">
        <v>0.9</v>
      </c>
      <c r="L652" s="10">
        <v>0</v>
      </c>
      <c r="M652" s="13">
        <v>0</v>
      </c>
      <c r="N652" s="13"/>
      <c r="O652" s="10">
        <v>0.9</v>
      </c>
      <c r="P652" s="10">
        <v>0</v>
      </c>
      <c r="Q652" s="14">
        <v>0</v>
      </c>
      <c r="R652" s="14">
        <v>0</v>
      </c>
      <c r="S652" s="10">
        <v>0</v>
      </c>
      <c r="T652" s="10">
        <v>0</v>
      </c>
      <c r="U652" s="14">
        <v>0</v>
      </c>
      <c r="V652" s="10"/>
      <c r="W652" s="11">
        <v>6</v>
      </c>
      <c r="X652" s="11">
        <v>6</v>
      </c>
      <c r="Y652" s="11">
        <v>0</v>
      </c>
      <c r="Z652" s="11">
        <v>0</v>
      </c>
      <c r="AA652" s="11">
        <f>MasterTable[[#This Row],[Landings
Night]]+MasterTable[[#This Row],[Landings
Day]]</f>
        <v>6</v>
      </c>
      <c r="AB652" s="10">
        <v>0</v>
      </c>
      <c r="AC652" s="10">
        <v>0</v>
      </c>
      <c r="AD652" s="11">
        <v>0</v>
      </c>
      <c r="AE652" s="21">
        <f>SUM(MasterTable[[#This Row],[ILS]:[PAR]])</f>
        <v>0</v>
      </c>
      <c r="AL652" s="11"/>
      <c r="AR652" s="140" t="str">
        <f>_xlfn.XLOOKUP(MasterTable[[#This Row],[Aircraft ID]],Aircraft!A:A,Aircraft!H:H)</f>
        <v>Airplane Single Engine Land</v>
      </c>
      <c r="AS652" s="8" t="b">
        <f>OR((SUM(MasterTable[[#This Row],[ILS]:[PAR]]) = MasterTable[[#This Row],[APPR]]))</f>
        <v>1</v>
      </c>
      <c r="AT652" s="8" t="b">
        <f>NOT(ISBLANK(MasterTable[[#This Row],[Total
Time]]))</f>
        <v>1</v>
      </c>
    </row>
    <row r="653" spans="4:46" ht="28.8" x14ac:dyDescent="0.3">
      <c r="D653" s="22">
        <v>43959</v>
      </c>
      <c r="E653" s="8" t="s">
        <v>75</v>
      </c>
      <c r="F653" s="8" t="s">
        <v>204</v>
      </c>
      <c r="G653" s="8" t="s">
        <v>204</v>
      </c>
      <c r="I653" s="10">
        <v>2.2000000000000002</v>
      </c>
      <c r="J653" s="10">
        <v>2.2000000000000002</v>
      </c>
      <c r="L653" s="10">
        <v>0</v>
      </c>
      <c r="M653" s="13">
        <v>0</v>
      </c>
      <c r="N653" s="13"/>
      <c r="O653" s="10">
        <v>2.2000000000000002</v>
      </c>
      <c r="P653" s="10">
        <v>0</v>
      </c>
      <c r="Q653" s="14">
        <v>0</v>
      </c>
      <c r="R653" s="14">
        <v>0</v>
      </c>
      <c r="S653" s="10">
        <v>0</v>
      </c>
      <c r="T653" s="10">
        <v>0</v>
      </c>
      <c r="U653" s="14">
        <v>0</v>
      </c>
      <c r="V653" s="10"/>
      <c r="W653" s="11">
        <v>5</v>
      </c>
      <c r="X653" s="11">
        <v>5</v>
      </c>
      <c r="Y653" s="11">
        <v>0</v>
      </c>
      <c r="Z653" s="11">
        <v>0</v>
      </c>
      <c r="AA653" s="11">
        <f>MasterTable[[#This Row],[Landings
Night]]+MasterTable[[#This Row],[Landings
Day]]</f>
        <v>5</v>
      </c>
      <c r="AB653" s="10">
        <v>0</v>
      </c>
      <c r="AC653" s="10">
        <v>0</v>
      </c>
      <c r="AD653" s="11">
        <v>0</v>
      </c>
      <c r="AE653" s="21">
        <f>SUM(MasterTable[[#This Row],[ILS]:[PAR]])</f>
        <v>0</v>
      </c>
      <c r="AL653" s="11"/>
      <c r="AR653" s="140" t="str">
        <f>_xlfn.XLOOKUP(MasterTable[[#This Row],[Aircraft ID]],Aircraft!A:A,Aircraft!H:H)</f>
        <v>Airplane Single Engine Land</v>
      </c>
      <c r="AS653" s="8" t="b">
        <f>OR((SUM(MasterTable[[#This Row],[ILS]:[PAR]]) = MasterTable[[#This Row],[APPR]]))</f>
        <v>1</v>
      </c>
      <c r="AT653" s="8" t="b">
        <f>NOT(ISBLANK(MasterTable[[#This Row],[Total
Time]]))</f>
        <v>1</v>
      </c>
    </row>
    <row r="654" spans="4:46" ht="28.8" x14ac:dyDescent="0.3">
      <c r="D654" s="22">
        <v>43958</v>
      </c>
      <c r="E654" s="8" t="s">
        <v>121</v>
      </c>
      <c r="F654" s="8" t="s">
        <v>204</v>
      </c>
      <c r="G654" s="8" t="s">
        <v>204</v>
      </c>
      <c r="I654" s="10">
        <v>0.7</v>
      </c>
      <c r="J654" s="10">
        <v>0.7</v>
      </c>
      <c r="L654" s="10">
        <v>0</v>
      </c>
      <c r="M654" s="13">
        <v>0</v>
      </c>
      <c r="N654" s="13"/>
      <c r="O654" s="10">
        <v>0</v>
      </c>
      <c r="P654" s="10">
        <v>0</v>
      </c>
      <c r="Q654" s="14">
        <v>0</v>
      </c>
      <c r="R654" s="14">
        <v>0</v>
      </c>
      <c r="S654" s="10">
        <v>0</v>
      </c>
      <c r="T654" s="10">
        <v>0</v>
      </c>
      <c r="U654" s="14">
        <v>0</v>
      </c>
      <c r="V654" s="10"/>
      <c r="W654" s="11">
        <v>1</v>
      </c>
      <c r="X654" s="11">
        <v>1</v>
      </c>
      <c r="Y654" s="11">
        <v>0</v>
      </c>
      <c r="Z654" s="11">
        <v>0</v>
      </c>
      <c r="AA654" s="11">
        <f>MasterTable[[#This Row],[Landings
Night]]+MasterTable[[#This Row],[Landings
Day]]</f>
        <v>1</v>
      </c>
      <c r="AB654" s="10">
        <v>0</v>
      </c>
      <c r="AC654" s="10">
        <v>0</v>
      </c>
      <c r="AD654" s="11">
        <v>0</v>
      </c>
      <c r="AE654" s="21">
        <f>SUM(MasterTable[[#This Row],[ILS]:[PAR]])</f>
        <v>0</v>
      </c>
      <c r="AL654" s="11"/>
      <c r="AR654" s="140" t="str">
        <f>_xlfn.XLOOKUP(MasterTable[[#This Row],[Aircraft ID]],Aircraft!A:A,Aircraft!H:H)</f>
        <v>Airplane Single Engine Land</v>
      </c>
      <c r="AS654" s="8" t="b">
        <f>OR((SUM(MasterTable[[#This Row],[ILS]:[PAR]]) = MasterTable[[#This Row],[APPR]]))</f>
        <v>1</v>
      </c>
      <c r="AT654" s="8" t="b">
        <f>NOT(ISBLANK(MasterTable[[#This Row],[Total
Time]]))</f>
        <v>1</v>
      </c>
    </row>
    <row r="655" spans="4:46" ht="28.8" x14ac:dyDescent="0.3">
      <c r="D655" s="22">
        <v>43957</v>
      </c>
      <c r="E655" s="8" t="s">
        <v>60</v>
      </c>
      <c r="F655" s="8" t="s">
        <v>204</v>
      </c>
      <c r="G655" s="8" t="s">
        <v>204</v>
      </c>
      <c r="I655" s="10">
        <v>1</v>
      </c>
      <c r="J655" s="10">
        <v>1</v>
      </c>
      <c r="L655" s="10">
        <v>0</v>
      </c>
      <c r="M655" s="13">
        <v>0</v>
      </c>
      <c r="N655" s="13"/>
      <c r="O655" s="10">
        <v>1</v>
      </c>
      <c r="P655" s="10">
        <v>0</v>
      </c>
      <c r="Q655" s="14">
        <v>0</v>
      </c>
      <c r="R655" s="14">
        <v>0</v>
      </c>
      <c r="S655" s="10">
        <v>0</v>
      </c>
      <c r="T655" s="10">
        <v>0</v>
      </c>
      <c r="U655" s="14">
        <v>0</v>
      </c>
      <c r="V655" s="10"/>
      <c r="W655" s="11">
        <v>7</v>
      </c>
      <c r="X655" s="11">
        <v>7</v>
      </c>
      <c r="Y655" s="11">
        <v>0</v>
      </c>
      <c r="Z655" s="11">
        <v>0</v>
      </c>
      <c r="AA655" s="11">
        <f>MasterTable[[#This Row],[Landings
Night]]+MasterTable[[#This Row],[Landings
Day]]</f>
        <v>7</v>
      </c>
      <c r="AB655" s="10">
        <v>0</v>
      </c>
      <c r="AC655" s="10">
        <v>0</v>
      </c>
      <c r="AD655" s="11">
        <v>0</v>
      </c>
      <c r="AE655" s="21">
        <f>SUM(MasterTable[[#This Row],[ILS]:[PAR]])</f>
        <v>0</v>
      </c>
      <c r="AL655" s="11"/>
      <c r="AR655" s="140" t="str">
        <f>_xlfn.XLOOKUP(MasterTable[[#This Row],[Aircraft ID]],Aircraft!A:A,Aircraft!H:H)</f>
        <v>Airplane Single Engine Land</v>
      </c>
      <c r="AS655" s="8" t="b">
        <f>OR((SUM(MasterTable[[#This Row],[ILS]:[PAR]]) = MasterTable[[#This Row],[APPR]]))</f>
        <v>1</v>
      </c>
      <c r="AT655" s="8" t="b">
        <f>NOT(ISBLANK(MasterTable[[#This Row],[Total
Time]]))</f>
        <v>1</v>
      </c>
    </row>
    <row r="656" spans="4:46" ht="28.8" x14ac:dyDescent="0.3">
      <c r="D656" s="22">
        <v>43955</v>
      </c>
      <c r="E656" s="8" t="s">
        <v>75</v>
      </c>
      <c r="F656" s="8" t="s">
        <v>204</v>
      </c>
      <c r="G656" s="8" t="s">
        <v>214</v>
      </c>
      <c r="I656" s="10">
        <v>2.1</v>
      </c>
      <c r="J656" s="10">
        <v>2.1</v>
      </c>
      <c r="L656" s="10">
        <v>0</v>
      </c>
      <c r="M656" s="13">
        <v>0</v>
      </c>
      <c r="N656" s="13"/>
      <c r="O656" s="10">
        <v>2.1</v>
      </c>
      <c r="P656" s="10">
        <v>0</v>
      </c>
      <c r="Q656" s="14">
        <v>0</v>
      </c>
      <c r="R656" s="14">
        <v>0</v>
      </c>
      <c r="S656" s="10">
        <v>0</v>
      </c>
      <c r="T656" s="10">
        <v>0</v>
      </c>
      <c r="U656" s="14">
        <v>0</v>
      </c>
      <c r="V656" s="10"/>
      <c r="W656" s="11">
        <v>5</v>
      </c>
      <c r="X656" s="11">
        <v>5</v>
      </c>
      <c r="Y656" s="11">
        <v>0</v>
      </c>
      <c r="Z656" s="11">
        <v>0</v>
      </c>
      <c r="AA656" s="11">
        <f>MasterTable[[#This Row],[Landings
Night]]+MasterTable[[#This Row],[Landings
Day]]</f>
        <v>5</v>
      </c>
      <c r="AB656" s="10">
        <v>0</v>
      </c>
      <c r="AC656" s="10">
        <v>0</v>
      </c>
      <c r="AD656" s="11">
        <v>0</v>
      </c>
      <c r="AE656" s="21">
        <f>SUM(MasterTable[[#This Row],[ILS]:[PAR]])</f>
        <v>0</v>
      </c>
      <c r="AL656" s="11"/>
      <c r="AR656" s="140" t="str">
        <f>_xlfn.XLOOKUP(MasterTable[[#This Row],[Aircraft ID]],Aircraft!A:A,Aircraft!H:H)</f>
        <v>Airplane Single Engine Land</v>
      </c>
      <c r="AS656" s="8" t="b">
        <f>OR((SUM(MasterTable[[#This Row],[ILS]:[PAR]]) = MasterTable[[#This Row],[APPR]]))</f>
        <v>1</v>
      </c>
      <c r="AT656" s="8" t="b">
        <f>NOT(ISBLANK(MasterTable[[#This Row],[Total
Time]]))</f>
        <v>1</v>
      </c>
    </row>
    <row r="657" spans="4:46" ht="28.8" x14ac:dyDescent="0.3">
      <c r="D657" s="22">
        <v>43954</v>
      </c>
      <c r="E657" s="8" t="s">
        <v>75</v>
      </c>
      <c r="F657" s="8" t="s">
        <v>204</v>
      </c>
      <c r="G657" s="8" t="s">
        <v>204</v>
      </c>
      <c r="I657" s="10">
        <v>0.7</v>
      </c>
      <c r="J657" s="10">
        <v>0.7</v>
      </c>
      <c r="L657" s="10">
        <v>0</v>
      </c>
      <c r="M657" s="13">
        <v>0</v>
      </c>
      <c r="N657" s="13"/>
      <c r="O657" s="10">
        <v>0.7</v>
      </c>
      <c r="P657" s="10">
        <v>0</v>
      </c>
      <c r="Q657" s="14">
        <v>0</v>
      </c>
      <c r="R657" s="14">
        <v>0</v>
      </c>
      <c r="S657" s="10">
        <v>0</v>
      </c>
      <c r="T657" s="10">
        <v>0</v>
      </c>
      <c r="U657" s="14">
        <v>0</v>
      </c>
      <c r="V657" s="10"/>
      <c r="W657" s="11">
        <v>5</v>
      </c>
      <c r="X657" s="11">
        <v>5</v>
      </c>
      <c r="Y657" s="11">
        <v>0</v>
      </c>
      <c r="Z657" s="11">
        <v>0</v>
      </c>
      <c r="AA657" s="11">
        <f>MasterTable[[#This Row],[Landings
Night]]+MasterTable[[#This Row],[Landings
Day]]</f>
        <v>5</v>
      </c>
      <c r="AB657" s="10">
        <v>0</v>
      </c>
      <c r="AC657" s="10">
        <v>0</v>
      </c>
      <c r="AD657" s="11">
        <v>0</v>
      </c>
      <c r="AE657" s="21">
        <f>SUM(MasterTable[[#This Row],[ILS]:[PAR]])</f>
        <v>0</v>
      </c>
      <c r="AL657" s="11"/>
      <c r="AR657" s="140" t="str">
        <f>_xlfn.XLOOKUP(MasterTable[[#This Row],[Aircraft ID]],Aircraft!A:A,Aircraft!H:H)</f>
        <v>Airplane Single Engine Land</v>
      </c>
      <c r="AS657" s="8" t="b">
        <f>OR((SUM(MasterTable[[#This Row],[ILS]:[PAR]]) = MasterTable[[#This Row],[APPR]]))</f>
        <v>1</v>
      </c>
      <c r="AT657" s="8" t="b">
        <f>NOT(ISBLANK(MasterTable[[#This Row],[Total
Time]]))</f>
        <v>1</v>
      </c>
    </row>
    <row r="658" spans="4:46" ht="28.8" x14ac:dyDescent="0.3">
      <c r="D658" s="22">
        <v>43952</v>
      </c>
      <c r="E658" s="8" t="s">
        <v>60</v>
      </c>
      <c r="F658" s="8" t="s">
        <v>204</v>
      </c>
      <c r="G658" s="8" t="s">
        <v>204</v>
      </c>
      <c r="I658" s="10">
        <v>1.2</v>
      </c>
      <c r="J658" s="10">
        <v>1.2</v>
      </c>
      <c r="L658" s="10">
        <v>0</v>
      </c>
      <c r="M658" s="13">
        <v>0</v>
      </c>
      <c r="N658" s="13"/>
      <c r="O658" s="10">
        <v>1.2</v>
      </c>
      <c r="P658" s="10">
        <v>0</v>
      </c>
      <c r="Q658" s="14">
        <v>0</v>
      </c>
      <c r="R658" s="14">
        <v>0</v>
      </c>
      <c r="S658" s="10">
        <v>0</v>
      </c>
      <c r="T658" s="10">
        <v>0</v>
      </c>
      <c r="U658" s="14">
        <v>0</v>
      </c>
      <c r="V658" s="10"/>
      <c r="W658" s="11">
        <v>4</v>
      </c>
      <c r="X658" s="11">
        <v>4</v>
      </c>
      <c r="Y658" s="11">
        <v>0</v>
      </c>
      <c r="Z658" s="11">
        <v>0</v>
      </c>
      <c r="AA658" s="11">
        <f>MasterTable[[#This Row],[Landings
Night]]+MasterTable[[#This Row],[Landings
Day]]</f>
        <v>4</v>
      </c>
      <c r="AB658" s="10">
        <v>0</v>
      </c>
      <c r="AC658" s="10">
        <v>0</v>
      </c>
      <c r="AD658" s="11">
        <v>0</v>
      </c>
      <c r="AE658" s="21">
        <f>SUM(MasterTable[[#This Row],[ILS]:[PAR]])</f>
        <v>0</v>
      </c>
      <c r="AL658" s="11"/>
      <c r="AR658" s="140" t="str">
        <f>_xlfn.XLOOKUP(MasterTable[[#This Row],[Aircraft ID]],Aircraft!A:A,Aircraft!H:H)</f>
        <v>Airplane Single Engine Land</v>
      </c>
      <c r="AS658" s="8" t="b">
        <f>OR((SUM(MasterTable[[#This Row],[ILS]:[PAR]]) = MasterTable[[#This Row],[APPR]]))</f>
        <v>1</v>
      </c>
      <c r="AT658" s="8" t="b">
        <f>NOT(ISBLANK(MasterTable[[#This Row],[Total
Time]]))</f>
        <v>1</v>
      </c>
    </row>
    <row r="659" spans="4:46" ht="28.8" x14ac:dyDescent="0.3">
      <c r="D659" s="22">
        <v>43952</v>
      </c>
      <c r="E659" s="8" t="s">
        <v>75</v>
      </c>
      <c r="F659" s="8" t="s">
        <v>204</v>
      </c>
      <c r="G659" s="8" t="s">
        <v>204</v>
      </c>
      <c r="I659" s="10">
        <v>1.3</v>
      </c>
      <c r="J659" s="10">
        <v>1.3</v>
      </c>
      <c r="L659" s="10">
        <v>0</v>
      </c>
      <c r="M659" s="13">
        <v>0</v>
      </c>
      <c r="N659" s="13"/>
      <c r="O659" s="10">
        <v>1.3</v>
      </c>
      <c r="P659" s="10">
        <v>0</v>
      </c>
      <c r="Q659" s="14">
        <v>0</v>
      </c>
      <c r="R659" s="14">
        <v>0</v>
      </c>
      <c r="S659" s="10">
        <v>0</v>
      </c>
      <c r="T659" s="10">
        <v>0</v>
      </c>
      <c r="U659" s="14">
        <v>0</v>
      </c>
      <c r="V659" s="10"/>
      <c r="W659" s="11">
        <v>4</v>
      </c>
      <c r="X659" s="11">
        <v>4</v>
      </c>
      <c r="Y659" s="11">
        <v>0</v>
      </c>
      <c r="Z659" s="11">
        <v>0</v>
      </c>
      <c r="AA659" s="11">
        <f>MasterTable[[#This Row],[Landings
Night]]+MasterTable[[#This Row],[Landings
Day]]</f>
        <v>4</v>
      </c>
      <c r="AB659" s="10">
        <v>0</v>
      </c>
      <c r="AC659" s="10">
        <v>0</v>
      </c>
      <c r="AD659" s="11">
        <v>0</v>
      </c>
      <c r="AE659" s="21">
        <f>SUM(MasterTable[[#This Row],[ILS]:[PAR]])</f>
        <v>0</v>
      </c>
      <c r="AL659" s="11"/>
      <c r="AR659" s="140" t="str">
        <f>_xlfn.XLOOKUP(MasterTable[[#This Row],[Aircraft ID]],Aircraft!A:A,Aircraft!H:H)</f>
        <v>Airplane Single Engine Land</v>
      </c>
      <c r="AS659" s="8" t="b">
        <f>OR((SUM(MasterTable[[#This Row],[ILS]:[PAR]]) = MasterTable[[#This Row],[APPR]]))</f>
        <v>1</v>
      </c>
      <c r="AT659" s="8" t="b">
        <f>NOT(ISBLANK(MasterTable[[#This Row],[Total
Time]]))</f>
        <v>1</v>
      </c>
    </row>
    <row r="660" spans="4:46" ht="28.8" x14ac:dyDescent="0.3">
      <c r="D660" s="22">
        <v>43952</v>
      </c>
      <c r="E660" s="8" t="s">
        <v>75</v>
      </c>
      <c r="F660" s="8" t="s">
        <v>204</v>
      </c>
      <c r="G660" s="8" t="s">
        <v>204</v>
      </c>
      <c r="I660" s="10">
        <v>1</v>
      </c>
      <c r="J660" s="10">
        <v>1</v>
      </c>
      <c r="L660" s="10">
        <v>0</v>
      </c>
      <c r="M660" s="13">
        <v>0</v>
      </c>
      <c r="N660" s="13"/>
      <c r="O660" s="10">
        <v>1</v>
      </c>
      <c r="P660" s="10">
        <v>0</v>
      </c>
      <c r="Q660" s="14">
        <v>0</v>
      </c>
      <c r="R660" s="14">
        <v>0</v>
      </c>
      <c r="S660" s="10">
        <v>0</v>
      </c>
      <c r="T660" s="10">
        <v>0</v>
      </c>
      <c r="U660" s="14">
        <v>0</v>
      </c>
      <c r="V660" s="10"/>
      <c r="W660" s="11">
        <v>2</v>
      </c>
      <c r="X660" s="11">
        <v>2</v>
      </c>
      <c r="Y660" s="11">
        <v>0</v>
      </c>
      <c r="Z660" s="11">
        <v>0</v>
      </c>
      <c r="AA660" s="11">
        <f>MasterTable[[#This Row],[Landings
Night]]+MasterTable[[#This Row],[Landings
Day]]</f>
        <v>2</v>
      </c>
      <c r="AB660" s="10">
        <v>0</v>
      </c>
      <c r="AC660" s="10">
        <v>0</v>
      </c>
      <c r="AD660" s="11">
        <v>0</v>
      </c>
      <c r="AE660" s="21">
        <f>SUM(MasterTable[[#This Row],[ILS]:[PAR]])</f>
        <v>0</v>
      </c>
      <c r="AL660" s="11"/>
      <c r="AR660" s="140" t="str">
        <f>_xlfn.XLOOKUP(MasterTable[[#This Row],[Aircraft ID]],Aircraft!A:A,Aircraft!H:H)</f>
        <v>Airplane Single Engine Land</v>
      </c>
      <c r="AS660" s="8" t="b">
        <f>OR((SUM(MasterTable[[#This Row],[ILS]:[PAR]]) = MasterTable[[#This Row],[APPR]]))</f>
        <v>1</v>
      </c>
      <c r="AT660" s="8" t="b">
        <f>NOT(ISBLANK(MasterTable[[#This Row],[Total
Time]]))</f>
        <v>1</v>
      </c>
    </row>
    <row r="661" spans="4:46" ht="28.8" x14ac:dyDescent="0.3">
      <c r="D661" s="22">
        <v>43951</v>
      </c>
      <c r="E661" s="8" t="s">
        <v>75</v>
      </c>
      <c r="F661" s="8" t="s">
        <v>204</v>
      </c>
      <c r="G661" s="8" t="s">
        <v>252</v>
      </c>
      <c r="I661" s="10">
        <v>3.4</v>
      </c>
      <c r="J661" s="10">
        <v>3.4</v>
      </c>
      <c r="L661" s="10">
        <v>0</v>
      </c>
      <c r="M661" s="13">
        <v>0</v>
      </c>
      <c r="N661" s="13"/>
      <c r="O661" s="10">
        <v>3.4</v>
      </c>
      <c r="P661" s="10">
        <v>0</v>
      </c>
      <c r="Q661" s="14">
        <v>0</v>
      </c>
      <c r="R661" s="14">
        <v>0</v>
      </c>
      <c r="S661" s="10">
        <v>3.4</v>
      </c>
      <c r="T661" s="10">
        <v>3.4</v>
      </c>
      <c r="U661" s="14">
        <v>0</v>
      </c>
      <c r="V661" s="10"/>
      <c r="W661" s="11">
        <v>0</v>
      </c>
      <c r="X661" s="11">
        <v>0</v>
      </c>
      <c r="Y661" s="11">
        <v>2</v>
      </c>
      <c r="Z661" s="11">
        <v>2</v>
      </c>
      <c r="AA661" s="11">
        <f>MasterTable[[#This Row],[Landings
Night]]+MasterTable[[#This Row],[Landings
Day]]</f>
        <v>2</v>
      </c>
      <c r="AB661" s="10">
        <v>0</v>
      </c>
      <c r="AC661" s="10">
        <v>0</v>
      </c>
      <c r="AD661" s="11">
        <v>0</v>
      </c>
      <c r="AE661" s="21">
        <f>SUM(MasterTable[[#This Row],[ILS]:[PAR]])</f>
        <v>0</v>
      </c>
      <c r="AL661" s="11"/>
      <c r="AR661" s="140" t="str">
        <f>_xlfn.XLOOKUP(MasterTable[[#This Row],[Aircraft ID]],Aircraft!A:A,Aircraft!H:H)</f>
        <v>Airplane Single Engine Land</v>
      </c>
      <c r="AS661" s="8" t="b">
        <f>OR((SUM(MasterTable[[#This Row],[ILS]:[PAR]]) = MasterTable[[#This Row],[APPR]]))</f>
        <v>1</v>
      </c>
      <c r="AT661" s="8" t="b">
        <f>NOT(ISBLANK(MasterTable[[#This Row],[Total
Time]]))</f>
        <v>1</v>
      </c>
    </row>
    <row r="662" spans="4:46" ht="28.8" x14ac:dyDescent="0.3">
      <c r="D662" s="22">
        <v>43951</v>
      </c>
      <c r="E662" s="8" t="s">
        <v>75</v>
      </c>
      <c r="F662" s="8" t="s">
        <v>204</v>
      </c>
      <c r="G662" s="8" t="s">
        <v>258</v>
      </c>
      <c r="I662" s="10">
        <v>1.2</v>
      </c>
      <c r="J662" s="10">
        <v>1.2</v>
      </c>
      <c r="L662" s="10">
        <v>0</v>
      </c>
      <c r="M662" s="13">
        <v>0</v>
      </c>
      <c r="N662" s="13"/>
      <c r="O662" s="10">
        <v>1.2</v>
      </c>
      <c r="P662" s="10">
        <v>0</v>
      </c>
      <c r="Q662" s="14">
        <v>0</v>
      </c>
      <c r="R662" s="14">
        <v>0</v>
      </c>
      <c r="S662" s="10">
        <v>0</v>
      </c>
      <c r="T662" s="10">
        <v>0</v>
      </c>
      <c r="U662" s="14">
        <v>0</v>
      </c>
      <c r="V662" s="10"/>
      <c r="W662" s="11">
        <v>4</v>
      </c>
      <c r="X662" s="11">
        <v>4</v>
      </c>
      <c r="Y662" s="11">
        <v>0</v>
      </c>
      <c r="Z662" s="11">
        <v>0</v>
      </c>
      <c r="AA662" s="11">
        <f>MasterTable[[#This Row],[Landings
Night]]+MasterTable[[#This Row],[Landings
Day]]</f>
        <v>4</v>
      </c>
      <c r="AB662" s="10">
        <v>0</v>
      </c>
      <c r="AC662" s="10">
        <v>0</v>
      </c>
      <c r="AD662" s="11">
        <v>0</v>
      </c>
      <c r="AE662" s="21">
        <f>SUM(MasterTable[[#This Row],[ILS]:[PAR]])</f>
        <v>0</v>
      </c>
      <c r="AL662" s="11"/>
      <c r="AR662" s="140" t="str">
        <f>_xlfn.XLOOKUP(MasterTable[[#This Row],[Aircraft ID]],Aircraft!A:A,Aircraft!H:H)</f>
        <v>Airplane Single Engine Land</v>
      </c>
      <c r="AS662" s="8" t="b">
        <f>OR((SUM(MasterTable[[#This Row],[ILS]:[PAR]]) = MasterTable[[#This Row],[APPR]]))</f>
        <v>1</v>
      </c>
      <c r="AT662" s="8" t="b">
        <f>NOT(ISBLANK(MasterTable[[#This Row],[Total
Time]]))</f>
        <v>1</v>
      </c>
    </row>
    <row r="663" spans="4:46" ht="28.8" x14ac:dyDescent="0.3">
      <c r="D663" s="22">
        <v>43949</v>
      </c>
      <c r="E663" s="8" t="s">
        <v>75</v>
      </c>
      <c r="F663" s="8" t="s">
        <v>204</v>
      </c>
      <c r="G663" s="8" t="s">
        <v>204</v>
      </c>
      <c r="I663" s="10">
        <v>1.2</v>
      </c>
      <c r="J663" s="10">
        <v>1.2</v>
      </c>
      <c r="L663" s="10">
        <v>0</v>
      </c>
      <c r="M663" s="13">
        <v>0</v>
      </c>
      <c r="N663" s="13"/>
      <c r="O663" s="10">
        <v>1.2</v>
      </c>
      <c r="P663" s="10">
        <v>0</v>
      </c>
      <c r="Q663" s="14">
        <v>0</v>
      </c>
      <c r="R663" s="14">
        <v>0</v>
      </c>
      <c r="S663" s="10">
        <v>0</v>
      </c>
      <c r="T663" s="10">
        <v>0</v>
      </c>
      <c r="U663" s="14">
        <v>0</v>
      </c>
      <c r="V663" s="10"/>
      <c r="W663" s="11">
        <v>1</v>
      </c>
      <c r="X663" s="11">
        <v>1</v>
      </c>
      <c r="Y663" s="11">
        <v>0</v>
      </c>
      <c r="Z663" s="11">
        <v>0</v>
      </c>
      <c r="AA663" s="11">
        <f>MasterTable[[#This Row],[Landings
Night]]+MasterTable[[#This Row],[Landings
Day]]</f>
        <v>1</v>
      </c>
      <c r="AB663" s="10">
        <v>0</v>
      </c>
      <c r="AC663" s="10">
        <v>0</v>
      </c>
      <c r="AD663" s="11">
        <v>0</v>
      </c>
      <c r="AE663" s="21">
        <f>SUM(MasterTable[[#This Row],[ILS]:[PAR]])</f>
        <v>0</v>
      </c>
      <c r="AL663" s="11"/>
      <c r="AR663" s="140" t="str">
        <f>_xlfn.XLOOKUP(MasterTable[[#This Row],[Aircraft ID]],Aircraft!A:A,Aircraft!H:H)</f>
        <v>Airplane Single Engine Land</v>
      </c>
      <c r="AS663" s="8" t="b">
        <f>OR((SUM(MasterTable[[#This Row],[ILS]:[PAR]]) = MasterTable[[#This Row],[APPR]]))</f>
        <v>1</v>
      </c>
      <c r="AT663" s="8" t="b">
        <f>NOT(ISBLANK(MasterTable[[#This Row],[Total
Time]]))</f>
        <v>1</v>
      </c>
    </row>
    <row r="664" spans="4:46" ht="28.8" x14ac:dyDescent="0.3">
      <c r="D664" s="22">
        <v>43949</v>
      </c>
      <c r="E664" s="8" t="s">
        <v>75</v>
      </c>
      <c r="F664" s="8" t="s">
        <v>204</v>
      </c>
      <c r="G664" s="8" t="s">
        <v>204</v>
      </c>
      <c r="I664" s="10">
        <v>0.8</v>
      </c>
      <c r="J664" s="10">
        <v>0.8</v>
      </c>
      <c r="L664" s="10">
        <v>0</v>
      </c>
      <c r="M664" s="13">
        <v>0</v>
      </c>
      <c r="N664" s="13"/>
      <c r="O664" s="10">
        <v>0.8</v>
      </c>
      <c r="P664" s="10">
        <v>0</v>
      </c>
      <c r="Q664" s="14">
        <v>0</v>
      </c>
      <c r="R664" s="14">
        <v>0</v>
      </c>
      <c r="S664" s="10">
        <v>0</v>
      </c>
      <c r="T664" s="10">
        <v>0</v>
      </c>
      <c r="U664" s="14">
        <v>0</v>
      </c>
      <c r="V664" s="10"/>
      <c r="W664" s="11">
        <v>1</v>
      </c>
      <c r="X664" s="11">
        <v>1</v>
      </c>
      <c r="Y664" s="11">
        <v>0</v>
      </c>
      <c r="Z664" s="11">
        <v>0</v>
      </c>
      <c r="AA664" s="11">
        <f>MasterTable[[#This Row],[Landings
Night]]+MasterTable[[#This Row],[Landings
Day]]</f>
        <v>1</v>
      </c>
      <c r="AB664" s="10">
        <v>0</v>
      </c>
      <c r="AC664" s="10">
        <v>0</v>
      </c>
      <c r="AD664" s="11">
        <v>0</v>
      </c>
      <c r="AE664" s="21">
        <f>SUM(MasterTable[[#This Row],[ILS]:[PAR]])</f>
        <v>0</v>
      </c>
      <c r="AL664" s="11"/>
      <c r="AR664" s="140" t="str">
        <f>_xlfn.XLOOKUP(MasterTable[[#This Row],[Aircraft ID]],Aircraft!A:A,Aircraft!H:H)</f>
        <v>Airplane Single Engine Land</v>
      </c>
      <c r="AS664" s="8" t="b">
        <f>OR((SUM(MasterTable[[#This Row],[ILS]:[PAR]]) = MasterTable[[#This Row],[APPR]]))</f>
        <v>1</v>
      </c>
      <c r="AT664" s="8" t="b">
        <f>NOT(ISBLANK(MasterTable[[#This Row],[Total
Time]]))</f>
        <v>1</v>
      </c>
    </row>
    <row r="665" spans="4:46" ht="28.8" x14ac:dyDescent="0.3">
      <c r="D665" s="22">
        <v>43947</v>
      </c>
      <c r="E665" s="8" t="s">
        <v>75</v>
      </c>
      <c r="F665" s="8" t="s">
        <v>204</v>
      </c>
      <c r="G665" s="8" t="s">
        <v>204</v>
      </c>
      <c r="I665" s="10">
        <v>1.7</v>
      </c>
      <c r="J665" s="10">
        <v>1.7</v>
      </c>
      <c r="L665" s="10">
        <v>0</v>
      </c>
      <c r="M665" s="13">
        <v>0</v>
      </c>
      <c r="N665" s="13"/>
      <c r="O665" s="10">
        <v>1.7</v>
      </c>
      <c r="P665" s="10">
        <v>0</v>
      </c>
      <c r="Q665" s="14">
        <v>0</v>
      </c>
      <c r="R665" s="14">
        <v>0</v>
      </c>
      <c r="S665" s="10">
        <v>0</v>
      </c>
      <c r="T665" s="10">
        <v>0</v>
      </c>
      <c r="U665" s="14">
        <v>0</v>
      </c>
      <c r="V665" s="10"/>
      <c r="W665" s="11">
        <v>4</v>
      </c>
      <c r="X665" s="11">
        <v>4</v>
      </c>
      <c r="Y665" s="11">
        <v>0</v>
      </c>
      <c r="Z665" s="11">
        <v>0</v>
      </c>
      <c r="AA665" s="11">
        <f>MasterTable[[#This Row],[Landings
Night]]+MasterTable[[#This Row],[Landings
Day]]</f>
        <v>4</v>
      </c>
      <c r="AB665" s="10">
        <v>0</v>
      </c>
      <c r="AC665" s="10">
        <v>0</v>
      </c>
      <c r="AD665" s="11">
        <v>0</v>
      </c>
      <c r="AE665" s="21">
        <f>SUM(MasterTable[[#This Row],[ILS]:[PAR]])</f>
        <v>0</v>
      </c>
      <c r="AL665" s="11"/>
      <c r="AR665" s="140" t="str">
        <f>_xlfn.XLOOKUP(MasterTable[[#This Row],[Aircraft ID]],Aircraft!A:A,Aircraft!H:H)</f>
        <v>Airplane Single Engine Land</v>
      </c>
      <c r="AS665" s="8" t="b">
        <f>OR((SUM(MasterTable[[#This Row],[ILS]:[PAR]]) = MasterTable[[#This Row],[APPR]]))</f>
        <v>1</v>
      </c>
      <c r="AT665" s="8" t="b">
        <f>NOT(ISBLANK(MasterTable[[#This Row],[Total
Time]]))</f>
        <v>1</v>
      </c>
    </row>
    <row r="666" spans="4:46" ht="28.8" x14ac:dyDescent="0.3">
      <c r="D666" s="22">
        <v>43947</v>
      </c>
      <c r="E666" s="8" t="s">
        <v>75</v>
      </c>
      <c r="F666" s="8" t="s">
        <v>204</v>
      </c>
      <c r="G666" s="8" t="s">
        <v>204</v>
      </c>
      <c r="I666" s="10">
        <v>0.7</v>
      </c>
      <c r="J666" s="10">
        <v>0.7</v>
      </c>
      <c r="L666" s="10">
        <v>0</v>
      </c>
      <c r="M666" s="13">
        <v>0</v>
      </c>
      <c r="N666" s="13"/>
      <c r="O666" s="10">
        <v>0.7</v>
      </c>
      <c r="P666" s="10">
        <v>0</v>
      </c>
      <c r="Q666" s="14">
        <v>0</v>
      </c>
      <c r="R666" s="14">
        <v>0</v>
      </c>
      <c r="S666" s="10">
        <v>0</v>
      </c>
      <c r="T666" s="10">
        <v>0</v>
      </c>
      <c r="U666" s="14">
        <v>0</v>
      </c>
      <c r="V666" s="10"/>
      <c r="W666" s="11">
        <v>3</v>
      </c>
      <c r="X666" s="11">
        <v>3</v>
      </c>
      <c r="Y666" s="11">
        <v>0</v>
      </c>
      <c r="Z666" s="11">
        <v>0</v>
      </c>
      <c r="AA666" s="11">
        <f>MasterTable[[#This Row],[Landings
Night]]+MasterTable[[#This Row],[Landings
Day]]</f>
        <v>3</v>
      </c>
      <c r="AB666" s="10">
        <v>0</v>
      </c>
      <c r="AC666" s="10">
        <v>0</v>
      </c>
      <c r="AD666" s="11">
        <v>0</v>
      </c>
      <c r="AE666" s="21">
        <f>SUM(MasterTable[[#This Row],[ILS]:[PAR]])</f>
        <v>0</v>
      </c>
      <c r="AL666" s="11"/>
      <c r="AR666" s="140" t="str">
        <f>_xlfn.XLOOKUP(MasterTable[[#This Row],[Aircraft ID]],Aircraft!A:A,Aircraft!H:H)</f>
        <v>Airplane Single Engine Land</v>
      </c>
      <c r="AS666" s="8" t="b">
        <f>OR((SUM(MasterTable[[#This Row],[ILS]:[PAR]]) = MasterTable[[#This Row],[APPR]]))</f>
        <v>1</v>
      </c>
      <c r="AT666" s="8" t="b">
        <f>NOT(ISBLANK(MasterTable[[#This Row],[Total
Time]]))</f>
        <v>1</v>
      </c>
    </row>
    <row r="667" spans="4:46" ht="28.8" x14ac:dyDescent="0.3">
      <c r="D667" s="22">
        <v>43940</v>
      </c>
      <c r="E667" s="8" t="s">
        <v>174</v>
      </c>
      <c r="F667" s="8" t="s">
        <v>202</v>
      </c>
      <c r="G667" s="8" t="s">
        <v>273</v>
      </c>
      <c r="I667" s="10">
        <v>2.2000000000000002</v>
      </c>
      <c r="J667" s="10">
        <v>2.2000000000000002</v>
      </c>
      <c r="L667" s="10">
        <v>0</v>
      </c>
      <c r="M667" s="13">
        <v>0</v>
      </c>
      <c r="N667" s="13"/>
      <c r="O667" s="10">
        <v>0</v>
      </c>
      <c r="P667" s="10">
        <v>0</v>
      </c>
      <c r="Q667" s="14">
        <v>0</v>
      </c>
      <c r="R667" s="14">
        <v>0</v>
      </c>
      <c r="S667" s="10">
        <v>0</v>
      </c>
      <c r="T667" s="10">
        <v>2.2000000000000002</v>
      </c>
      <c r="U667" s="14">
        <v>0</v>
      </c>
      <c r="V667" s="10">
        <v>0.8</v>
      </c>
      <c r="W667" s="11">
        <v>2</v>
      </c>
      <c r="X667" s="11">
        <v>2</v>
      </c>
      <c r="Y667" s="11">
        <v>0</v>
      </c>
      <c r="Z667" s="11">
        <v>0</v>
      </c>
      <c r="AA667" s="11">
        <f>MasterTable[[#This Row],[Landings
Night]]+MasterTable[[#This Row],[Landings
Day]]</f>
        <v>2</v>
      </c>
      <c r="AB667" s="10">
        <v>0</v>
      </c>
      <c r="AC667" s="10">
        <v>0</v>
      </c>
      <c r="AD667" s="11">
        <v>0</v>
      </c>
      <c r="AE667" s="21">
        <f>SUM(MasterTable[[#This Row],[ILS]:[PAR]])</f>
        <v>0</v>
      </c>
      <c r="AL667" s="11"/>
      <c r="AR667" s="140" t="str">
        <f>_xlfn.XLOOKUP(MasterTable[[#This Row],[Aircraft ID]],Aircraft!A:A,Aircraft!H:H)</f>
        <v>Airplane Single Engine Land</v>
      </c>
      <c r="AS667" s="8" t="b">
        <f>OR((SUM(MasterTable[[#This Row],[ILS]:[PAR]]) = MasterTable[[#This Row],[APPR]]))</f>
        <v>1</v>
      </c>
      <c r="AT667" s="8" t="b">
        <f>NOT(ISBLANK(MasterTable[[#This Row],[Total
Time]]))</f>
        <v>1</v>
      </c>
    </row>
    <row r="668" spans="4:46" ht="28.8" x14ac:dyDescent="0.3">
      <c r="D668" s="22">
        <v>43933</v>
      </c>
      <c r="E668" s="8" t="s">
        <v>174</v>
      </c>
      <c r="F668" s="8" t="s">
        <v>202</v>
      </c>
      <c r="G668" s="8" t="s">
        <v>204</v>
      </c>
      <c r="I668" s="10">
        <v>2.6</v>
      </c>
      <c r="J668" s="10">
        <v>2.6</v>
      </c>
      <c r="L668" s="10">
        <v>0</v>
      </c>
      <c r="M668" s="13">
        <v>0</v>
      </c>
      <c r="N668" s="13"/>
      <c r="O668" s="10">
        <v>1.3</v>
      </c>
      <c r="P668" s="10">
        <v>0</v>
      </c>
      <c r="Q668" s="14">
        <v>0</v>
      </c>
      <c r="R668" s="14">
        <v>0</v>
      </c>
      <c r="S668" s="10">
        <v>0</v>
      </c>
      <c r="T668" s="10">
        <v>2.6</v>
      </c>
      <c r="U668" s="14">
        <v>0</v>
      </c>
      <c r="V668" s="10"/>
      <c r="W668" s="11">
        <v>2</v>
      </c>
      <c r="X668" s="11">
        <v>2</v>
      </c>
      <c r="Y668" s="11">
        <v>0</v>
      </c>
      <c r="Z668" s="11">
        <v>0</v>
      </c>
      <c r="AA668" s="11">
        <f>MasterTable[[#This Row],[Landings
Night]]+MasterTable[[#This Row],[Landings
Day]]</f>
        <v>2</v>
      </c>
      <c r="AB668" s="10">
        <v>0.2</v>
      </c>
      <c r="AC668" s="10">
        <v>0</v>
      </c>
      <c r="AD668" s="11">
        <v>0</v>
      </c>
      <c r="AE668" s="21">
        <f>SUM(MasterTable[[#This Row],[ILS]:[PAR]])</f>
        <v>1</v>
      </c>
      <c r="AF668" s="11">
        <v>1</v>
      </c>
      <c r="AL668" s="11"/>
      <c r="AR668" s="140" t="str">
        <f>_xlfn.XLOOKUP(MasterTable[[#This Row],[Aircraft ID]],Aircraft!A:A,Aircraft!H:H)</f>
        <v>Airplane Single Engine Land</v>
      </c>
      <c r="AS668" s="8" t="b">
        <f>OR((SUM(MasterTable[[#This Row],[ILS]:[PAR]]) = MasterTable[[#This Row],[APPR]]))</f>
        <v>1</v>
      </c>
      <c r="AT668" s="8" t="b">
        <f>NOT(ISBLANK(MasterTable[[#This Row],[Total
Time]]))</f>
        <v>1</v>
      </c>
    </row>
    <row r="669" spans="4:46" ht="28.8" x14ac:dyDescent="0.3">
      <c r="D669" s="22">
        <v>43921</v>
      </c>
      <c r="E669" s="8" t="s">
        <v>50</v>
      </c>
      <c r="F669" s="8" t="s">
        <v>274</v>
      </c>
      <c r="G669" s="8" t="s">
        <v>202</v>
      </c>
      <c r="I669" s="10">
        <v>0.7</v>
      </c>
      <c r="J669" s="10">
        <v>0</v>
      </c>
      <c r="L669" s="10">
        <v>0.7</v>
      </c>
      <c r="M669" s="13">
        <v>0</v>
      </c>
      <c r="N669" s="13"/>
      <c r="O669" s="10">
        <v>0</v>
      </c>
      <c r="P669" s="10">
        <v>0</v>
      </c>
      <c r="Q669" s="14">
        <v>0</v>
      </c>
      <c r="R669" s="14">
        <v>0</v>
      </c>
      <c r="S669" s="10">
        <v>0</v>
      </c>
      <c r="T669" s="10">
        <v>0</v>
      </c>
      <c r="U669" s="14">
        <v>0</v>
      </c>
      <c r="V669" s="10"/>
      <c r="W669" s="11">
        <v>1</v>
      </c>
      <c r="X669" s="11">
        <v>1</v>
      </c>
      <c r="Y669" s="11">
        <v>0</v>
      </c>
      <c r="Z669" s="11">
        <v>0</v>
      </c>
      <c r="AA669" s="11">
        <f>MasterTable[[#This Row],[Landings
Night]]+MasterTable[[#This Row],[Landings
Day]]</f>
        <v>1</v>
      </c>
      <c r="AB669" s="10">
        <v>0</v>
      </c>
      <c r="AC669" s="10">
        <v>0.4</v>
      </c>
      <c r="AD669" s="11">
        <v>0</v>
      </c>
      <c r="AE669" s="21">
        <f>SUM(MasterTable[[#This Row],[ILS]:[PAR]])</f>
        <v>1</v>
      </c>
      <c r="AI669" s="11">
        <v>1</v>
      </c>
      <c r="AL669" s="11">
        <v>1</v>
      </c>
      <c r="AR669" s="140" t="str">
        <f>_xlfn.XLOOKUP(MasterTable[[#This Row],[Aircraft ID]],Aircraft!A:A,Aircraft!H:H)</f>
        <v>Airplane Multi Engine Land</v>
      </c>
      <c r="AS669" s="8" t="b">
        <f>OR((SUM(MasterTable[[#This Row],[ILS]:[PAR]]) = MasterTable[[#This Row],[APPR]]))</f>
        <v>1</v>
      </c>
      <c r="AT669" s="8" t="b">
        <f>NOT(ISBLANK(MasterTable[[#This Row],[Total
Time]]))</f>
        <v>1</v>
      </c>
    </row>
    <row r="670" spans="4:46" ht="28.8" x14ac:dyDescent="0.3">
      <c r="D670" s="22">
        <v>43920</v>
      </c>
      <c r="E670" s="8" t="s">
        <v>50</v>
      </c>
      <c r="F670" s="8" t="s">
        <v>202</v>
      </c>
      <c r="G670" s="8" t="s">
        <v>274</v>
      </c>
      <c r="I670" s="10">
        <v>0.8</v>
      </c>
      <c r="J670" s="10">
        <v>0</v>
      </c>
      <c r="L670" s="10">
        <v>0.8</v>
      </c>
      <c r="M670" s="13">
        <v>0</v>
      </c>
      <c r="N670" s="13"/>
      <c r="O670" s="10">
        <v>0</v>
      </c>
      <c r="P670" s="10">
        <v>0</v>
      </c>
      <c r="Q670" s="14">
        <v>0</v>
      </c>
      <c r="R670" s="14">
        <v>0</v>
      </c>
      <c r="S670" s="10">
        <v>0</v>
      </c>
      <c r="T670" s="10">
        <v>0</v>
      </c>
      <c r="U670" s="14">
        <v>0</v>
      </c>
      <c r="V670" s="10"/>
      <c r="W670" s="11">
        <v>1</v>
      </c>
      <c r="X670" s="11">
        <v>1</v>
      </c>
      <c r="Y670" s="11">
        <v>0</v>
      </c>
      <c r="Z670" s="11">
        <v>0</v>
      </c>
      <c r="AA670" s="11">
        <f>MasterTable[[#This Row],[Landings
Night]]+MasterTable[[#This Row],[Landings
Day]]</f>
        <v>1</v>
      </c>
      <c r="AB670" s="10">
        <v>0.5</v>
      </c>
      <c r="AC670" s="10">
        <v>0</v>
      </c>
      <c r="AD670" s="11">
        <v>0</v>
      </c>
      <c r="AE670" s="21">
        <f>SUM(MasterTable[[#This Row],[ILS]:[PAR]])</f>
        <v>1</v>
      </c>
      <c r="AF670" s="11">
        <v>1</v>
      </c>
      <c r="AL670" s="11"/>
      <c r="AR670" s="140" t="str">
        <f>_xlfn.XLOOKUP(MasterTable[[#This Row],[Aircraft ID]],Aircraft!A:A,Aircraft!H:H)</f>
        <v>Airplane Multi Engine Land</v>
      </c>
      <c r="AS670" s="8" t="b">
        <f>OR((SUM(MasterTable[[#This Row],[ILS]:[PAR]]) = MasterTable[[#This Row],[APPR]]))</f>
        <v>1</v>
      </c>
      <c r="AT670" s="8" t="b">
        <f>NOT(ISBLANK(MasterTable[[#This Row],[Total
Time]]))</f>
        <v>1</v>
      </c>
    </row>
    <row r="671" spans="4:46" ht="28.8" x14ac:dyDescent="0.3">
      <c r="D671" s="22">
        <v>43916</v>
      </c>
      <c r="E671" s="8" t="s">
        <v>174</v>
      </c>
      <c r="F671" s="8" t="s">
        <v>202</v>
      </c>
      <c r="G671" s="8" t="s">
        <v>202</v>
      </c>
      <c r="I671" s="10">
        <v>1.2</v>
      </c>
      <c r="J671" s="10">
        <v>1.2</v>
      </c>
      <c r="L671" s="10">
        <v>0</v>
      </c>
      <c r="M671" s="13">
        <v>0</v>
      </c>
      <c r="N671" s="13"/>
      <c r="O671" s="10">
        <v>0</v>
      </c>
      <c r="P671" s="10">
        <v>0</v>
      </c>
      <c r="Q671" s="14">
        <v>0</v>
      </c>
      <c r="R671" s="14">
        <v>0</v>
      </c>
      <c r="S671" s="10">
        <v>0</v>
      </c>
      <c r="T671" s="10">
        <v>0</v>
      </c>
      <c r="U671" s="14">
        <v>0</v>
      </c>
      <c r="V671" s="10"/>
      <c r="W671" s="11">
        <v>3</v>
      </c>
      <c r="X671" s="11">
        <v>3</v>
      </c>
      <c r="Y671" s="11">
        <v>0</v>
      </c>
      <c r="Z671" s="11">
        <v>0</v>
      </c>
      <c r="AA671" s="11">
        <f>MasterTable[[#This Row],[Landings
Night]]+MasterTable[[#This Row],[Landings
Day]]</f>
        <v>3</v>
      </c>
      <c r="AB671" s="10">
        <v>0</v>
      </c>
      <c r="AC671" s="10">
        <v>0</v>
      </c>
      <c r="AD671" s="11">
        <v>0</v>
      </c>
      <c r="AE671" s="21">
        <f>SUM(MasterTable[[#This Row],[ILS]:[PAR]])</f>
        <v>0</v>
      </c>
      <c r="AL671" s="11"/>
      <c r="AR671" s="140" t="str">
        <f>_xlfn.XLOOKUP(MasterTable[[#This Row],[Aircraft ID]],Aircraft!A:A,Aircraft!H:H)</f>
        <v>Airplane Single Engine Land</v>
      </c>
      <c r="AS671" s="8" t="b">
        <f>OR((SUM(MasterTable[[#This Row],[ILS]:[PAR]]) = MasterTable[[#This Row],[APPR]]))</f>
        <v>1</v>
      </c>
      <c r="AT671" s="8" t="b">
        <f>NOT(ISBLANK(MasterTable[[#This Row],[Total
Time]]))</f>
        <v>1</v>
      </c>
    </row>
    <row r="672" spans="4:46" ht="28.8" x14ac:dyDescent="0.3">
      <c r="D672" s="22">
        <v>43909</v>
      </c>
      <c r="E672" s="8" t="s">
        <v>75</v>
      </c>
      <c r="F672" s="8" t="s">
        <v>204</v>
      </c>
      <c r="G672" s="8" t="s">
        <v>204</v>
      </c>
      <c r="I672" s="10">
        <v>0.5</v>
      </c>
      <c r="J672" s="10">
        <v>0.5</v>
      </c>
      <c r="L672" s="10">
        <v>0</v>
      </c>
      <c r="M672" s="13">
        <v>0</v>
      </c>
      <c r="N672" s="13"/>
      <c r="O672" s="10">
        <v>0.5</v>
      </c>
      <c r="P672" s="10">
        <v>0</v>
      </c>
      <c r="Q672" s="14">
        <v>0</v>
      </c>
      <c r="R672" s="14">
        <v>0</v>
      </c>
      <c r="S672" s="10">
        <v>0</v>
      </c>
      <c r="T672" s="10">
        <v>0</v>
      </c>
      <c r="U672" s="14">
        <v>0</v>
      </c>
      <c r="V672" s="10"/>
      <c r="W672" s="11">
        <v>3</v>
      </c>
      <c r="X672" s="11">
        <v>3</v>
      </c>
      <c r="Y672" s="11">
        <v>0</v>
      </c>
      <c r="Z672" s="11">
        <v>0</v>
      </c>
      <c r="AA672" s="11">
        <f>MasterTable[[#This Row],[Landings
Night]]+MasterTable[[#This Row],[Landings
Day]]</f>
        <v>3</v>
      </c>
      <c r="AB672" s="10">
        <v>0</v>
      </c>
      <c r="AC672" s="10">
        <v>0</v>
      </c>
      <c r="AD672" s="11">
        <v>0</v>
      </c>
      <c r="AE672" s="21">
        <f>SUM(MasterTable[[#This Row],[ILS]:[PAR]])</f>
        <v>0</v>
      </c>
      <c r="AL672" s="11"/>
      <c r="AR672" s="140" t="str">
        <f>_xlfn.XLOOKUP(MasterTable[[#This Row],[Aircraft ID]],Aircraft!A:A,Aircraft!H:H)</f>
        <v>Airplane Single Engine Land</v>
      </c>
      <c r="AS672" s="8" t="b">
        <f>OR((SUM(MasterTable[[#This Row],[ILS]:[PAR]]) = MasterTable[[#This Row],[APPR]]))</f>
        <v>1</v>
      </c>
      <c r="AT672" s="8" t="b">
        <f>NOT(ISBLANK(MasterTable[[#This Row],[Total
Time]]))</f>
        <v>1</v>
      </c>
    </row>
    <row r="673" spans="4:46" ht="28.8" x14ac:dyDescent="0.3">
      <c r="D673" s="22">
        <v>43908</v>
      </c>
      <c r="E673" s="8" t="s">
        <v>75</v>
      </c>
      <c r="F673" s="8" t="s">
        <v>204</v>
      </c>
      <c r="G673" s="8" t="s">
        <v>204</v>
      </c>
      <c r="I673" s="10">
        <v>1.1000000000000001</v>
      </c>
      <c r="J673" s="10">
        <v>1.1000000000000001</v>
      </c>
      <c r="L673" s="10">
        <v>0</v>
      </c>
      <c r="M673" s="13">
        <v>0</v>
      </c>
      <c r="N673" s="13"/>
      <c r="O673" s="10">
        <v>1.1000000000000001</v>
      </c>
      <c r="P673" s="10">
        <v>0</v>
      </c>
      <c r="Q673" s="14">
        <v>0</v>
      </c>
      <c r="R673" s="14">
        <v>0</v>
      </c>
      <c r="S673" s="10">
        <v>0</v>
      </c>
      <c r="T673" s="10">
        <v>0</v>
      </c>
      <c r="U673" s="14">
        <v>0</v>
      </c>
      <c r="V673" s="10"/>
      <c r="W673" s="11">
        <v>8</v>
      </c>
      <c r="X673" s="11">
        <v>8</v>
      </c>
      <c r="Y673" s="11">
        <v>0</v>
      </c>
      <c r="Z673" s="11">
        <v>0</v>
      </c>
      <c r="AA673" s="11">
        <f>MasterTable[[#This Row],[Landings
Night]]+MasterTable[[#This Row],[Landings
Day]]</f>
        <v>8</v>
      </c>
      <c r="AB673" s="10">
        <v>0</v>
      </c>
      <c r="AC673" s="10">
        <v>0</v>
      </c>
      <c r="AD673" s="11">
        <v>0</v>
      </c>
      <c r="AE673" s="21">
        <f>SUM(MasterTable[[#This Row],[ILS]:[PAR]])</f>
        <v>0</v>
      </c>
      <c r="AL673" s="11"/>
      <c r="AR673" s="140" t="str">
        <f>_xlfn.XLOOKUP(MasterTable[[#This Row],[Aircraft ID]],Aircraft!A:A,Aircraft!H:H)</f>
        <v>Airplane Single Engine Land</v>
      </c>
      <c r="AS673" s="8" t="b">
        <f>OR((SUM(MasterTable[[#This Row],[ILS]:[PAR]]) = MasterTable[[#This Row],[APPR]]))</f>
        <v>1</v>
      </c>
      <c r="AT673" s="8" t="b">
        <f>NOT(ISBLANK(MasterTable[[#This Row],[Total
Time]]))</f>
        <v>1</v>
      </c>
    </row>
    <row r="674" spans="4:46" ht="28.8" x14ac:dyDescent="0.3">
      <c r="D674" s="22">
        <v>43908</v>
      </c>
      <c r="E674" s="8" t="s">
        <v>121</v>
      </c>
      <c r="F674" s="8" t="s">
        <v>204</v>
      </c>
      <c r="G674" s="8" t="s">
        <v>204</v>
      </c>
      <c r="I674" s="10">
        <v>1</v>
      </c>
      <c r="J674" s="10">
        <v>1</v>
      </c>
      <c r="L674" s="10">
        <v>0</v>
      </c>
      <c r="M674" s="13">
        <v>0</v>
      </c>
      <c r="N674" s="13"/>
      <c r="O674" s="10">
        <v>1</v>
      </c>
      <c r="P674" s="10">
        <v>0</v>
      </c>
      <c r="Q674" s="14">
        <v>0</v>
      </c>
      <c r="R674" s="14">
        <v>0</v>
      </c>
      <c r="S674" s="10">
        <v>0</v>
      </c>
      <c r="T674" s="10">
        <v>0</v>
      </c>
      <c r="U674" s="14">
        <v>0</v>
      </c>
      <c r="V674" s="10"/>
      <c r="W674" s="11">
        <v>4</v>
      </c>
      <c r="X674" s="11">
        <v>4</v>
      </c>
      <c r="Y674" s="11">
        <v>0</v>
      </c>
      <c r="Z674" s="11">
        <v>0</v>
      </c>
      <c r="AA674" s="11">
        <f>MasterTable[[#This Row],[Landings
Night]]+MasterTable[[#This Row],[Landings
Day]]</f>
        <v>4</v>
      </c>
      <c r="AB674" s="10">
        <v>0</v>
      </c>
      <c r="AC674" s="10">
        <v>0</v>
      </c>
      <c r="AD674" s="11">
        <v>0</v>
      </c>
      <c r="AE674" s="21">
        <f>SUM(MasterTable[[#This Row],[ILS]:[PAR]])</f>
        <v>0</v>
      </c>
      <c r="AL674" s="11"/>
      <c r="AR674" s="140" t="str">
        <f>_xlfn.XLOOKUP(MasterTable[[#This Row],[Aircraft ID]],Aircraft!A:A,Aircraft!H:H)</f>
        <v>Airplane Single Engine Land</v>
      </c>
      <c r="AS674" s="8" t="b">
        <f>OR((SUM(MasterTable[[#This Row],[ILS]:[PAR]]) = MasterTable[[#This Row],[APPR]]))</f>
        <v>1</v>
      </c>
      <c r="AT674" s="8" t="b">
        <f>NOT(ISBLANK(MasterTable[[#This Row],[Total
Time]]))</f>
        <v>1</v>
      </c>
    </row>
    <row r="675" spans="4:46" ht="28.8" x14ac:dyDescent="0.3">
      <c r="D675" s="22">
        <v>43907</v>
      </c>
      <c r="E675" s="8" t="s">
        <v>75</v>
      </c>
      <c r="F675" s="8" t="s">
        <v>204</v>
      </c>
      <c r="G675" s="8" t="s">
        <v>204</v>
      </c>
      <c r="I675" s="10">
        <v>1.3</v>
      </c>
      <c r="J675" s="10">
        <v>1.3</v>
      </c>
      <c r="L675" s="10">
        <v>0</v>
      </c>
      <c r="M675" s="13">
        <v>0</v>
      </c>
      <c r="N675" s="13"/>
      <c r="O675" s="10">
        <v>1.3</v>
      </c>
      <c r="P675" s="10">
        <v>0</v>
      </c>
      <c r="Q675" s="14">
        <v>0</v>
      </c>
      <c r="R675" s="14">
        <v>0</v>
      </c>
      <c r="S675" s="10">
        <v>0</v>
      </c>
      <c r="T675" s="10">
        <v>0</v>
      </c>
      <c r="U675" s="14">
        <v>0</v>
      </c>
      <c r="V675" s="10"/>
      <c r="W675" s="11">
        <v>1</v>
      </c>
      <c r="X675" s="11">
        <v>1</v>
      </c>
      <c r="Y675" s="11">
        <v>0</v>
      </c>
      <c r="Z675" s="11">
        <v>0</v>
      </c>
      <c r="AA675" s="11">
        <f>MasterTable[[#This Row],[Landings
Night]]+MasterTable[[#This Row],[Landings
Day]]</f>
        <v>1</v>
      </c>
      <c r="AB675" s="10">
        <v>0</v>
      </c>
      <c r="AC675" s="10">
        <v>0</v>
      </c>
      <c r="AD675" s="11">
        <v>0</v>
      </c>
      <c r="AE675" s="21">
        <f>SUM(MasterTable[[#This Row],[ILS]:[PAR]])</f>
        <v>0</v>
      </c>
      <c r="AL675" s="11"/>
      <c r="AR675" s="140" t="str">
        <f>_xlfn.XLOOKUP(MasterTable[[#This Row],[Aircraft ID]],Aircraft!A:A,Aircraft!H:H)</f>
        <v>Airplane Single Engine Land</v>
      </c>
      <c r="AS675" s="8" t="b">
        <f>OR((SUM(MasterTable[[#This Row],[ILS]:[PAR]]) = MasterTable[[#This Row],[APPR]]))</f>
        <v>1</v>
      </c>
      <c r="AT675" s="8" t="b">
        <f>NOT(ISBLANK(MasterTable[[#This Row],[Total
Time]]))</f>
        <v>1</v>
      </c>
    </row>
    <row r="676" spans="4:46" ht="28.8" x14ac:dyDescent="0.3">
      <c r="D676" s="22">
        <v>43899</v>
      </c>
      <c r="E676" s="8" t="s">
        <v>75</v>
      </c>
      <c r="F676" s="8" t="s">
        <v>204</v>
      </c>
      <c r="G676" s="8" t="s">
        <v>214</v>
      </c>
      <c r="I676" s="10">
        <v>1.7</v>
      </c>
      <c r="J676" s="10">
        <v>1.7</v>
      </c>
      <c r="L676" s="10">
        <v>0</v>
      </c>
      <c r="M676" s="13">
        <v>0</v>
      </c>
      <c r="N676" s="13"/>
      <c r="O676" s="10">
        <v>1.7</v>
      </c>
      <c r="P676" s="10">
        <v>0</v>
      </c>
      <c r="Q676" s="14">
        <v>0</v>
      </c>
      <c r="R676" s="14">
        <v>0</v>
      </c>
      <c r="S676" s="10">
        <v>0</v>
      </c>
      <c r="T676" s="10">
        <v>0</v>
      </c>
      <c r="U676" s="14">
        <v>0</v>
      </c>
      <c r="V676" s="10"/>
      <c r="W676" s="11">
        <v>8</v>
      </c>
      <c r="X676" s="11">
        <v>8</v>
      </c>
      <c r="Y676" s="11">
        <v>0</v>
      </c>
      <c r="Z676" s="11">
        <v>0</v>
      </c>
      <c r="AA676" s="11">
        <f>MasterTable[[#This Row],[Landings
Night]]+MasterTable[[#This Row],[Landings
Day]]</f>
        <v>8</v>
      </c>
      <c r="AB676" s="10">
        <v>0</v>
      </c>
      <c r="AC676" s="10">
        <v>0</v>
      </c>
      <c r="AD676" s="11">
        <v>0</v>
      </c>
      <c r="AE676" s="21">
        <f>SUM(MasterTable[[#This Row],[ILS]:[PAR]])</f>
        <v>0</v>
      </c>
      <c r="AL676" s="11"/>
      <c r="AR676" s="140" t="str">
        <f>_xlfn.XLOOKUP(MasterTable[[#This Row],[Aircraft ID]],Aircraft!A:A,Aircraft!H:H)</f>
        <v>Airplane Single Engine Land</v>
      </c>
      <c r="AS676" s="8" t="b">
        <f>OR((SUM(MasterTable[[#This Row],[ILS]:[PAR]]) = MasterTable[[#This Row],[APPR]]))</f>
        <v>1</v>
      </c>
      <c r="AT676" s="8" t="b">
        <f>NOT(ISBLANK(MasterTable[[#This Row],[Total
Time]]))</f>
        <v>1</v>
      </c>
    </row>
    <row r="677" spans="4:46" ht="28.8" x14ac:dyDescent="0.3">
      <c r="D677" s="22">
        <v>43899</v>
      </c>
      <c r="E677" s="8" t="s">
        <v>60</v>
      </c>
      <c r="F677" s="8" t="s">
        <v>204</v>
      </c>
      <c r="G677" s="8" t="s">
        <v>204</v>
      </c>
      <c r="I677" s="10">
        <v>0.5</v>
      </c>
      <c r="J677" s="10">
        <v>0.5</v>
      </c>
      <c r="L677" s="10">
        <v>0</v>
      </c>
      <c r="M677" s="13">
        <v>0</v>
      </c>
      <c r="N677" s="13"/>
      <c r="O677" s="10">
        <v>0.5</v>
      </c>
      <c r="P677" s="10">
        <v>0</v>
      </c>
      <c r="Q677" s="14">
        <v>0</v>
      </c>
      <c r="R677" s="14">
        <v>0</v>
      </c>
      <c r="S677" s="10">
        <v>0</v>
      </c>
      <c r="T677" s="10">
        <v>0</v>
      </c>
      <c r="U677" s="14">
        <v>0</v>
      </c>
      <c r="V677" s="10"/>
      <c r="W677" s="11">
        <v>1</v>
      </c>
      <c r="X677" s="11">
        <v>1</v>
      </c>
      <c r="Y677" s="11">
        <v>0</v>
      </c>
      <c r="Z677" s="11">
        <v>0</v>
      </c>
      <c r="AA677" s="11">
        <f>MasterTable[[#This Row],[Landings
Night]]+MasterTable[[#This Row],[Landings
Day]]</f>
        <v>1</v>
      </c>
      <c r="AB677" s="10">
        <v>0</v>
      </c>
      <c r="AC677" s="10">
        <v>0</v>
      </c>
      <c r="AD677" s="11">
        <v>0</v>
      </c>
      <c r="AE677" s="21">
        <f>SUM(MasterTable[[#This Row],[ILS]:[PAR]])</f>
        <v>0</v>
      </c>
      <c r="AL677" s="11"/>
      <c r="AR677" s="140" t="str">
        <f>_xlfn.XLOOKUP(MasterTable[[#This Row],[Aircraft ID]],Aircraft!A:A,Aircraft!H:H)</f>
        <v>Airplane Single Engine Land</v>
      </c>
      <c r="AS677" s="8" t="b">
        <f>OR((SUM(MasterTable[[#This Row],[ILS]:[PAR]]) = MasterTable[[#This Row],[APPR]]))</f>
        <v>1</v>
      </c>
      <c r="AT677" s="8" t="b">
        <f>NOT(ISBLANK(MasterTable[[#This Row],[Total
Time]]))</f>
        <v>1</v>
      </c>
    </row>
    <row r="678" spans="4:46" ht="28.8" x14ac:dyDescent="0.3">
      <c r="D678" s="22">
        <v>43899</v>
      </c>
      <c r="E678" s="8" t="s">
        <v>60</v>
      </c>
      <c r="F678" s="8" t="s">
        <v>204</v>
      </c>
      <c r="G678" s="8" t="s">
        <v>204</v>
      </c>
      <c r="I678" s="10">
        <v>1</v>
      </c>
      <c r="J678" s="10">
        <v>1</v>
      </c>
      <c r="L678" s="10">
        <v>0</v>
      </c>
      <c r="M678" s="13">
        <v>0</v>
      </c>
      <c r="N678" s="13"/>
      <c r="O678" s="10">
        <v>1</v>
      </c>
      <c r="P678" s="10">
        <v>0</v>
      </c>
      <c r="Q678" s="14">
        <v>0</v>
      </c>
      <c r="R678" s="14">
        <v>0</v>
      </c>
      <c r="S678" s="10">
        <v>0</v>
      </c>
      <c r="T678" s="10">
        <v>0</v>
      </c>
      <c r="U678" s="14">
        <v>0</v>
      </c>
      <c r="V678" s="10"/>
      <c r="W678" s="11">
        <v>8</v>
      </c>
      <c r="X678" s="11">
        <v>8</v>
      </c>
      <c r="Y678" s="11">
        <v>0</v>
      </c>
      <c r="Z678" s="11">
        <v>0</v>
      </c>
      <c r="AA678" s="11">
        <f>MasterTable[[#This Row],[Landings
Night]]+MasterTable[[#This Row],[Landings
Day]]</f>
        <v>8</v>
      </c>
      <c r="AB678" s="10">
        <v>0</v>
      </c>
      <c r="AC678" s="10">
        <v>0</v>
      </c>
      <c r="AD678" s="11">
        <v>0</v>
      </c>
      <c r="AE678" s="21">
        <f>SUM(MasterTable[[#This Row],[ILS]:[PAR]])</f>
        <v>0</v>
      </c>
      <c r="AL678" s="11"/>
      <c r="AR678" s="140" t="str">
        <f>_xlfn.XLOOKUP(MasterTable[[#This Row],[Aircraft ID]],Aircraft!A:A,Aircraft!H:H)</f>
        <v>Airplane Single Engine Land</v>
      </c>
      <c r="AS678" s="8" t="b">
        <f>OR((SUM(MasterTable[[#This Row],[ILS]:[PAR]]) = MasterTable[[#This Row],[APPR]]))</f>
        <v>1</v>
      </c>
      <c r="AT678" s="8" t="b">
        <f>NOT(ISBLANK(MasterTable[[#This Row],[Total
Time]]))</f>
        <v>1</v>
      </c>
    </row>
    <row r="679" spans="4:46" ht="28.8" x14ac:dyDescent="0.3">
      <c r="D679" s="22">
        <v>43898</v>
      </c>
      <c r="E679" s="8" t="s">
        <v>75</v>
      </c>
      <c r="F679" s="8" t="s">
        <v>204</v>
      </c>
      <c r="G679" s="8" t="s">
        <v>204</v>
      </c>
      <c r="I679" s="10">
        <v>1.2</v>
      </c>
      <c r="J679" s="10">
        <v>1.2</v>
      </c>
      <c r="L679" s="10">
        <v>0</v>
      </c>
      <c r="M679" s="13">
        <v>0</v>
      </c>
      <c r="N679" s="13"/>
      <c r="O679" s="10">
        <v>1.2</v>
      </c>
      <c r="P679" s="10">
        <v>0</v>
      </c>
      <c r="Q679" s="14">
        <v>0</v>
      </c>
      <c r="R679" s="14">
        <v>0</v>
      </c>
      <c r="S679" s="10">
        <v>1.2</v>
      </c>
      <c r="T679" s="10">
        <v>0</v>
      </c>
      <c r="U679" s="14">
        <v>0</v>
      </c>
      <c r="V679" s="10"/>
      <c r="W679" s="11">
        <v>0</v>
      </c>
      <c r="X679" s="11">
        <v>0</v>
      </c>
      <c r="Y679" s="11">
        <v>8</v>
      </c>
      <c r="Z679" s="11">
        <v>8</v>
      </c>
      <c r="AA679" s="11">
        <f>MasterTable[[#This Row],[Landings
Night]]+MasterTable[[#This Row],[Landings
Day]]</f>
        <v>8</v>
      </c>
      <c r="AB679" s="10">
        <v>0</v>
      </c>
      <c r="AC679" s="10">
        <v>0</v>
      </c>
      <c r="AD679" s="11">
        <v>0</v>
      </c>
      <c r="AE679" s="21">
        <f>SUM(MasterTable[[#This Row],[ILS]:[PAR]])</f>
        <v>0</v>
      </c>
      <c r="AL679" s="11"/>
      <c r="AR679" s="140" t="str">
        <f>_xlfn.XLOOKUP(MasterTable[[#This Row],[Aircraft ID]],Aircraft!A:A,Aircraft!H:H)</f>
        <v>Airplane Single Engine Land</v>
      </c>
      <c r="AS679" s="8" t="b">
        <f>OR((SUM(MasterTable[[#This Row],[ILS]:[PAR]]) = MasterTable[[#This Row],[APPR]]))</f>
        <v>1</v>
      </c>
      <c r="AT679" s="8" t="b">
        <f>NOT(ISBLANK(MasterTable[[#This Row],[Total
Time]]))</f>
        <v>1</v>
      </c>
    </row>
    <row r="680" spans="4:46" ht="28.8" x14ac:dyDescent="0.3">
      <c r="D680" s="22">
        <v>43898</v>
      </c>
      <c r="E680" s="8" t="s">
        <v>60</v>
      </c>
      <c r="F680" s="8" t="s">
        <v>204</v>
      </c>
      <c r="G680" s="8" t="s">
        <v>204</v>
      </c>
      <c r="I680" s="10">
        <v>1</v>
      </c>
      <c r="J680" s="10">
        <v>1</v>
      </c>
      <c r="L680" s="10">
        <v>0</v>
      </c>
      <c r="M680" s="13">
        <v>0</v>
      </c>
      <c r="N680" s="13"/>
      <c r="O680" s="10">
        <v>1</v>
      </c>
      <c r="P680" s="10">
        <v>0</v>
      </c>
      <c r="Q680" s="14">
        <v>0</v>
      </c>
      <c r="R680" s="14">
        <v>0</v>
      </c>
      <c r="S680" s="10">
        <v>0</v>
      </c>
      <c r="T680" s="10">
        <v>0</v>
      </c>
      <c r="U680" s="14">
        <v>0</v>
      </c>
      <c r="V680" s="10"/>
      <c r="W680" s="11">
        <v>2</v>
      </c>
      <c r="X680" s="11">
        <v>2</v>
      </c>
      <c r="Y680" s="11">
        <v>0</v>
      </c>
      <c r="Z680" s="11">
        <v>0</v>
      </c>
      <c r="AA680" s="11">
        <f>MasterTable[[#This Row],[Landings
Night]]+MasterTable[[#This Row],[Landings
Day]]</f>
        <v>2</v>
      </c>
      <c r="AB680" s="10">
        <v>0</v>
      </c>
      <c r="AC680" s="10">
        <v>0</v>
      </c>
      <c r="AD680" s="11">
        <v>0</v>
      </c>
      <c r="AE680" s="21">
        <f>SUM(MasterTable[[#This Row],[ILS]:[PAR]])</f>
        <v>0</v>
      </c>
      <c r="AL680" s="11"/>
      <c r="AR680" s="140" t="str">
        <f>_xlfn.XLOOKUP(MasterTable[[#This Row],[Aircraft ID]],Aircraft!A:A,Aircraft!H:H)</f>
        <v>Airplane Single Engine Land</v>
      </c>
      <c r="AS680" s="8" t="b">
        <f>OR((SUM(MasterTable[[#This Row],[ILS]:[PAR]]) = MasterTable[[#This Row],[APPR]]))</f>
        <v>1</v>
      </c>
      <c r="AT680" s="8" t="b">
        <f>NOT(ISBLANK(MasterTable[[#This Row],[Total
Time]]))</f>
        <v>1</v>
      </c>
    </row>
    <row r="681" spans="4:46" ht="28.8" x14ac:dyDescent="0.3">
      <c r="D681" s="22">
        <v>43896</v>
      </c>
      <c r="E681" s="8" t="s">
        <v>75</v>
      </c>
      <c r="F681" s="8" t="s">
        <v>204</v>
      </c>
      <c r="G681" s="8" t="s">
        <v>204</v>
      </c>
      <c r="I681" s="10">
        <v>1.1000000000000001</v>
      </c>
      <c r="J681" s="10">
        <v>1.1000000000000001</v>
      </c>
      <c r="L681" s="10">
        <v>0</v>
      </c>
      <c r="M681" s="13">
        <v>0</v>
      </c>
      <c r="N681" s="13"/>
      <c r="O681" s="10">
        <v>1.1000000000000001</v>
      </c>
      <c r="P681" s="10">
        <v>0</v>
      </c>
      <c r="Q681" s="14">
        <v>0</v>
      </c>
      <c r="R681" s="14">
        <v>0</v>
      </c>
      <c r="S681" s="10">
        <v>0</v>
      </c>
      <c r="T681" s="10">
        <v>0</v>
      </c>
      <c r="U681" s="14">
        <v>0</v>
      </c>
      <c r="V681" s="10"/>
      <c r="W681" s="11">
        <v>1</v>
      </c>
      <c r="X681" s="11">
        <v>1</v>
      </c>
      <c r="Y681" s="11">
        <v>0</v>
      </c>
      <c r="Z681" s="11">
        <v>0</v>
      </c>
      <c r="AA681" s="11">
        <f>MasterTable[[#This Row],[Landings
Night]]+MasterTable[[#This Row],[Landings
Day]]</f>
        <v>1</v>
      </c>
      <c r="AB681" s="10">
        <v>0</v>
      </c>
      <c r="AC681" s="10">
        <v>0</v>
      </c>
      <c r="AD681" s="11">
        <v>0</v>
      </c>
      <c r="AE681" s="21">
        <f>SUM(MasterTable[[#This Row],[ILS]:[PAR]])</f>
        <v>0</v>
      </c>
      <c r="AL681" s="11"/>
      <c r="AR681" s="140" t="str">
        <f>_xlfn.XLOOKUP(MasterTable[[#This Row],[Aircraft ID]],Aircraft!A:A,Aircraft!H:H)</f>
        <v>Airplane Single Engine Land</v>
      </c>
      <c r="AS681" s="8" t="b">
        <f>OR((SUM(MasterTable[[#This Row],[ILS]:[PAR]]) = MasterTable[[#This Row],[APPR]]))</f>
        <v>1</v>
      </c>
      <c r="AT681" s="8" t="b">
        <f>NOT(ISBLANK(MasterTable[[#This Row],[Total
Time]]))</f>
        <v>1</v>
      </c>
    </row>
    <row r="682" spans="4:46" ht="28.8" x14ac:dyDescent="0.3">
      <c r="D682" s="22">
        <v>43892</v>
      </c>
      <c r="E682" s="8" t="s">
        <v>75</v>
      </c>
      <c r="F682" s="8" t="s">
        <v>204</v>
      </c>
      <c r="G682" s="8" t="s">
        <v>204</v>
      </c>
      <c r="I682" s="10">
        <v>1.1000000000000001</v>
      </c>
      <c r="J682" s="10">
        <v>1.1000000000000001</v>
      </c>
      <c r="L682" s="10">
        <v>0</v>
      </c>
      <c r="M682" s="13">
        <v>0</v>
      </c>
      <c r="N682" s="13"/>
      <c r="O682" s="10">
        <v>1.1000000000000001</v>
      </c>
      <c r="P682" s="10">
        <v>0</v>
      </c>
      <c r="Q682" s="14">
        <v>0</v>
      </c>
      <c r="R682" s="14">
        <v>0</v>
      </c>
      <c r="S682" s="10">
        <v>0</v>
      </c>
      <c r="T682" s="10">
        <v>0</v>
      </c>
      <c r="U682" s="14">
        <v>0</v>
      </c>
      <c r="V682" s="10"/>
      <c r="W682" s="11">
        <v>5</v>
      </c>
      <c r="X682" s="11">
        <v>5</v>
      </c>
      <c r="Y682" s="11">
        <v>0</v>
      </c>
      <c r="Z682" s="11">
        <v>0</v>
      </c>
      <c r="AA682" s="11">
        <f>MasterTable[[#This Row],[Landings
Night]]+MasterTable[[#This Row],[Landings
Day]]</f>
        <v>5</v>
      </c>
      <c r="AB682" s="10">
        <v>0</v>
      </c>
      <c r="AC682" s="10">
        <v>0</v>
      </c>
      <c r="AD682" s="11">
        <v>0</v>
      </c>
      <c r="AE682" s="21">
        <f>SUM(MasterTable[[#This Row],[ILS]:[PAR]])</f>
        <v>0</v>
      </c>
      <c r="AL682" s="11"/>
      <c r="AR682" s="140" t="str">
        <f>_xlfn.XLOOKUP(MasterTable[[#This Row],[Aircraft ID]],Aircraft!A:A,Aircraft!H:H)</f>
        <v>Airplane Single Engine Land</v>
      </c>
      <c r="AS682" s="8" t="b">
        <f>OR((SUM(MasterTable[[#This Row],[ILS]:[PAR]]) = MasterTable[[#This Row],[APPR]]))</f>
        <v>1</v>
      </c>
      <c r="AT682" s="8" t="b">
        <f>NOT(ISBLANK(MasterTable[[#This Row],[Total
Time]]))</f>
        <v>1</v>
      </c>
    </row>
    <row r="683" spans="4:46" ht="28.8" x14ac:dyDescent="0.3">
      <c r="D683" s="22">
        <v>43892</v>
      </c>
      <c r="E683" s="8" t="s">
        <v>60</v>
      </c>
      <c r="F683" s="8" t="s">
        <v>204</v>
      </c>
      <c r="G683" s="8" t="s">
        <v>259</v>
      </c>
      <c r="I683" s="10">
        <v>2.1</v>
      </c>
      <c r="J683" s="10">
        <v>2.1</v>
      </c>
      <c r="L683" s="10">
        <v>0</v>
      </c>
      <c r="M683" s="13">
        <v>0</v>
      </c>
      <c r="N683" s="13"/>
      <c r="O683" s="10">
        <v>2.1</v>
      </c>
      <c r="P683" s="10">
        <v>0</v>
      </c>
      <c r="Q683" s="14">
        <v>0</v>
      </c>
      <c r="R683" s="14">
        <v>0</v>
      </c>
      <c r="S683" s="10">
        <v>0</v>
      </c>
      <c r="T683" s="10">
        <v>2.1</v>
      </c>
      <c r="U683" s="14">
        <v>0</v>
      </c>
      <c r="V683" s="10"/>
      <c r="W683" s="11">
        <v>2</v>
      </c>
      <c r="X683" s="11">
        <v>2</v>
      </c>
      <c r="Y683" s="11">
        <v>0</v>
      </c>
      <c r="Z683" s="11">
        <v>0</v>
      </c>
      <c r="AA683" s="11">
        <f>MasterTable[[#This Row],[Landings
Night]]+MasterTable[[#This Row],[Landings
Day]]</f>
        <v>2</v>
      </c>
      <c r="AB683" s="10">
        <v>0</v>
      </c>
      <c r="AC683" s="10">
        <v>0</v>
      </c>
      <c r="AD683" s="11">
        <v>0</v>
      </c>
      <c r="AE683" s="21">
        <f>SUM(MasterTable[[#This Row],[ILS]:[PAR]])</f>
        <v>0</v>
      </c>
      <c r="AL683" s="11"/>
      <c r="AR683" s="140" t="str">
        <f>_xlfn.XLOOKUP(MasterTable[[#This Row],[Aircraft ID]],Aircraft!A:A,Aircraft!H:H)</f>
        <v>Airplane Single Engine Land</v>
      </c>
      <c r="AS683" s="8" t="b">
        <f>OR((SUM(MasterTable[[#This Row],[ILS]:[PAR]]) = MasterTable[[#This Row],[APPR]]))</f>
        <v>1</v>
      </c>
      <c r="AT683" s="8" t="b">
        <f>NOT(ISBLANK(MasterTable[[#This Row],[Total
Time]]))</f>
        <v>1</v>
      </c>
    </row>
    <row r="684" spans="4:46" ht="28.8" x14ac:dyDescent="0.3">
      <c r="D684" s="22">
        <v>43890</v>
      </c>
      <c r="E684" s="8" t="s">
        <v>60</v>
      </c>
      <c r="F684" s="8" t="s">
        <v>204</v>
      </c>
      <c r="G684" s="8" t="s">
        <v>204</v>
      </c>
      <c r="I684" s="10">
        <v>1.2</v>
      </c>
      <c r="J684" s="10">
        <v>1.2</v>
      </c>
      <c r="L684" s="10">
        <v>0</v>
      </c>
      <c r="M684" s="13">
        <v>0</v>
      </c>
      <c r="N684" s="13"/>
      <c r="O684" s="10">
        <v>1.2</v>
      </c>
      <c r="P684" s="10">
        <v>0</v>
      </c>
      <c r="Q684" s="14">
        <v>0</v>
      </c>
      <c r="R684" s="14">
        <v>0</v>
      </c>
      <c r="S684" s="10">
        <v>0</v>
      </c>
      <c r="T684" s="10">
        <v>0</v>
      </c>
      <c r="U684" s="14">
        <v>0</v>
      </c>
      <c r="V684" s="10"/>
      <c r="W684" s="11">
        <v>4</v>
      </c>
      <c r="X684" s="11">
        <v>4</v>
      </c>
      <c r="Y684" s="11">
        <v>0</v>
      </c>
      <c r="Z684" s="11">
        <v>0</v>
      </c>
      <c r="AA684" s="11">
        <f>MasterTable[[#This Row],[Landings
Night]]+MasterTable[[#This Row],[Landings
Day]]</f>
        <v>4</v>
      </c>
      <c r="AB684" s="10">
        <v>0</v>
      </c>
      <c r="AC684" s="10">
        <v>0</v>
      </c>
      <c r="AD684" s="11">
        <v>0</v>
      </c>
      <c r="AE684" s="21">
        <f>SUM(MasterTable[[#This Row],[ILS]:[PAR]])</f>
        <v>0</v>
      </c>
      <c r="AL684" s="11"/>
      <c r="AR684" s="140" t="str">
        <f>_xlfn.XLOOKUP(MasterTable[[#This Row],[Aircraft ID]],Aircraft!A:A,Aircraft!H:H)</f>
        <v>Airplane Single Engine Land</v>
      </c>
      <c r="AS684" s="8" t="b">
        <f>OR((SUM(MasterTable[[#This Row],[ILS]:[PAR]]) = MasterTable[[#This Row],[APPR]]))</f>
        <v>1</v>
      </c>
      <c r="AT684" s="8" t="b">
        <f>NOT(ISBLANK(MasterTable[[#This Row],[Total
Time]]))</f>
        <v>1</v>
      </c>
    </row>
    <row r="685" spans="4:46" ht="28.8" x14ac:dyDescent="0.3">
      <c r="D685" s="22">
        <v>43890</v>
      </c>
      <c r="E685" s="8" t="s">
        <v>75</v>
      </c>
      <c r="F685" s="8" t="s">
        <v>204</v>
      </c>
      <c r="G685" s="8" t="s">
        <v>204</v>
      </c>
      <c r="I685" s="10">
        <v>0.8</v>
      </c>
      <c r="J685" s="10">
        <v>0.8</v>
      </c>
      <c r="L685" s="10">
        <v>0</v>
      </c>
      <c r="M685" s="13">
        <v>0</v>
      </c>
      <c r="N685" s="13"/>
      <c r="O685" s="10">
        <v>0.8</v>
      </c>
      <c r="P685" s="10">
        <v>0</v>
      </c>
      <c r="Q685" s="14">
        <v>0</v>
      </c>
      <c r="R685" s="14">
        <v>0</v>
      </c>
      <c r="S685" s="10">
        <v>0</v>
      </c>
      <c r="T685" s="10">
        <v>0</v>
      </c>
      <c r="U685" s="14">
        <v>0</v>
      </c>
      <c r="V685" s="10"/>
      <c r="W685" s="11">
        <v>1</v>
      </c>
      <c r="X685" s="11">
        <v>1</v>
      </c>
      <c r="Y685" s="11">
        <v>0</v>
      </c>
      <c r="Z685" s="11">
        <v>0</v>
      </c>
      <c r="AA685" s="11">
        <f>MasterTable[[#This Row],[Landings
Night]]+MasterTable[[#This Row],[Landings
Day]]</f>
        <v>1</v>
      </c>
      <c r="AB685" s="10">
        <v>0</v>
      </c>
      <c r="AC685" s="10">
        <v>0</v>
      </c>
      <c r="AD685" s="11">
        <v>0</v>
      </c>
      <c r="AE685" s="21">
        <f>SUM(MasterTable[[#This Row],[ILS]:[PAR]])</f>
        <v>0</v>
      </c>
      <c r="AL685" s="11"/>
      <c r="AR685" s="140" t="str">
        <f>_xlfn.XLOOKUP(MasterTable[[#This Row],[Aircraft ID]],Aircraft!A:A,Aircraft!H:H)</f>
        <v>Airplane Single Engine Land</v>
      </c>
      <c r="AS685" s="8" t="b">
        <f>OR((SUM(MasterTable[[#This Row],[ILS]:[PAR]]) = MasterTable[[#This Row],[APPR]]))</f>
        <v>1</v>
      </c>
      <c r="AT685" s="8" t="b">
        <f>NOT(ISBLANK(MasterTable[[#This Row],[Total
Time]]))</f>
        <v>1</v>
      </c>
    </row>
    <row r="686" spans="4:46" ht="28.8" x14ac:dyDescent="0.3">
      <c r="D686" s="22">
        <v>43890</v>
      </c>
      <c r="E686" s="8" t="s">
        <v>64</v>
      </c>
      <c r="F686" s="8" t="s">
        <v>204</v>
      </c>
      <c r="G686" s="8" t="s">
        <v>204</v>
      </c>
      <c r="I686" s="10">
        <v>1.1000000000000001</v>
      </c>
      <c r="J686" s="10">
        <v>1.1000000000000001</v>
      </c>
      <c r="L686" s="10">
        <v>0</v>
      </c>
      <c r="M686" s="13">
        <v>0</v>
      </c>
      <c r="N686" s="13"/>
      <c r="O686" s="10">
        <v>1.1000000000000001</v>
      </c>
      <c r="P686" s="10">
        <v>0</v>
      </c>
      <c r="Q686" s="14">
        <v>0</v>
      </c>
      <c r="R686" s="14">
        <v>0</v>
      </c>
      <c r="S686" s="10">
        <v>0</v>
      </c>
      <c r="T686" s="10">
        <v>0</v>
      </c>
      <c r="U686" s="14">
        <v>0</v>
      </c>
      <c r="V686" s="10"/>
      <c r="W686" s="11">
        <v>1</v>
      </c>
      <c r="X686" s="11">
        <v>1</v>
      </c>
      <c r="Y686" s="11">
        <v>0</v>
      </c>
      <c r="Z686" s="11">
        <v>0</v>
      </c>
      <c r="AA686" s="11">
        <f>MasterTable[[#This Row],[Landings
Night]]+MasterTable[[#This Row],[Landings
Day]]</f>
        <v>1</v>
      </c>
      <c r="AB686" s="10">
        <v>0</v>
      </c>
      <c r="AC686" s="10">
        <v>0</v>
      </c>
      <c r="AD686" s="11">
        <v>0</v>
      </c>
      <c r="AE686" s="21">
        <f>SUM(MasterTable[[#This Row],[ILS]:[PAR]])</f>
        <v>0</v>
      </c>
      <c r="AL686" s="11"/>
      <c r="AR686" s="140" t="str">
        <f>_xlfn.XLOOKUP(MasterTable[[#This Row],[Aircraft ID]],Aircraft!A:A,Aircraft!H:H)</f>
        <v>Airplane Single Engine Land</v>
      </c>
      <c r="AS686" s="8" t="b">
        <f>OR((SUM(MasterTable[[#This Row],[ILS]:[PAR]]) = MasterTable[[#This Row],[APPR]]))</f>
        <v>1</v>
      </c>
      <c r="AT686" s="8" t="b">
        <f>NOT(ISBLANK(MasterTable[[#This Row],[Total
Time]]))</f>
        <v>1</v>
      </c>
    </row>
    <row r="687" spans="4:46" ht="28.8" x14ac:dyDescent="0.3">
      <c r="D687" s="22">
        <v>43890</v>
      </c>
      <c r="E687" s="8" t="s">
        <v>60</v>
      </c>
      <c r="F687" s="8" t="s">
        <v>204</v>
      </c>
      <c r="G687" s="8" t="s">
        <v>204</v>
      </c>
      <c r="I687" s="10">
        <v>1</v>
      </c>
      <c r="J687" s="10">
        <v>1</v>
      </c>
      <c r="L687" s="10">
        <v>0</v>
      </c>
      <c r="M687" s="13">
        <v>0</v>
      </c>
      <c r="N687" s="13"/>
      <c r="O687" s="10">
        <v>1</v>
      </c>
      <c r="P687" s="10">
        <v>0</v>
      </c>
      <c r="Q687" s="14">
        <v>0</v>
      </c>
      <c r="R687" s="14">
        <v>0</v>
      </c>
      <c r="S687" s="10">
        <v>0</v>
      </c>
      <c r="T687" s="10">
        <v>0</v>
      </c>
      <c r="U687" s="14">
        <v>0</v>
      </c>
      <c r="V687" s="10"/>
      <c r="W687" s="11">
        <v>3</v>
      </c>
      <c r="X687" s="11">
        <v>3</v>
      </c>
      <c r="Y687" s="11">
        <v>0</v>
      </c>
      <c r="Z687" s="11">
        <v>0</v>
      </c>
      <c r="AA687" s="11">
        <f>MasterTable[[#This Row],[Landings
Night]]+MasterTable[[#This Row],[Landings
Day]]</f>
        <v>3</v>
      </c>
      <c r="AB687" s="10">
        <v>0</v>
      </c>
      <c r="AC687" s="10">
        <v>0</v>
      </c>
      <c r="AD687" s="11">
        <v>0</v>
      </c>
      <c r="AE687" s="21">
        <f>SUM(MasterTable[[#This Row],[ILS]:[PAR]])</f>
        <v>0</v>
      </c>
      <c r="AL687" s="11"/>
      <c r="AR687" s="140" t="str">
        <f>_xlfn.XLOOKUP(MasterTable[[#This Row],[Aircraft ID]],Aircraft!A:A,Aircraft!H:H)</f>
        <v>Airplane Single Engine Land</v>
      </c>
      <c r="AS687" s="8" t="b">
        <f>OR((SUM(MasterTable[[#This Row],[ILS]:[PAR]]) = MasterTable[[#This Row],[APPR]]))</f>
        <v>1</v>
      </c>
      <c r="AT687" s="8" t="b">
        <f>NOT(ISBLANK(MasterTable[[#This Row],[Total
Time]]))</f>
        <v>1</v>
      </c>
    </row>
    <row r="688" spans="4:46" ht="28.8" x14ac:dyDescent="0.3">
      <c r="D688" s="22">
        <v>43889</v>
      </c>
      <c r="E688" s="8" t="s">
        <v>160</v>
      </c>
      <c r="F688" s="8" t="s">
        <v>204</v>
      </c>
      <c r="G688" s="8" t="s">
        <v>260</v>
      </c>
      <c r="I688" s="10">
        <v>0.7</v>
      </c>
      <c r="J688" s="10">
        <v>0.7</v>
      </c>
      <c r="L688" s="10">
        <v>0</v>
      </c>
      <c r="M688" s="13">
        <v>0</v>
      </c>
      <c r="N688" s="13"/>
      <c r="O688" s="10">
        <v>0</v>
      </c>
      <c r="P688" s="10">
        <v>0</v>
      </c>
      <c r="Q688" s="14">
        <v>0</v>
      </c>
      <c r="R688" s="14">
        <v>0</v>
      </c>
      <c r="S688" s="10">
        <v>0</v>
      </c>
      <c r="T688" s="10">
        <v>0.7</v>
      </c>
      <c r="U688" s="14">
        <v>0</v>
      </c>
      <c r="V688" s="10"/>
      <c r="W688" s="11">
        <v>1</v>
      </c>
      <c r="X688" s="11">
        <v>1</v>
      </c>
      <c r="Y688" s="11">
        <v>0</v>
      </c>
      <c r="Z688" s="11">
        <v>0</v>
      </c>
      <c r="AA688" s="11">
        <f>MasterTable[[#This Row],[Landings
Night]]+MasterTable[[#This Row],[Landings
Day]]</f>
        <v>1</v>
      </c>
      <c r="AB688" s="10">
        <v>0</v>
      </c>
      <c r="AC688" s="10">
        <v>0</v>
      </c>
      <c r="AD688" s="11">
        <v>0</v>
      </c>
      <c r="AE688" s="21">
        <f>SUM(MasterTable[[#This Row],[ILS]:[PAR]])</f>
        <v>0</v>
      </c>
      <c r="AL688" s="11"/>
      <c r="AR688" s="140" t="str">
        <f>_xlfn.XLOOKUP(MasterTable[[#This Row],[Aircraft ID]],Aircraft!A:A,Aircraft!H:H)</f>
        <v>Airplane Multi Engine Land</v>
      </c>
      <c r="AS688" s="8" t="b">
        <f>OR((SUM(MasterTable[[#This Row],[ILS]:[PAR]]) = MasterTable[[#This Row],[APPR]]))</f>
        <v>1</v>
      </c>
      <c r="AT688" s="8" t="b">
        <f>NOT(ISBLANK(MasterTable[[#This Row],[Total
Time]]))</f>
        <v>1</v>
      </c>
    </row>
    <row r="689" spans="4:46" ht="28.8" x14ac:dyDescent="0.3">
      <c r="D689" s="22">
        <v>43885</v>
      </c>
      <c r="E689" s="8" t="s">
        <v>60</v>
      </c>
      <c r="F689" s="8" t="s">
        <v>204</v>
      </c>
      <c r="G689" s="8" t="s">
        <v>204</v>
      </c>
      <c r="I689" s="10">
        <v>0.6</v>
      </c>
      <c r="J689" s="10">
        <v>0.6</v>
      </c>
      <c r="L689" s="10">
        <v>0</v>
      </c>
      <c r="M689" s="13">
        <v>0</v>
      </c>
      <c r="N689" s="13"/>
      <c r="O689" s="10">
        <v>0.6</v>
      </c>
      <c r="P689" s="10">
        <v>0</v>
      </c>
      <c r="Q689" s="14">
        <v>0</v>
      </c>
      <c r="R689" s="14">
        <v>0</v>
      </c>
      <c r="S689" s="10">
        <v>0</v>
      </c>
      <c r="T689" s="10">
        <v>0</v>
      </c>
      <c r="U689" s="14">
        <v>0</v>
      </c>
      <c r="V689" s="10"/>
      <c r="W689" s="11">
        <v>4</v>
      </c>
      <c r="X689" s="11">
        <v>4</v>
      </c>
      <c r="Y689" s="11">
        <v>0</v>
      </c>
      <c r="Z689" s="11">
        <v>0</v>
      </c>
      <c r="AA689" s="11">
        <f>MasterTable[[#This Row],[Landings
Night]]+MasterTable[[#This Row],[Landings
Day]]</f>
        <v>4</v>
      </c>
      <c r="AB689" s="10">
        <v>0</v>
      </c>
      <c r="AC689" s="10">
        <v>0</v>
      </c>
      <c r="AD689" s="11">
        <v>0</v>
      </c>
      <c r="AE689" s="21">
        <f>SUM(MasterTable[[#This Row],[ILS]:[PAR]])</f>
        <v>0</v>
      </c>
      <c r="AL689" s="11"/>
      <c r="AR689" s="140" t="str">
        <f>_xlfn.XLOOKUP(MasterTable[[#This Row],[Aircraft ID]],Aircraft!A:A,Aircraft!H:H)</f>
        <v>Airplane Single Engine Land</v>
      </c>
      <c r="AS689" s="8" t="b">
        <f>OR((SUM(MasterTable[[#This Row],[ILS]:[PAR]]) = MasterTable[[#This Row],[APPR]]))</f>
        <v>1</v>
      </c>
      <c r="AT689" s="8" t="b">
        <f>NOT(ISBLANK(MasterTable[[#This Row],[Total
Time]]))</f>
        <v>1</v>
      </c>
    </row>
    <row r="690" spans="4:46" ht="28.8" x14ac:dyDescent="0.3">
      <c r="D690" s="22">
        <v>43884</v>
      </c>
      <c r="E690" s="8" t="s">
        <v>75</v>
      </c>
      <c r="F690" s="8" t="s">
        <v>204</v>
      </c>
      <c r="G690" s="8" t="s">
        <v>260</v>
      </c>
      <c r="I690" s="10">
        <v>2.2000000000000002</v>
      </c>
      <c r="J690" s="10">
        <v>2.2000000000000002</v>
      </c>
      <c r="L690" s="10">
        <v>0</v>
      </c>
      <c r="M690" s="13">
        <v>0</v>
      </c>
      <c r="N690" s="13"/>
      <c r="O690" s="10">
        <v>2.2000000000000002</v>
      </c>
      <c r="P690" s="10">
        <v>0</v>
      </c>
      <c r="Q690" s="14">
        <v>0</v>
      </c>
      <c r="R690" s="14">
        <v>0</v>
      </c>
      <c r="S690" s="10">
        <v>0</v>
      </c>
      <c r="T690" s="10">
        <v>2.2000000000000002</v>
      </c>
      <c r="U690" s="14">
        <v>0</v>
      </c>
      <c r="V690" s="10"/>
      <c r="W690" s="11">
        <v>2</v>
      </c>
      <c r="X690" s="11">
        <v>2</v>
      </c>
      <c r="Y690" s="11">
        <v>0</v>
      </c>
      <c r="Z690" s="11">
        <v>0</v>
      </c>
      <c r="AA690" s="11">
        <f>MasterTable[[#This Row],[Landings
Night]]+MasterTable[[#This Row],[Landings
Day]]</f>
        <v>2</v>
      </c>
      <c r="AB690" s="10">
        <v>0</v>
      </c>
      <c r="AC690" s="10">
        <v>0</v>
      </c>
      <c r="AD690" s="11">
        <v>0</v>
      </c>
      <c r="AE690" s="21">
        <f>SUM(MasterTable[[#This Row],[ILS]:[PAR]])</f>
        <v>0</v>
      </c>
      <c r="AL690" s="11"/>
      <c r="AR690" s="140" t="str">
        <f>_xlfn.XLOOKUP(MasterTable[[#This Row],[Aircraft ID]],Aircraft!A:A,Aircraft!H:H)</f>
        <v>Airplane Single Engine Land</v>
      </c>
      <c r="AS690" s="8" t="b">
        <f>OR((SUM(MasterTable[[#This Row],[ILS]:[PAR]]) = MasterTable[[#This Row],[APPR]]))</f>
        <v>1</v>
      </c>
      <c r="AT690" s="8" t="b">
        <f>NOT(ISBLANK(MasterTable[[#This Row],[Total
Time]]))</f>
        <v>1</v>
      </c>
    </row>
    <row r="691" spans="4:46" ht="28.8" x14ac:dyDescent="0.3">
      <c r="D691" s="22">
        <v>43884</v>
      </c>
      <c r="E691" s="8" t="s">
        <v>60</v>
      </c>
      <c r="F691" s="8" t="s">
        <v>204</v>
      </c>
      <c r="G691" s="8" t="s">
        <v>204</v>
      </c>
      <c r="I691" s="10">
        <v>1.5</v>
      </c>
      <c r="J691" s="10">
        <v>1.5</v>
      </c>
      <c r="L691" s="10">
        <v>0</v>
      </c>
      <c r="M691" s="13">
        <v>0</v>
      </c>
      <c r="N691" s="13"/>
      <c r="O691" s="10">
        <v>1.5</v>
      </c>
      <c r="P691" s="10">
        <v>0</v>
      </c>
      <c r="Q691" s="14">
        <v>0</v>
      </c>
      <c r="R691" s="14">
        <v>0</v>
      </c>
      <c r="S691" s="10">
        <v>0</v>
      </c>
      <c r="T691" s="10">
        <v>0</v>
      </c>
      <c r="U691" s="14">
        <v>0</v>
      </c>
      <c r="V691" s="10"/>
      <c r="W691" s="11">
        <v>8</v>
      </c>
      <c r="X691" s="11">
        <v>8</v>
      </c>
      <c r="Y691" s="11">
        <v>0</v>
      </c>
      <c r="Z691" s="11">
        <v>0</v>
      </c>
      <c r="AA691" s="11">
        <f>MasterTable[[#This Row],[Landings
Night]]+MasterTable[[#This Row],[Landings
Day]]</f>
        <v>8</v>
      </c>
      <c r="AB691" s="10">
        <v>0</v>
      </c>
      <c r="AC691" s="10">
        <v>0</v>
      </c>
      <c r="AD691" s="11">
        <v>0</v>
      </c>
      <c r="AE691" s="21">
        <f>SUM(MasterTable[[#This Row],[ILS]:[PAR]])</f>
        <v>0</v>
      </c>
      <c r="AL691" s="11"/>
      <c r="AR691" s="140" t="str">
        <f>_xlfn.XLOOKUP(MasterTable[[#This Row],[Aircraft ID]],Aircraft!A:A,Aircraft!H:H)</f>
        <v>Airplane Single Engine Land</v>
      </c>
      <c r="AS691" s="8" t="b">
        <f>OR((SUM(MasterTable[[#This Row],[ILS]:[PAR]]) = MasterTable[[#This Row],[APPR]]))</f>
        <v>1</v>
      </c>
      <c r="AT691" s="8" t="b">
        <f>NOT(ISBLANK(MasterTable[[#This Row],[Total
Time]]))</f>
        <v>1</v>
      </c>
    </row>
    <row r="692" spans="4:46" ht="28.8" x14ac:dyDescent="0.3">
      <c r="D692" s="22">
        <v>43884</v>
      </c>
      <c r="E692" s="8" t="s">
        <v>60</v>
      </c>
      <c r="F692" s="8" t="s">
        <v>204</v>
      </c>
      <c r="G692" s="8" t="s">
        <v>204</v>
      </c>
      <c r="I692" s="10">
        <v>0.7</v>
      </c>
      <c r="J692" s="10">
        <v>0.7</v>
      </c>
      <c r="L692" s="10">
        <v>0</v>
      </c>
      <c r="M692" s="13">
        <v>0</v>
      </c>
      <c r="N692" s="13"/>
      <c r="O692" s="10">
        <v>0.7</v>
      </c>
      <c r="P692" s="10">
        <v>0</v>
      </c>
      <c r="Q692" s="14">
        <v>0</v>
      </c>
      <c r="R692" s="14">
        <v>0</v>
      </c>
      <c r="S692" s="10">
        <v>0</v>
      </c>
      <c r="T692" s="10">
        <v>0</v>
      </c>
      <c r="U692" s="14">
        <v>0</v>
      </c>
      <c r="V692" s="10"/>
      <c r="W692" s="11">
        <v>3</v>
      </c>
      <c r="X692" s="11">
        <v>3</v>
      </c>
      <c r="Y692" s="11">
        <v>0</v>
      </c>
      <c r="Z692" s="11">
        <v>0</v>
      </c>
      <c r="AA692" s="11">
        <f>MasterTable[[#This Row],[Landings
Night]]+MasterTable[[#This Row],[Landings
Day]]</f>
        <v>3</v>
      </c>
      <c r="AB692" s="10">
        <v>0</v>
      </c>
      <c r="AC692" s="10">
        <v>0</v>
      </c>
      <c r="AD692" s="11">
        <v>0</v>
      </c>
      <c r="AE692" s="21">
        <f>SUM(MasterTable[[#This Row],[ILS]:[PAR]])</f>
        <v>0</v>
      </c>
      <c r="AL692" s="11"/>
      <c r="AR692" s="140" t="str">
        <f>_xlfn.XLOOKUP(MasterTable[[#This Row],[Aircraft ID]],Aircraft!A:A,Aircraft!H:H)</f>
        <v>Airplane Single Engine Land</v>
      </c>
      <c r="AS692" s="8" t="b">
        <f>OR((SUM(MasterTable[[#This Row],[ILS]:[PAR]]) = MasterTable[[#This Row],[APPR]]))</f>
        <v>1</v>
      </c>
      <c r="AT692" s="8" t="b">
        <f>NOT(ISBLANK(MasterTable[[#This Row],[Total
Time]]))</f>
        <v>1</v>
      </c>
    </row>
    <row r="693" spans="4:46" ht="28.8" x14ac:dyDescent="0.3">
      <c r="D693" s="22">
        <v>43883</v>
      </c>
      <c r="E693" s="8" t="s">
        <v>75</v>
      </c>
      <c r="F693" s="8" t="s">
        <v>204</v>
      </c>
      <c r="G693" s="8" t="s">
        <v>204</v>
      </c>
      <c r="I693" s="10">
        <v>1</v>
      </c>
      <c r="J693" s="10">
        <v>1</v>
      </c>
      <c r="L693" s="10">
        <v>0</v>
      </c>
      <c r="M693" s="13">
        <v>0</v>
      </c>
      <c r="N693" s="13"/>
      <c r="O693" s="10">
        <v>1</v>
      </c>
      <c r="P693" s="10">
        <v>0</v>
      </c>
      <c r="Q693" s="14">
        <v>0</v>
      </c>
      <c r="R693" s="14">
        <v>0</v>
      </c>
      <c r="S693" s="10">
        <v>0</v>
      </c>
      <c r="T693" s="10">
        <v>0</v>
      </c>
      <c r="U693" s="14">
        <v>0</v>
      </c>
      <c r="V693" s="10"/>
      <c r="W693" s="11">
        <v>5</v>
      </c>
      <c r="X693" s="11">
        <v>5</v>
      </c>
      <c r="Y693" s="11">
        <v>0</v>
      </c>
      <c r="Z693" s="11">
        <v>0</v>
      </c>
      <c r="AA693" s="11">
        <f>MasterTable[[#This Row],[Landings
Night]]+MasterTable[[#This Row],[Landings
Day]]</f>
        <v>5</v>
      </c>
      <c r="AB693" s="10">
        <v>0</v>
      </c>
      <c r="AC693" s="10">
        <v>0</v>
      </c>
      <c r="AD693" s="11">
        <v>0</v>
      </c>
      <c r="AE693" s="21">
        <f>SUM(MasterTable[[#This Row],[ILS]:[PAR]])</f>
        <v>0</v>
      </c>
      <c r="AL693" s="11"/>
      <c r="AR693" s="140" t="str">
        <f>_xlfn.XLOOKUP(MasterTable[[#This Row],[Aircraft ID]],Aircraft!A:A,Aircraft!H:H)</f>
        <v>Airplane Single Engine Land</v>
      </c>
      <c r="AS693" s="8" t="b">
        <f>OR((SUM(MasterTable[[#This Row],[ILS]:[PAR]]) = MasterTable[[#This Row],[APPR]]))</f>
        <v>1</v>
      </c>
      <c r="AT693" s="8" t="b">
        <f>NOT(ISBLANK(MasterTable[[#This Row],[Total
Time]]))</f>
        <v>1</v>
      </c>
    </row>
    <row r="694" spans="4:46" ht="28.8" x14ac:dyDescent="0.3">
      <c r="D694" s="22">
        <v>43883</v>
      </c>
      <c r="E694" s="8" t="s">
        <v>75</v>
      </c>
      <c r="F694" s="8" t="s">
        <v>204</v>
      </c>
      <c r="G694" s="8" t="s">
        <v>204</v>
      </c>
      <c r="I694" s="10">
        <v>1</v>
      </c>
      <c r="J694" s="10">
        <v>1</v>
      </c>
      <c r="L694" s="10">
        <v>0</v>
      </c>
      <c r="M694" s="13">
        <v>0</v>
      </c>
      <c r="N694" s="13"/>
      <c r="O694" s="10">
        <v>1</v>
      </c>
      <c r="P694" s="10">
        <v>0</v>
      </c>
      <c r="Q694" s="14">
        <v>0</v>
      </c>
      <c r="R694" s="14">
        <v>0</v>
      </c>
      <c r="S694" s="10">
        <v>0</v>
      </c>
      <c r="T694" s="10">
        <v>0</v>
      </c>
      <c r="U694" s="14">
        <v>0</v>
      </c>
      <c r="V694" s="10"/>
      <c r="W694" s="11">
        <v>1</v>
      </c>
      <c r="X694" s="11">
        <v>1</v>
      </c>
      <c r="Y694" s="11">
        <v>0</v>
      </c>
      <c r="Z694" s="11">
        <v>0</v>
      </c>
      <c r="AA694" s="11">
        <f>MasterTable[[#This Row],[Landings
Night]]+MasterTable[[#This Row],[Landings
Day]]</f>
        <v>1</v>
      </c>
      <c r="AB694" s="10">
        <v>0</v>
      </c>
      <c r="AC694" s="10">
        <v>0</v>
      </c>
      <c r="AD694" s="11">
        <v>0</v>
      </c>
      <c r="AE694" s="21">
        <f>SUM(MasterTable[[#This Row],[ILS]:[PAR]])</f>
        <v>0</v>
      </c>
      <c r="AL694" s="11"/>
      <c r="AR694" s="140" t="str">
        <f>_xlfn.XLOOKUP(MasterTable[[#This Row],[Aircraft ID]],Aircraft!A:A,Aircraft!H:H)</f>
        <v>Airplane Single Engine Land</v>
      </c>
      <c r="AS694" s="8" t="b">
        <f>OR((SUM(MasterTable[[#This Row],[ILS]:[PAR]]) = MasterTable[[#This Row],[APPR]]))</f>
        <v>1</v>
      </c>
      <c r="AT694" s="8" t="b">
        <f>NOT(ISBLANK(MasterTable[[#This Row],[Total
Time]]))</f>
        <v>1</v>
      </c>
    </row>
    <row r="695" spans="4:46" ht="28.8" x14ac:dyDescent="0.3">
      <c r="D695" s="22">
        <v>43882</v>
      </c>
      <c r="E695" s="8" t="s">
        <v>60</v>
      </c>
      <c r="F695" s="8" t="s">
        <v>204</v>
      </c>
      <c r="G695" s="8" t="s">
        <v>204</v>
      </c>
      <c r="I695" s="10">
        <v>0.8</v>
      </c>
      <c r="J695" s="10">
        <v>0.8</v>
      </c>
      <c r="L695" s="10">
        <v>0</v>
      </c>
      <c r="M695" s="13">
        <v>0</v>
      </c>
      <c r="N695" s="13"/>
      <c r="O695" s="10">
        <v>0.8</v>
      </c>
      <c r="P695" s="10">
        <v>0</v>
      </c>
      <c r="Q695" s="14">
        <v>0</v>
      </c>
      <c r="R695" s="14">
        <v>0</v>
      </c>
      <c r="S695" s="10">
        <v>0</v>
      </c>
      <c r="T695" s="10">
        <v>0</v>
      </c>
      <c r="U695" s="14">
        <v>0</v>
      </c>
      <c r="V695" s="10"/>
      <c r="W695" s="11">
        <v>8</v>
      </c>
      <c r="X695" s="11">
        <v>8</v>
      </c>
      <c r="Y695" s="11">
        <v>0</v>
      </c>
      <c r="Z695" s="11">
        <v>0</v>
      </c>
      <c r="AA695" s="11">
        <f>MasterTable[[#This Row],[Landings
Night]]+MasterTable[[#This Row],[Landings
Day]]</f>
        <v>8</v>
      </c>
      <c r="AB695" s="10">
        <v>0</v>
      </c>
      <c r="AC695" s="10">
        <v>0</v>
      </c>
      <c r="AD695" s="11">
        <v>0</v>
      </c>
      <c r="AE695" s="21">
        <f>SUM(MasterTable[[#This Row],[ILS]:[PAR]])</f>
        <v>0</v>
      </c>
      <c r="AL695" s="11"/>
      <c r="AR695" s="140" t="str">
        <f>_xlfn.XLOOKUP(MasterTable[[#This Row],[Aircraft ID]],Aircraft!A:A,Aircraft!H:H)</f>
        <v>Airplane Single Engine Land</v>
      </c>
      <c r="AS695" s="8" t="b">
        <f>OR((SUM(MasterTable[[#This Row],[ILS]:[PAR]]) = MasterTable[[#This Row],[APPR]]))</f>
        <v>1</v>
      </c>
      <c r="AT695" s="8" t="b">
        <f>NOT(ISBLANK(MasterTable[[#This Row],[Total
Time]]))</f>
        <v>1</v>
      </c>
    </row>
    <row r="696" spans="4:46" ht="28.8" x14ac:dyDescent="0.3">
      <c r="D696" s="22">
        <v>43882</v>
      </c>
      <c r="E696" s="8" t="s">
        <v>75</v>
      </c>
      <c r="F696" s="8" t="s">
        <v>204</v>
      </c>
      <c r="G696" s="8" t="s">
        <v>204</v>
      </c>
      <c r="I696" s="10">
        <v>0.9</v>
      </c>
      <c r="J696" s="10">
        <v>0.9</v>
      </c>
      <c r="L696" s="10">
        <v>0</v>
      </c>
      <c r="M696" s="13">
        <v>0</v>
      </c>
      <c r="N696" s="13"/>
      <c r="O696" s="10">
        <v>0.9</v>
      </c>
      <c r="P696" s="10">
        <v>0</v>
      </c>
      <c r="Q696" s="14">
        <v>0</v>
      </c>
      <c r="R696" s="14">
        <v>0</v>
      </c>
      <c r="S696" s="10">
        <v>0</v>
      </c>
      <c r="T696" s="10">
        <v>0</v>
      </c>
      <c r="U696" s="14">
        <v>0</v>
      </c>
      <c r="V696" s="10"/>
      <c r="W696" s="11">
        <v>6</v>
      </c>
      <c r="X696" s="11">
        <v>6</v>
      </c>
      <c r="Y696" s="11">
        <v>0</v>
      </c>
      <c r="Z696" s="11">
        <v>0</v>
      </c>
      <c r="AA696" s="11">
        <f>MasterTable[[#This Row],[Landings
Night]]+MasterTable[[#This Row],[Landings
Day]]</f>
        <v>6</v>
      </c>
      <c r="AB696" s="10">
        <v>0</v>
      </c>
      <c r="AC696" s="10">
        <v>0</v>
      </c>
      <c r="AD696" s="11">
        <v>0</v>
      </c>
      <c r="AE696" s="21">
        <f>SUM(MasterTable[[#This Row],[ILS]:[PAR]])</f>
        <v>0</v>
      </c>
      <c r="AL696" s="11"/>
      <c r="AR696" s="140" t="str">
        <f>_xlfn.XLOOKUP(MasterTable[[#This Row],[Aircraft ID]],Aircraft!A:A,Aircraft!H:H)</f>
        <v>Airplane Single Engine Land</v>
      </c>
      <c r="AS696" s="8" t="b">
        <f>OR((SUM(MasterTable[[#This Row],[ILS]:[PAR]]) = MasterTable[[#This Row],[APPR]]))</f>
        <v>1</v>
      </c>
      <c r="AT696" s="8" t="b">
        <f>NOT(ISBLANK(MasterTable[[#This Row],[Total
Time]]))</f>
        <v>1</v>
      </c>
    </row>
    <row r="697" spans="4:46" ht="28.8" x14ac:dyDescent="0.3">
      <c r="D697" s="22">
        <v>43878</v>
      </c>
      <c r="E697" s="8" t="s">
        <v>75</v>
      </c>
      <c r="F697" s="8" t="s">
        <v>204</v>
      </c>
      <c r="G697" s="8" t="s">
        <v>259</v>
      </c>
      <c r="I697" s="10">
        <v>1.9</v>
      </c>
      <c r="J697" s="10">
        <v>1.9</v>
      </c>
      <c r="L697" s="10">
        <v>0</v>
      </c>
      <c r="M697" s="13">
        <v>0</v>
      </c>
      <c r="N697" s="13"/>
      <c r="O697" s="10">
        <v>1.9</v>
      </c>
      <c r="P697" s="10">
        <v>0</v>
      </c>
      <c r="Q697" s="14">
        <v>0</v>
      </c>
      <c r="R697" s="14">
        <v>0</v>
      </c>
      <c r="S697" s="10">
        <v>0</v>
      </c>
      <c r="T697" s="10">
        <v>1.9</v>
      </c>
      <c r="U697" s="14">
        <v>0</v>
      </c>
      <c r="V697" s="10"/>
      <c r="W697" s="11">
        <v>2</v>
      </c>
      <c r="X697" s="11">
        <v>2</v>
      </c>
      <c r="Y697" s="11">
        <v>0</v>
      </c>
      <c r="Z697" s="11">
        <v>0</v>
      </c>
      <c r="AA697" s="11">
        <f>MasterTable[[#This Row],[Landings
Night]]+MasterTable[[#This Row],[Landings
Day]]</f>
        <v>2</v>
      </c>
      <c r="AB697" s="10">
        <v>0</v>
      </c>
      <c r="AC697" s="10">
        <v>0</v>
      </c>
      <c r="AD697" s="11">
        <v>0</v>
      </c>
      <c r="AE697" s="21">
        <f>SUM(MasterTable[[#This Row],[ILS]:[PAR]])</f>
        <v>0</v>
      </c>
      <c r="AL697" s="11"/>
      <c r="AR697" s="140" t="str">
        <f>_xlfn.XLOOKUP(MasterTable[[#This Row],[Aircraft ID]],Aircraft!A:A,Aircraft!H:H)</f>
        <v>Airplane Single Engine Land</v>
      </c>
      <c r="AS697" s="8" t="b">
        <f>OR((SUM(MasterTable[[#This Row],[ILS]:[PAR]]) = MasterTable[[#This Row],[APPR]]))</f>
        <v>1</v>
      </c>
      <c r="AT697" s="8" t="b">
        <f>NOT(ISBLANK(MasterTable[[#This Row],[Total
Time]]))</f>
        <v>1</v>
      </c>
    </row>
    <row r="698" spans="4:46" ht="28.8" x14ac:dyDescent="0.3">
      <c r="D698" s="22">
        <v>43878</v>
      </c>
      <c r="E698" s="8" t="s">
        <v>75</v>
      </c>
      <c r="F698" s="8" t="s">
        <v>204</v>
      </c>
      <c r="G698" s="8" t="s">
        <v>233</v>
      </c>
      <c r="I698" s="10">
        <v>1.6</v>
      </c>
      <c r="J698" s="10">
        <v>1.6</v>
      </c>
      <c r="L698" s="10">
        <v>0</v>
      </c>
      <c r="M698" s="13">
        <v>0</v>
      </c>
      <c r="N698" s="13"/>
      <c r="O698" s="10">
        <v>0</v>
      </c>
      <c r="P698" s="10">
        <v>0</v>
      </c>
      <c r="Q698" s="14">
        <v>0</v>
      </c>
      <c r="R698" s="14">
        <v>0</v>
      </c>
      <c r="S698" s="10">
        <v>0</v>
      </c>
      <c r="T698" s="10">
        <v>1.6</v>
      </c>
      <c r="U698" s="14">
        <v>0</v>
      </c>
      <c r="V698" s="10"/>
      <c r="W698" s="11">
        <v>2</v>
      </c>
      <c r="X698" s="11">
        <v>2</v>
      </c>
      <c r="Y698" s="11">
        <v>0</v>
      </c>
      <c r="Z698" s="11">
        <v>0</v>
      </c>
      <c r="AA698" s="11">
        <f>MasterTable[[#This Row],[Landings
Night]]+MasterTable[[#This Row],[Landings
Day]]</f>
        <v>2</v>
      </c>
      <c r="AB698" s="10">
        <v>0</v>
      </c>
      <c r="AC698" s="10">
        <v>0</v>
      </c>
      <c r="AD698" s="11">
        <v>0</v>
      </c>
      <c r="AE698" s="21">
        <f>SUM(MasterTable[[#This Row],[ILS]:[PAR]])</f>
        <v>0</v>
      </c>
      <c r="AL698" s="11"/>
      <c r="AR698" s="140" t="str">
        <f>_xlfn.XLOOKUP(MasterTable[[#This Row],[Aircraft ID]],Aircraft!A:A,Aircraft!H:H)</f>
        <v>Airplane Single Engine Land</v>
      </c>
      <c r="AS698" s="8" t="b">
        <f>OR((SUM(MasterTable[[#This Row],[ILS]:[PAR]]) = MasterTable[[#This Row],[APPR]]))</f>
        <v>1</v>
      </c>
      <c r="AT698" s="8" t="b">
        <f>NOT(ISBLANK(MasterTable[[#This Row],[Total
Time]]))</f>
        <v>1</v>
      </c>
    </row>
    <row r="699" spans="4:46" ht="28.8" x14ac:dyDescent="0.3">
      <c r="D699" s="22">
        <v>43878</v>
      </c>
      <c r="E699" s="8" t="s">
        <v>60</v>
      </c>
      <c r="F699" s="8" t="s">
        <v>204</v>
      </c>
      <c r="G699" s="8" t="s">
        <v>204</v>
      </c>
      <c r="I699" s="10">
        <v>1.2</v>
      </c>
      <c r="J699" s="10">
        <v>1.2</v>
      </c>
      <c r="L699" s="10">
        <v>0</v>
      </c>
      <c r="M699" s="13">
        <v>0</v>
      </c>
      <c r="N699" s="13"/>
      <c r="O699" s="10">
        <v>1.2</v>
      </c>
      <c r="P699" s="10">
        <v>0</v>
      </c>
      <c r="Q699" s="14">
        <v>0</v>
      </c>
      <c r="R699" s="14">
        <v>0</v>
      </c>
      <c r="S699" s="10">
        <v>0</v>
      </c>
      <c r="T699" s="10">
        <v>0</v>
      </c>
      <c r="U699" s="14">
        <v>0</v>
      </c>
      <c r="V699" s="10"/>
      <c r="W699" s="11">
        <v>1</v>
      </c>
      <c r="X699" s="11">
        <v>1</v>
      </c>
      <c r="Y699" s="11">
        <v>0</v>
      </c>
      <c r="Z699" s="11">
        <v>0</v>
      </c>
      <c r="AA699" s="11">
        <f>MasterTable[[#This Row],[Landings
Night]]+MasterTable[[#This Row],[Landings
Day]]</f>
        <v>1</v>
      </c>
      <c r="AB699" s="10">
        <v>0</v>
      </c>
      <c r="AC699" s="10">
        <v>0</v>
      </c>
      <c r="AD699" s="11">
        <v>0</v>
      </c>
      <c r="AE699" s="21">
        <f>SUM(MasterTable[[#This Row],[ILS]:[PAR]])</f>
        <v>0</v>
      </c>
      <c r="AL699" s="11"/>
      <c r="AR699" s="140" t="str">
        <f>_xlfn.XLOOKUP(MasterTable[[#This Row],[Aircraft ID]],Aircraft!A:A,Aircraft!H:H)</f>
        <v>Airplane Single Engine Land</v>
      </c>
      <c r="AS699" s="8" t="b">
        <f>OR((SUM(MasterTable[[#This Row],[ILS]:[PAR]]) = MasterTable[[#This Row],[APPR]]))</f>
        <v>1</v>
      </c>
      <c r="AT699" s="8" t="b">
        <f>NOT(ISBLANK(MasterTable[[#This Row],[Total
Time]]))</f>
        <v>1</v>
      </c>
    </row>
    <row r="700" spans="4:46" ht="28.8" x14ac:dyDescent="0.3">
      <c r="D700" s="22">
        <v>43878</v>
      </c>
      <c r="E700" s="8" t="s">
        <v>75</v>
      </c>
      <c r="F700" s="8" t="s">
        <v>204</v>
      </c>
      <c r="G700" s="8" t="s">
        <v>258</v>
      </c>
      <c r="I700" s="10">
        <v>1.5</v>
      </c>
      <c r="J700" s="10">
        <v>1.5</v>
      </c>
      <c r="L700" s="10">
        <v>0</v>
      </c>
      <c r="M700" s="13">
        <v>0</v>
      </c>
      <c r="N700" s="13"/>
      <c r="O700" s="10">
        <v>1.5</v>
      </c>
      <c r="P700" s="10">
        <v>0</v>
      </c>
      <c r="Q700" s="14">
        <v>0</v>
      </c>
      <c r="R700" s="14">
        <v>0</v>
      </c>
      <c r="S700" s="10">
        <v>0</v>
      </c>
      <c r="T700" s="10">
        <v>0</v>
      </c>
      <c r="U700" s="14">
        <v>0</v>
      </c>
      <c r="V700" s="10"/>
      <c r="W700" s="11">
        <v>6</v>
      </c>
      <c r="X700" s="11">
        <v>6</v>
      </c>
      <c r="Y700" s="11">
        <v>0</v>
      </c>
      <c r="Z700" s="11">
        <v>0</v>
      </c>
      <c r="AA700" s="11">
        <f>MasterTable[[#This Row],[Landings
Night]]+MasterTable[[#This Row],[Landings
Day]]</f>
        <v>6</v>
      </c>
      <c r="AB700" s="10">
        <v>0</v>
      </c>
      <c r="AC700" s="10">
        <v>0</v>
      </c>
      <c r="AD700" s="11">
        <v>0</v>
      </c>
      <c r="AE700" s="21">
        <f>SUM(MasterTable[[#This Row],[ILS]:[PAR]])</f>
        <v>0</v>
      </c>
      <c r="AL700" s="11"/>
      <c r="AR700" s="140" t="str">
        <f>_xlfn.XLOOKUP(MasterTable[[#This Row],[Aircraft ID]],Aircraft!A:A,Aircraft!H:H)</f>
        <v>Airplane Single Engine Land</v>
      </c>
      <c r="AS700" s="8" t="b">
        <f>OR((SUM(MasterTable[[#This Row],[ILS]:[PAR]]) = MasterTable[[#This Row],[APPR]]))</f>
        <v>1</v>
      </c>
      <c r="AT700" s="8" t="b">
        <f>NOT(ISBLANK(MasterTable[[#This Row],[Total
Time]]))</f>
        <v>1</v>
      </c>
    </row>
    <row r="701" spans="4:46" ht="28.8" x14ac:dyDescent="0.3">
      <c r="D701" s="22">
        <v>43877</v>
      </c>
      <c r="E701" s="8" t="s">
        <v>60</v>
      </c>
      <c r="F701" s="8" t="s">
        <v>204</v>
      </c>
      <c r="G701" s="8" t="s">
        <v>204</v>
      </c>
      <c r="I701" s="10">
        <v>1.6</v>
      </c>
      <c r="J701" s="10">
        <v>1.6</v>
      </c>
      <c r="L701" s="10">
        <v>0</v>
      </c>
      <c r="M701" s="13">
        <v>0</v>
      </c>
      <c r="N701" s="13"/>
      <c r="O701" s="10">
        <v>1.6</v>
      </c>
      <c r="P701" s="10">
        <v>0</v>
      </c>
      <c r="Q701" s="14">
        <v>0</v>
      </c>
      <c r="R701" s="14">
        <v>0</v>
      </c>
      <c r="S701" s="10">
        <v>0</v>
      </c>
      <c r="T701" s="10">
        <v>0</v>
      </c>
      <c r="U701" s="14">
        <v>0</v>
      </c>
      <c r="V701" s="10"/>
      <c r="W701" s="11">
        <v>8</v>
      </c>
      <c r="X701" s="11">
        <v>8</v>
      </c>
      <c r="Y701" s="11">
        <v>0</v>
      </c>
      <c r="Z701" s="11">
        <v>0</v>
      </c>
      <c r="AA701" s="11">
        <f>MasterTable[[#This Row],[Landings
Night]]+MasterTable[[#This Row],[Landings
Day]]</f>
        <v>8</v>
      </c>
      <c r="AB701" s="10">
        <v>0</v>
      </c>
      <c r="AC701" s="10">
        <v>0</v>
      </c>
      <c r="AD701" s="11">
        <v>0</v>
      </c>
      <c r="AE701" s="21">
        <f>SUM(MasterTable[[#This Row],[ILS]:[PAR]])</f>
        <v>0</v>
      </c>
      <c r="AL701" s="11"/>
      <c r="AR701" s="140" t="str">
        <f>_xlfn.XLOOKUP(MasterTable[[#This Row],[Aircraft ID]],Aircraft!A:A,Aircraft!H:H)</f>
        <v>Airplane Single Engine Land</v>
      </c>
      <c r="AS701" s="8" t="b">
        <f>OR((SUM(MasterTable[[#This Row],[ILS]:[PAR]]) = MasterTable[[#This Row],[APPR]]))</f>
        <v>1</v>
      </c>
      <c r="AT701" s="8" t="b">
        <f>NOT(ISBLANK(MasterTable[[#This Row],[Total
Time]]))</f>
        <v>1</v>
      </c>
    </row>
    <row r="702" spans="4:46" ht="28.8" x14ac:dyDescent="0.3">
      <c r="D702" s="22">
        <v>43877</v>
      </c>
      <c r="E702" s="8" t="s">
        <v>60</v>
      </c>
      <c r="F702" s="8" t="s">
        <v>204</v>
      </c>
      <c r="G702" s="8" t="s">
        <v>204</v>
      </c>
      <c r="I702" s="10">
        <v>0.6</v>
      </c>
      <c r="J702" s="10">
        <v>0.6</v>
      </c>
      <c r="L702" s="10">
        <v>0</v>
      </c>
      <c r="M702" s="13">
        <v>0</v>
      </c>
      <c r="N702" s="13"/>
      <c r="O702" s="10">
        <v>0.6</v>
      </c>
      <c r="P702" s="10">
        <v>0</v>
      </c>
      <c r="Q702" s="14">
        <v>0</v>
      </c>
      <c r="R702" s="14">
        <v>0</v>
      </c>
      <c r="S702" s="10">
        <v>0</v>
      </c>
      <c r="T702" s="10">
        <v>0</v>
      </c>
      <c r="U702" s="14">
        <v>0</v>
      </c>
      <c r="V702" s="10"/>
      <c r="W702" s="11">
        <v>4</v>
      </c>
      <c r="X702" s="11">
        <v>4</v>
      </c>
      <c r="Y702" s="11">
        <v>0</v>
      </c>
      <c r="Z702" s="11">
        <v>0</v>
      </c>
      <c r="AA702" s="11">
        <f>MasterTable[[#This Row],[Landings
Night]]+MasterTable[[#This Row],[Landings
Day]]</f>
        <v>4</v>
      </c>
      <c r="AB702" s="10">
        <v>0</v>
      </c>
      <c r="AC702" s="10">
        <v>0</v>
      </c>
      <c r="AD702" s="11">
        <v>0</v>
      </c>
      <c r="AE702" s="21">
        <f>SUM(MasterTable[[#This Row],[ILS]:[PAR]])</f>
        <v>0</v>
      </c>
      <c r="AL702" s="11"/>
      <c r="AR702" s="140" t="str">
        <f>_xlfn.XLOOKUP(MasterTable[[#This Row],[Aircraft ID]],Aircraft!A:A,Aircraft!H:H)</f>
        <v>Airplane Single Engine Land</v>
      </c>
      <c r="AS702" s="8" t="b">
        <f>OR((SUM(MasterTable[[#This Row],[ILS]:[PAR]]) = MasterTable[[#This Row],[APPR]]))</f>
        <v>1</v>
      </c>
      <c r="AT702" s="8" t="b">
        <f>NOT(ISBLANK(MasterTable[[#This Row],[Total
Time]]))</f>
        <v>1</v>
      </c>
    </row>
    <row r="703" spans="4:46" ht="28.8" x14ac:dyDescent="0.3">
      <c r="D703" s="22">
        <v>43876</v>
      </c>
      <c r="E703" s="8" t="s">
        <v>75</v>
      </c>
      <c r="F703" s="8" t="s">
        <v>204</v>
      </c>
      <c r="G703" s="8" t="s">
        <v>204</v>
      </c>
      <c r="I703" s="10">
        <v>1.6</v>
      </c>
      <c r="J703" s="10">
        <v>1.6</v>
      </c>
      <c r="L703" s="10">
        <v>0</v>
      </c>
      <c r="M703" s="13">
        <v>0</v>
      </c>
      <c r="N703" s="13"/>
      <c r="O703" s="10">
        <v>1.6</v>
      </c>
      <c r="P703" s="10">
        <v>0</v>
      </c>
      <c r="Q703" s="14">
        <v>0</v>
      </c>
      <c r="R703" s="14">
        <v>0</v>
      </c>
      <c r="S703" s="10">
        <v>0</v>
      </c>
      <c r="T703" s="10">
        <v>0</v>
      </c>
      <c r="U703" s="14">
        <v>0</v>
      </c>
      <c r="V703" s="10"/>
      <c r="W703" s="11">
        <v>7</v>
      </c>
      <c r="X703" s="11">
        <v>7</v>
      </c>
      <c r="Y703" s="11">
        <v>0</v>
      </c>
      <c r="Z703" s="11">
        <v>0</v>
      </c>
      <c r="AA703" s="11">
        <f>MasterTable[[#This Row],[Landings
Night]]+MasterTable[[#This Row],[Landings
Day]]</f>
        <v>7</v>
      </c>
      <c r="AB703" s="10">
        <v>0</v>
      </c>
      <c r="AC703" s="10">
        <v>0</v>
      </c>
      <c r="AD703" s="11">
        <v>0</v>
      </c>
      <c r="AE703" s="21">
        <f>SUM(MasterTable[[#This Row],[ILS]:[PAR]])</f>
        <v>0</v>
      </c>
      <c r="AL703" s="11"/>
      <c r="AR703" s="140" t="str">
        <f>_xlfn.XLOOKUP(MasterTable[[#This Row],[Aircraft ID]],Aircraft!A:A,Aircraft!H:H)</f>
        <v>Airplane Single Engine Land</v>
      </c>
      <c r="AS703" s="8" t="b">
        <f>OR((SUM(MasterTable[[#This Row],[ILS]:[PAR]]) = MasterTable[[#This Row],[APPR]]))</f>
        <v>1</v>
      </c>
      <c r="AT703" s="8" t="b">
        <f>NOT(ISBLANK(MasterTable[[#This Row],[Total
Time]]))</f>
        <v>1</v>
      </c>
    </row>
    <row r="704" spans="4:46" ht="28.8" x14ac:dyDescent="0.3">
      <c r="D704" s="22">
        <v>43876</v>
      </c>
      <c r="E704" s="8" t="s">
        <v>75</v>
      </c>
      <c r="F704" s="8" t="s">
        <v>204</v>
      </c>
      <c r="G704" s="8" t="s">
        <v>204</v>
      </c>
      <c r="I704" s="10">
        <v>0.6</v>
      </c>
      <c r="J704" s="10">
        <v>0.6</v>
      </c>
      <c r="L704" s="10">
        <v>0</v>
      </c>
      <c r="M704" s="13">
        <v>0</v>
      </c>
      <c r="N704" s="13"/>
      <c r="O704" s="10">
        <v>0.6</v>
      </c>
      <c r="P704" s="10">
        <v>0</v>
      </c>
      <c r="Q704" s="14">
        <v>0</v>
      </c>
      <c r="R704" s="14">
        <v>0</v>
      </c>
      <c r="S704" s="10">
        <v>0</v>
      </c>
      <c r="T704" s="10">
        <v>0</v>
      </c>
      <c r="U704" s="14">
        <v>0</v>
      </c>
      <c r="V704" s="10"/>
      <c r="W704" s="11">
        <v>4</v>
      </c>
      <c r="X704" s="11">
        <v>4</v>
      </c>
      <c r="Y704" s="11">
        <v>0</v>
      </c>
      <c r="Z704" s="11">
        <v>0</v>
      </c>
      <c r="AA704" s="11">
        <f>MasterTable[[#This Row],[Landings
Night]]+MasterTable[[#This Row],[Landings
Day]]</f>
        <v>4</v>
      </c>
      <c r="AB704" s="10">
        <v>0</v>
      </c>
      <c r="AC704" s="10">
        <v>0</v>
      </c>
      <c r="AD704" s="11">
        <v>0</v>
      </c>
      <c r="AE704" s="21">
        <f>SUM(MasterTable[[#This Row],[ILS]:[PAR]])</f>
        <v>0</v>
      </c>
      <c r="AL704" s="11"/>
      <c r="AR704" s="140" t="str">
        <f>_xlfn.XLOOKUP(MasterTable[[#This Row],[Aircraft ID]],Aircraft!A:A,Aircraft!H:H)</f>
        <v>Airplane Single Engine Land</v>
      </c>
      <c r="AS704" s="8" t="b">
        <f>OR((SUM(MasterTable[[#This Row],[ILS]:[PAR]]) = MasterTable[[#This Row],[APPR]]))</f>
        <v>1</v>
      </c>
      <c r="AT704" s="8" t="b">
        <f>NOT(ISBLANK(MasterTable[[#This Row],[Total
Time]]))</f>
        <v>1</v>
      </c>
    </row>
    <row r="705" spans="4:46" ht="28.8" x14ac:dyDescent="0.3">
      <c r="D705" s="22">
        <v>43876</v>
      </c>
      <c r="E705" s="8" t="s">
        <v>60</v>
      </c>
      <c r="F705" s="8" t="s">
        <v>204</v>
      </c>
      <c r="G705" s="8" t="s">
        <v>258</v>
      </c>
      <c r="I705" s="10">
        <v>1.8</v>
      </c>
      <c r="J705" s="10">
        <v>1.8</v>
      </c>
      <c r="L705" s="10">
        <v>0</v>
      </c>
      <c r="M705" s="13">
        <v>0</v>
      </c>
      <c r="N705" s="13"/>
      <c r="O705" s="10">
        <v>1.8</v>
      </c>
      <c r="P705" s="10">
        <v>0</v>
      </c>
      <c r="Q705" s="14">
        <v>0</v>
      </c>
      <c r="R705" s="14">
        <v>0</v>
      </c>
      <c r="S705" s="10">
        <v>0</v>
      </c>
      <c r="T705" s="10">
        <v>0</v>
      </c>
      <c r="U705" s="14">
        <v>0</v>
      </c>
      <c r="V705" s="10"/>
      <c r="W705" s="11">
        <v>5</v>
      </c>
      <c r="X705" s="11">
        <v>5</v>
      </c>
      <c r="Y705" s="11">
        <v>0</v>
      </c>
      <c r="Z705" s="11">
        <v>0</v>
      </c>
      <c r="AA705" s="11">
        <f>MasterTable[[#This Row],[Landings
Night]]+MasterTable[[#This Row],[Landings
Day]]</f>
        <v>5</v>
      </c>
      <c r="AB705" s="10">
        <v>0</v>
      </c>
      <c r="AC705" s="10">
        <v>0</v>
      </c>
      <c r="AD705" s="11">
        <v>0</v>
      </c>
      <c r="AE705" s="21">
        <f>SUM(MasterTable[[#This Row],[ILS]:[PAR]])</f>
        <v>0</v>
      </c>
      <c r="AL705" s="11"/>
      <c r="AR705" s="140" t="str">
        <f>_xlfn.XLOOKUP(MasterTable[[#This Row],[Aircraft ID]],Aircraft!A:A,Aircraft!H:H)</f>
        <v>Airplane Single Engine Land</v>
      </c>
      <c r="AS705" s="8" t="b">
        <f>OR((SUM(MasterTable[[#This Row],[ILS]:[PAR]]) = MasterTable[[#This Row],[APPR]]))</f>
        <v>1</v>
      </c>
      <c r="AT705" s="8" t="b">
        <f>NOT(ISBLANK(MasterTable[[#This Row],[Total
Time]]))</f>
        <v>1</v>
      </c>
    </row>
    <row r="706" spans="4:46" ht="28.8" x14ac:dyDescent="0.3">
      <c r="D706" s="22">
        <v>43875</v>
      </c>
      <c r="E706" s="8" t="s">
        <v>64</v>
      </c>
      <c r="F706" s="8" t="s">
        <v>204</v>
      </c>
      <c r="G706" s="8" t="s">
        <v>204</v>
      </c>
      <c r="I706" s="10">
        <v>1.4</v>
      </c>
      <c r="J706" s="10">
        <v>1.4</v>
      </c>
      <c r="L706" s="10">
        <v>0</v>
      </c>
      <c r="M706" s="13">
        <v>0</v>
      </c>
      <c r="N706" s="13"/>
      <c r="O706" s="10">
        <v>1.4</v>
      </c>
      <c r="P706" s="10">
        <v>0</v>
      </c>
      <c r="Q706" s="14">
        <v>0</v>
      </c>
      <c r="R706" s="14">
        <v>0</v>
      </c>
      <c r="S706" s="10">
        <v>0</v>
      </c>
      <c r="T706" s="10">
        <v>0</v>
      </c>
      <c r="U706" s="14">
        <v>0</v>
      </c>
      <c r="V706" s="10"/>
      <c r="W706" s="11">
        <v>2</v>
      </c>
      <c r="X706" s="11">
        <v>2</v>
      </c>
      <c r="Y706" s="11">
        <v>0</v>
      </c>
      <c r="Z706" s="11">
        <v>0</v>
      </c>
      <c r="AA706" s="11">
        <f>MasterTable[[#This Row],[Landings
Night]]+MasterTable[[#This Row],[Landings
Day]]</f>
        <v>2</v>
      </c>
      <c r="AB706" s="10">
        <v>0</v>
      </c>
      <c r="AD706" s="11">
        <v>0</v>
      </c>
      <c r="AE706" s="21">
        <f>SUM(MasterTable[[#This Row],[ILS]:[PAR]])</f>
        <v>0</v>
      </c>
      <c r="AL706" s="11"/>
      <c r="AR706" s="140" t="str">
        <f>_xlfn.XLOOKUP(MasterTable[[#This Row],[Aircraft ID]],Aircraft!A:A,Aircraft!H:H)</f>
        <v>Airplane Single Engine Land</v>
      </c>
      <c r="AS706" s="8" t="b">
        <f>OR((SUM(MasterTable[[#This Row],[ILS]:[PAR]]) = MasterTable[[#This Row],[APPR]]))</f>
        <v>1</v>
      </c>
      <c r="AT706" s="8" t="b">
        <f>NOT(ISBLANK(MasterTable[[#This Row],[Total
Time]]))</f>
        <v>1</v>
      </c>
    </row>
    <row r="707" spans="4:46" ht="28.8" x14ac:dyDescent="0.3">
      <c r="D707" s="22">
        <v>43871</v>
      </c>
      <c r="E707" s="8" t="s">
        <v>60</v>
      </c>
      <c r="F707" s="8" t="s">
        <v>204</v>
      </c>
      <c r="G707" s="8" t="s">
        <v>204</v>
      </c>
      <c r="I707" s="10">
        <v>1.2</v>
      </c>
      <c r="J707" s="10">
        <v>1.2</v>
      </c>
      <c r="L707" s="10">
        <v>0</v>
      </c>
      <c r="M707" s="13">
        <v>0</v>
      </c>
      <c r="N707" s="13"/>
      <c r="O707" s="10">
        <v>1.2</v>
      </c>
      <c r="P707" s="10">
        <v>0</v>
      </c>
      <c r="Q707" s="14">
        <v>0</v>
      </c>
      <c r="R707" s="14">
        <v>0</v>
      </c>
      <c r="S707" s="10">
        <v>0</v>
      </c>
      <c r="T707" s="10">
        <v>0</v>
      </c>
      <c r="U707" s="14">
        <v>0</v>
      </c>
      <c r="V707" s="10"/>
      <c r="W707" s="11">
        <v>2</v>
      </c>
      <c r="X707" s="11">
        <v>2</v>
      </c>
      <c r="Y707" s="11">
        <v>0</v>
      </c>
      <c r="Z707" s="11">
        <v>0</v>
      </c>
      <c r="AA707" s="11">
        <f>MasterTable[[#This Row],[Landings
Night]]+MasterTable[[#This Row],[Landings
Day]]</f>
        <v>2</v>
      </c>
      <c r="AB707" s="10">
        <v>0</v>
      </c>
      <c r="AC707" s="10">
        <v>0</v>
      </c>
      <c r="AD707" s="11">
        <v>0</v>
      </c>
      <c r="AE707" s="21">
        <f>SUM(MasterTable[[#This Row],[ILS]:[PAR]])</f>
        <v>0</v>
      </c>
      <c r="AL707" s="11"/>
      <c r="AR707" s="140" t="str">
        <f>_xlfn.XLOOKUP(MasterTable[[#This Row],[Aircraft ID]],Aircraft!A:A,Aircraft!H:H)</f>
        <v>Airplane Single Engine Land</v>
      </c>
      <c r="AS707" s="8" t="b">
        <f>OR((SUM(MasterTable[[#This Row],[ILS]:[PAR]]) = MasterTable[[#This Row],[APPR]]))</f>
        <v>1</v>
      </c>
      <c r="AT707" s="8" t="b">
        <f>NOT(ISBLANK(MasterTable[[#This Row],[Total
Time]]))</f>
        <v>1</v>
      </c>
    </row>
    <row r="708" spans="4:46" ht="28.8" x14ac:dyDescent="0.3">
      <c r="D708" s="22">
        <v>43870</v>
      </c>
      <c r="E708" s="8" t="s">
        <v>60</v>
      </c>
      <c r="F708" s="8" t="s">
        <v>204</v>
      </c>
      <c r="G708" s="8" t="s">
        <v>214</v>
      </c>
      <c r="I708" s="10">
        <v>1.7</v>
      </c>
      <c r="J708" s="10">
        <v>1.7</v>
      </c>
      <c r="L708" s="10">
        <v>0</v>
      </c>
      <c r="M708" s="13">
        <v>0</v>
      </c>
      <c r="N708" s="13"/>
      <c r="O708" s="10">
        <v>1.7</v>
      </c>
      <c r="P708" s="10">
        <v>0</v>
      </c>
      <c r="Q708" s="14">
        <v>0</v>
      </c>
      <c r="R708" s="14">
        <v>0</v>
      </c>
      <c r="S708" s="10">
        <v>0</v>
      </c>
      <c r="T708" s="10">
        <v>0</v>
      </c>
      <c r="U708" s="14">
        <v>0</v>
      </c>
      <c r="V708" s="10"/>
      <c r="W708" s="11">
        <v>8</v>
      </c>
      <c r="X708" s="11">
        <v>8</v>
      </c>
      <c r="Y708" s="11">
        <v>0</v>
      </c>
      <c r="Z708" s="11">
        <v>0</v>
      </c>
      <c r="AA708" s="11">
        <f>MasterTable[[#This Row],[Landings
Night]]+MasterTable[[#This Row],[Landings
Day]]</f>
        <v>8</v>
      </c>
      <c r="AB708" s="10">
        <v>0</v>
      </c>
      <c r="AC708" s="10">
        <v>0</v>
      </c>
      <c r="AD708" s="11">
        <v>0</v>
      </c>
      <c r="AE708" s="21">
        <f>SUM(MasterTable[[#This Row],[ILS]:[PAR]])</f>
        <v>0</v>
      </c>
      <c r="AL708" s="11"/>
      <c r="AR708" s="140" t="str">
        <f>_xlfn.XLOOKUP(MasterTable[[#This Row],[Aircraft ID]],Aircraft!A:A,Aircraft!H:H)</f>
        <v>Airplane Single Engine Land</v>
      </c>
      <c r="AS708" s="8" t="b">
        <f>OR((SUM(MasterTable[[#This Row],[ILS]:[PAR]]) = MasterTable[[#This Row],[APPR]]))</f>
        <v>1</v>
      </c>
      <c r="AT708" s="8" t="b">
        <f>NOT(ISBLANK(MasterTable[[#This Row],[Total
Time]]))</f>
        <v>1</v>
      </c>
    </row>
    <row r="709" spans="4:46" ht="28.8" x14ac:dyDescent="0.3">
      <c r="D709" s="22">
        <v>43870</v>
      </c>
      <c r="E709" s="8" t="s">
        <v>60</v>
      </c>
      <c r="F709" s="8" t="s">
        <v>204</v>
      </c>
      <c r="G709" s="8" t="s">
        <v>204</v>
      </c>
      <c r="I709" s="10">
        <v>0.9</v>
      </c>
      <c r="J709" s="10">
        <v>0.9</v>
      </c>
      <c r="L709" s="10">
        <v>0</v>
      </c>
      <c r="M709" s="13">
        <v>0</v>
      </c>
      <c r="N709" s="13"/>
      <c r="O709" s="10">
        <v>0.9</v>
      </c>
      <c r="P709" s="10">
        <v>0</v>
      </c>
      <c r="Q709" s="14">
        <v>0</v>
      </c>
      <c r="R709" s="14">
        <v>0</v>
      </c>
      <c r="S709" s="10">
        <v>0</v>
      </c>
      <c r="T709" s="10">
        <v>0</v>
      </c>
      <c r="U709" s="14">
        <v>0</v>
      </c>
      <c r="V709" s="10"/>
      <c r="W709" s="11">
        <v>6</v>
      </c>
      <c r="X709" s="11">
        <v>6</v>
      </c>
      <c r="Y709" s="11">
        <v>0</v>
      </c>
      <c r="Z709" s="11">
        <v>0</v>
      </c>
      <c r="AA709" s="11">
        <f>MasterTable[[#This Row],[Landings
Night]]+MasterTable[[#This Row],[Landings
Day]]</f>
        <v>6</v>
      </c>
      <c r="AB709" s="10">
        <v>0</v>
      </c>
      <c r="AC709" s="10">
        <v>0</v>
      </c>
      <c r="AD709" s="11">
        <v>0</v>
      </c>
      <c r="AE709" s="21">
        <f>SUM(MasterTable[[#This Row],[ILS]:[PAR]])</f>
        <v>0</v>
      </c>
      <c r="AL709" s="11"/>
      <c r="AR709" s="140" t="str">
        <f>_xlfn.XLOOKUP(MasterTable[[#This Row],[Aircraft ID]],Aircraft!A:A,Aircraft!H:H)</f>
        <v>Airplane Single Engine Land</v>
      </c>
      <c r="AS709" s="8" t="b">
        <f>OR((SUM(MasterTable[[#This Row],[ILS]:[PAR]]) = MasterTable[[#This Row],[APPR]]))</f>
        <v>1</v>
      </c>
      <c r="AT709" s="8" t="b">
        <f>NOT(ISBLANK(MasterTable[[#This Row],[Total
Time]]))</f>
        <v>1</v>
      </c>
    </row>
    <row r="710" spans="4:46" ht="28.8" x14ac:dyDescent="0.3">
      <c r="D710" s="22">
        <v>43870</v>
      </c>
      <c r="E710" s="8" t="s">
        <v>60</v>
      </c>
      <c r="F710" s="8" t="s">
        <v>204</v>
      </c>
      <c r="G710" s="8" t="s">
        <v>204</v>
      </c>
      <c r="I710" s="10">
        <v>0.9</v>
      </c>
      <c r="J710" s="10">
        <v>0.9</v>
      </c>
      <c r="L710" s="10">
        <v>0</v>
      </c>
      <c r="M710" s="13">
        <v>0</v>
      </c>
      <c r="N710" s="13"/>
      <c r="O710" s="10">
        <v>0.9</v>
      </c>
      <c r="P710" s="10">
        <v>0</v>
      </c>
      <c r="Q710" s="14">
        <v>0</v>
      </c>
      <c r="R710" s="14">
        <v>0</v>
      </c>
      <c r="S710" s="10">
        <v>0</v>
      </c>
      <c r="T710" s="10">
        <v>0</v>
      </c>
      <c r="U710" s="14">
        <v>0</v>
      </c>
      <c r="V710" s="10"/>
      <c r="W710" s="11">
        <v>4</v>
      </c>
      <c r="X710" s="11">
        <v>4</v>
      </c>
      <c r="Y710" s="11">
        <v>0</v>
      </c>
      <c r="Z710" s="11">
        <v>0</v>
      </c>
      <c r="AA710" s="11">
        <f>MasterTable[[#This Row],[Landings
Night]]+MasterTable[[#This Row],[Landings
Day]]</f>
        <v>4</v>
      </c>
      <c r="AB710" s="10">
        <v>0</v>
      </c>
      <c r="AC710" s="10">
        <v>0</v>
      </c>
      <c r="AD710" s="11">
        <v>0</v>
      </c>
      <c r="AE710" s="21">
        <f>SUM(MasterTable[[#This Row],[ILS]:[PAR]])</f>
        <v>0</v>
      </c>
      <c r="AL710" s="11"/>
      <c r="AR710" s="140" t="str">
        <f>_xlfn.XLOOKUP(MasterTable[[#This Row],[Aircraft ID]],Aircraft!A:A,Aircraft!H:H)</f>
        <v>Airplane Single Engine Land</v>
      </c>
      <c r="AS710" s="8" t="b">
        <f>OR((SUM(MasterTable[[#This Row],[ILS]:[PAR]]) = MasterTable[[#This Row],[APPR]]))</f>
        <v>1</v>
      </c>
      <c r="AT710" s="8" t="b">
        <f>NOT(ISBLANK(MasterTable[[#This Row],[Total
Time]]))</f>
        <v>1</v>
      </c>
    </row>
    <row r="711" spans="4:46" ht="28.8" x14ac:dyDescent="0.3">
      <c r="D711" s="22">
        <v>43870</v>
      </c>
      <c r="E711" s="8" t="s">
        <v>75</v>
      </c>
      <c r="F711" s="8" t="s">
        <v>204</v>
      </c>
      <c r="G711" s="8" t="s">
        <v>204</v>
      </c>
      <c r="I711" s="10">
        <v>0.7</v>
      </c>
      <c r="J711" s="10">
        <v>0.7</v>
      </c>
      <c r="L711" s="10">
        <v>0</v>
      </c>
      <c r="M711" s="13">
        <v>0</v>
      </c>
      <c r="N711" s="13"/>
      <c r="O711" s="10">
        <v>0.7</v>
      </c>
      <c r="P711" s="10">
        <v>0</v>
      </c>
      <c r="Q711" s="14">
        <v>0</v>
      </c>
      <c r="R711" s="14">
        <v>0</v>
      </c>
      <c r="S711" s="10">
        <v>0</v>
      </c>
      <c r="T711" s="10">
        <v>0</v>
      </c>
      <c r="U711" s="14">
        <v>0</v>
      </c>
      <c r="V711" s="10"/>
      <c r="W711" s="11">
        <v>1</v>
      </c>
      <c r="X711" s="11">
        <v>1</v>
      </c>
      <c r="Y711" s="11">
        <v>0</v>
      </c>
      <c r="Z711" s="11">
        <v>0</v>
      </c>
      <c r="AA711" s="11">
        <f>MasterTable[[#This Row],[Landings
Night]]+MasterTable[[#This Row],[Landings
Day]]</f>
        <v>1</v>
      </c>
      <c r="AB711" s="10">
        <v>0</v>
      </c>
      <c r="AC711" s="10">
        <v>0</v>
      </c>
      <c r="AD711" s="11">
        <v>0</v>
      </c>
      <c r="AE711" s="21">
        <f>SUM(MasterTable[[#This Row],[ILS]:[PAR]])</f>
        <v>0</v>
      </c>
      <c r="AL711" s="11"/>
      <c r="AR711" s="140" t="str">
        <f>_xlfn.XLOOKUP(MasterTable[[#This Row],[Aircraft ID]],Aircraft!A:A,Aircraft!H:H)</f>
        <v>Airplane Single Engine Land</v>
      </c>
      <c r="AS711" s="8" t="b">
        <f>OR((SUM(MasterTable[[#This Row],[ILS]:[PAR]]) = MasterTable[[#This Row],[APPR]]))</f>
        <v>1</v>
      </c>
      <c r="AT711" s="8" t="b">
        <f>NOT(ISBLANK(MasterTable[[#This Row],[Total
Time]]))</f>
        <v>1</v>
      </c>
    </row>
    <row r="712" spans="4:46" ht="28.8" x14ac:dyDescent="0.3">
      <c r="D712" s="22">
        <v>43870</v>
      </c>
      <c r="E712" s="8" t="s">
        <v>75</v>
      </c>
      <c r="F712" s="8" t="s">
        <v>204</v>
      </c>
      <c r="G712" s="8" t="s">
        <v>204</v>
      </c>
      <c r="I712" s="10">
        <v>0.9</v>
      </c>
      <c r="J712" s="10">
        <v>0.9</v>
      </c>
      <c r="L712" s="10">
        <v>0</v>
      </c>
      <c r="M712" s="13">
        <v>0</v>
      </c>
      <c r="N712" s="13"/>
      <c r="O712" s="10">
        <v>0.9</v>
      </c>
      <c r="P712" s="10">
        <v>0</v>
      </c>
      <c r="Q712" s="14">
        <v>0</v>
      </c>
      <c r="R712" s="14">
        <v>0</v>
      </c>
      <c r="S712" s="10">
        <v>0</v>
      </c>
      <c r="T712" s="10">
        <v>0</v>
      </c>
      <c r="U712" s="14">
        <v>0</v>
      </c>
      <c r="V712" s="10"/>
      <c r="W712" s="11">
        <v>5</v>
      </c>
      <c r="X712" s="11">
        <v>5</v>
      </c>
      <c r="Y712" s="11">
        <v>0</v>
      </c>
      <c r="Z712" s="11">
        <v>0</v>
      </c>
      <c r="AA712" s="11">
        <f>MasterTable[[#This Row],[Landings
Night]]+MasterTable[[#This Row],[Landings
Day]]</f>
        <v>5</v>
      </c>
      <c r="AB712" s="10">
        <v>0</v>
      </c>
      <c r="AC712" s="10">
        <v>0</v>
      </c>
      <c r="AD712" s="11">
        <v>0</v>
      </c>
      <c r="AE712" s="21">
        <f>SUM(MasterTable[[#This Row],[ILS]:[PAR]])</f>
        <v>0</v>
      </c>
      <c r="AL712" s="11"/>
      <c r="AR712" s="140" t="str">
        <f>_xlfn.XLOOKUP(MasterTable[[#This Row],[Aircraft ID]],Aircraft!A:A,Aircraft!H:H)</f>
        <v>Airplane Single Engine Land</v>
      </c>
      <c r="AS712" s="8" t="b">
        <f>OR((SUM(MasterTable[[#This Row],[ILS]:[PAR]]) = MasterTable[[#This Row],[APPR]]))</f>
        <v>1</v>
      </c>
      <c r="AT712" s="8" t="b">
        <f>NOT(ISBLANK(MasterTable[[#This Row],[Total
Time]]))</f>
        <v>1</v>
      </c>
    </row>
    <row r="713" spans="4:46" ht="28.8" x14ac:dyDescent="0.3">
      <c r="D713" s="22">
        <v>43869</v>
      </c>
      <c r="E713" s="8" t="s">
        <v>60</v>
      </c>
      <c r="F713" s="8" t="s">
        <v>204</v>
      </c>
      <c r="G713" s="8" t="s">
        <v>258</v>
      </c>
      <c r="I713" s="10">
        <v>1.1000000000000001</v>
      </c>
      <c r="J713" s="10">
        <v>1.1000000000000001</v>
      </c>
      <c r="L713" s="10">
        <v>0</v>
      </c>
      <c r="M713" s="13">
        <v>0</v>
      </c>
      <c r="N713" s="13"/>
      <c r="O713" s="10">
        <v>1.1000000000000001</v>
      </c>
      <c r="P713" s="10">
        <v>0</v>
      </c>
      <c r="Q713" s="14">
        <v>0</v>
      </c>
      <c r="R713" s="14">
        <v>0</v>
      </c>
      <c r="S713" s="10">
        <v>0</v>
      </c>
      <c r="T713" s="10">
        <v>0</v>
      </c>
      <c r="U713" s="14">
        <v>0</v>
      </c>
      <c r="V713" s="10"/>
      <c r="W713" s="11">
        <v>5</v>
      </c>
      <c r="X713" s="11">
        <v>5</v>
      </c>
      <c r="Y713" s="11">
        <v>0</v>
      </c>
      <c r="Z713" s="11">
        <v>0</v>
      </c>
      <c r="AA713" s="11">
        <f>MasterTable[[#This Row],[Landings
Night]]+MasterTable[[#This Row],[Landings
Day]]</f>
        <v>5</v>
      </c>
      <c r="AB713" s="10">
        <v>0</v>
      </c>
      <c r="AC713" s="10">
        <v>0</v>
      </c>
      <c r="AD713" s="11">
        <v>0</v>
      </c>
      <c r="AE713" s="21">
        <f>SUM(MasterTable[[#This Row],[ILS]:[PAR]])</f>
        <v>0</v>
      </c>
      <c r="AL713" s="11"/>
      <c r="AR713" s="140" t="str">
        <f>_xlfn.XLOOKUP(MasterTable[[#This Row],[Aircraft ID]],Aircraft!A:A,Aircraft!H:H)</f>
        <v>Airplane Single Engine Land</v>
      </c>
      <c r="AS713" s="8" t="b">
        <f>OR((SUM(MasterTable[[#This Row],[ILS]:[PAR]]) = MasterTable[[#This Row],[APPR]]))</f>
        <v>1</v>
      </c>
      <c r="AT713" s="8" t="b">
        <f>NOT(ISBLANK(MasterTable[[#This Row],[Total
Time]]))</f>
        <v>1</v>
      </c>
    </row>
    <row r="714" spans="4:46" ht="28.8" x14ac:dyDescent="0.3">
      <c r="D714" s="22">
        <v>43868</v>
      </c>
      <c r="E714" s="8" t="s">
        <v>60</v>
      </c>
      <c r="F714" s="8" t="s">
        <v>204</v>
      </c>
      <c r="G714" s="8" t="s">
        <v>204</v>
      </c>
      <c r="I714" s="10">
        <v>1.2</v>
      </c>
      <c r="J714" s="10">
        <v>1.2</v>
      </c>
      <c r="L714" s="10">
        <v>0</v>
      </c>
      <c r="M714" s="13">
        <v>0</v>
      </c>
      <c r="N714" s="13"/>
      <c r="O714" s="10">
        <v>1.2</v>
      </c>
      <c r="P714" s="10">
        <v>0</v>
      </c>
      <c r="Q714" s="14">
        <v>0</v>
      </c>
      <c r="R714" s="14">
        <v>0</v>
      </c>
      <c r="S714" s="10">
        <v>0</v>
      </c>
      <c r="T714" s="10">
        <v>0</v>
      </c>
      <c r="U714" s="14">
        <v>0</v>
      </c>
      <c r="V714" s="10"/>
      <c r="W714" s="11">
        <v>1</v>
      </c>
      <c r="X714" s="11">
        <v>1</v>
      </c>
      <c r="Y714" s="11">
        <v>0</v>
      </c>
      <c r="Z714" s="11">
        <v>0</v>
      </c>
      <c r="AA714" s="11">
        <f>MasterTable[[#This Row],[Landings
Night]]+MasterTable[[#This Row],[Landings
Day]]</f>
        <v>1</v>
      </c>
      <c r="AB714" s="10">
        <v>0</v>
      </c>
      <c r="AC714" s="10">
        <v>0</v>
      </c>
      <c r="AD714" s="11">
        <v>0</v>
      </c>
      <c r="AE714" s="21">
        <f>SUM(MasterTable[[#This Row],[ILS]:[PAR]])</f>
        <v>0</v>
      </c>
      <c r="AL714" s="11"/>
      <c r="AR714" s="140" t="str">
        <f>_xlfn.XLOOKUP(MasterTable[[#This Row],[Aircraft ID]],Aircraft!A:A,Aircraft!H:H)</f>
        <v>Airplane Single Engine Land</v>
      </c>
      <c r="AS714" s="8" t="b">
        <f>OR((SUM(MasterTable[[#This Row],[ILS]:[PAR]]) = MasterTable[[#This Row],[APPR]]))</f>
        <v>1</v>
      </c>
      <c r="AT714" s="8" t="b">
        <f>NOT(ISBLANK(MasterTable[[#This Row],[Total
Time]]))</f>
        <v>1</v>
      </c>
    </row>
    <row r="715" spans="4:46" ht="28.8" x14ac:dyDescent="0.3">
      <c r="D715" s="22">
        <v>43868</v>
      </c>
      <c r="E715" s="8" t="s">
        <v>75</v>
      </c>
      <c r="F715" s="8" t="s">
        <v>204</v>
      </c>
      <c r="G715" s="8" t="s">
        <v>204</v>
      </c>
      <c r="I715" s="10">
        <v>1.2</v>
      </c>
      <c r="J715" s="10">
        <v>1.2</v>
      </c>
      <c r="L715" s="10">
        <v>0</v>
      </c>
      <c r="M715" s="13">
        <v>0</v>
      </c>
      <c r="N715" s="13"/>
      <c r="O715" s="10">
        <v>1.2</v>
      </c>
      <c r="P715" s="10">
        <v>0</v>
      </c>
      <c r="Q715" s="14">
        <v>0</v>
      </c>
      <c r="R715" s="14">
        <v>0</v>
      </c>
      <c r="S715" s="10">
        <v>0</v>
      </c>
      <c r="T715" s="10">
        <v>0</v>
      </c>
      <c r="U715" s="14">
        <v>0</v>
      </c>
      <c r="V715" s="10"/>
      <c r="W715" s="11">
        <v>1</v>
      </c>
      <c r="X715" s="11">
        <v>1</v>
      </c>
      <c r="Y715" s="11">
        <v>0</v>
      </c>
      <c r="Z715" s="11">
        <v>0</v>
      </c>
      <c r="AA715" s="11">
        <f>MasterTable[[#This Row],[Landings
Night]]+MasterTable[[#This Row],[Landings
Day]]</f>
        <v>1</v>
      </c>
      <c r="AB715" s="10">
        <v>0</v>
      </c>
      <c r="AC715" s="10">
        <v>0</v>
      </c>
      <c r="AD715" s="11">
        <v>0</v>
      </c>
      <c r="AE715" s="21">
        <f>SUM(MasterTable[[#This Row],[ILS]:[PAR]])</f>
        <v>0</v>
      </c>
      <c r="AL715" s="11"/>
      <c r="AR715" s="140" t="str">
        <f>_xlfn.XLOOKUP(MasterTable[[#This Row],[Aircraft ID]],Aircraft!A:A,Aircraft!H:H)</f>
        <v>Airplane Single Engine Land</v>
      </c>
      <c r="AS715" s="8" t="b">
        <f>OR((SUM(MasterTable[[#This Row],[ILS]:[PAR]]) = MasterTable[[#This Row],[APPR]]))</f>
        <v>1</v>
      </c>
      <c r="AT715" s="8" t="b">
        <f>NOT(ISBLANK(MasterTable[[#This Row],[Total
Time]]))</f>
        <v>1</v>
      </c>
    </row>
    <row r="716" spans="4:46" ht="28.8" x14ac:dyDescent="0.3">
      <c r="D716" s="22">
        <v>43866</v>
      </c>
      <c r="E716" s="8" t="s">
        <v>75</v>
      </c>
      <c r="F716" s="8" t="s">
        <v>204</v>
      </c>
      <c r="G716" s="8" t="s">
        <v>204</v>
      </c>
      <c r="I716" s="10">
        <v>1</v>
      </c>
      <c r="J716" s="10">
        <v>1</v>
      </c>
      <c r="L716" s="10">
        <v>0</v>
      </c>
      <c r="M716" s="13">
        <v>0</v>
      </c>
      <c r="N716" s="13"/>
      <c r="O716" s="10">
        <v>1</v>
      </c>
      <c r="P716" s="10">
        <v>0</v>
      </c>
      <c r="Q716" s="14">
        <v>0</v>
      </c>
      <c r="R716" s="14">
        <v>0</v>
      </c>
      <c r="S716" s="10">
        <v>0</v>
      </c>
      <c r="T716" s="10">
        <v>0</v>
      </c>
      <c r="U716" s="14">
        <v>0</v>
      </c>
      <c r="V716" s="10"/>
      <c r="W716" s="11">
        <v>3</v>
      </c>
      <c r="X716" s="11">
        <v>3</v>
      </c>
      <c r="Y716" s="11">
        <v>0</v>
      </c>
      <c r="Z716" s="11">
        <v>0</v>
      </c>
      <c r="AA716" s="11">
        <f>MasterTable[[#This Row],[Landings
Night]]+MasterTable[[#This Row],[Landings
Day]]</f>
        <v>3</v>
      </c>
      <c r="AB716" s="10">
        <v>0</v>
      </c>
      <c r="AC716" s="10">
        <v>0</v>
      </c>
      <c r="AD716" s="11">
        <v>0</v>
      </c>
      <c r="AE716" s="21">
        <f>SUM(MasterTable[[#This Row],[ILS]:[PAR]])</f>
        <v>0</v>
      </c>
      <c r="AL716" s="11"/>
      <c r="AR716" s="140" t="str">
        <f>_xlfn.XLOOKUP(MasterTable[[#This Row],[Aircraft ID]],Aircraft!A:A,Aircraft!H:H)</f>
        <v>Airplane Single Engine Land</v>
      </c>
      <c r="AS716" s="8" t="b">
        <f>OR((SUM(MasterTable[[#This Row],[ILS]:[PAR]]) = MasterTable[[#This Row],[APPR]]))</f>
        <v>1</v>
      </c>
      <c r="AT716" s="8" t="b">
        <f>NOT(ISBLANK(MasterTable[[#This Row],[Total
Time]]))</f>
        <v>1</v>
      </c>
    </row>
    <row r="717" spans="4:46" ht="28.8" x14ac:dyDescent="0.3">
      <c r="D717" s="22">
        <v>43864</v>
      </c>
      <c r="E717" s="8" t="s">
        <v>75</v>
      </c>
      <c r="F717" s="8" t="s">
        <v>204</v>
      </c>
      <c r="G717" s="8" t="s">
        <v>204</v>
      </c>
      <c r="I717" s="10">
        <v>1.1000000000000001</v>
      </c>
      <c r="J717" s="10">
        <v>1.1000000000000001</v>
      </c>
      <c r="L717" s="10">
        <v>0</v>
      </c>
      <c r="M717" s="13">
        <v>0</v>
      </c>
      <c r="N717" s="13"/>
      <c r="O717" s="10">
        <v>1.1000000000000001</v>
      </c>
      <c r="P717" s="10">
        <v>0</v>
      </c>
      <c r="Q717" s="14">
        <v>0</v>
      </c>
      <c r="R717" s="14">
        <v>0</v>
      </c>
      <c r="S717" s="10">
        <v>0</v>
      </c>
      <c r="T717" s="10">
        <v>0</v>
      </c>
      <c r="U717" s="14">
        <v>0</v>
      </c>
      <c r="V717" s="10"/>
      <c r="W717" s="11">
        <v>1</v>
      </c>
      <c r="X717" s="11">
        <v>1</v>
      </c>
      <c r="Y717" s="11">
        <v>0</v>
      </c>
      <c r="Z717" s="11">
        <v>0</v>
      </c>
      <c r="AA717" s="11">
        <f>MasterTable[[#This Row],[Landings
Night]]+MasterTable[[#This Row],[Landings
Day]]</f>
        <v>1</v>
      </c>
      <c r="AB717" s="10">
        <v>0</v>
      </c>
      <c r="AC717" s="10">
        <v>0</v>
      </c>
      <c r="AD717" s="11">
        <v>0</v>
      </c>
      <c r="AE717" s="21">
        <f>SUM(MasterTable[[#This Row],[ILS]:[PAR]])</f>
        <v>0</v>
      </c>
      <c r="AL717" s="11"/>
      <c r="AR717" s="140" t="str">
        <f>_xlfn.XLOOKUP(MasterTable[[#This Row],[Aircraft ID]],Aircraft!A:A,Aircraft!H:H)</f>
        <v>Airplane Single Engine Land</v>
      </c>
      <c r="AS717" s="8" t="b">
        <f>OR((SUM(MasterTable[[#This Row],[ILS]:[PAR]]) = MasterTable[[#This Row],[APPR]]))</f>
        <v>1</v>
      </c>
      <c r="AT717" s="8" t="b">
        <f>NOT(ISBLANK(MasterTable[[#This Row],[Total
Time]]))</f>
        <v>1</v>
      </c>
    </row>
    <row r="718" spans="4:46" ht="28.8" x14ac:dyDescent="0.3">
      <c r="D718" s="22">
        <v>43863</v>
      </c>
      <c r="E718" s="8" t="s">
        <v>75</v>
      </c>
      <c r="F718" s="8" t="s">
        <v>204</v>
      </c>
      <c r="G718" s="8" t="s">
        <v>214</v>
      </c>
      <c r="I718" s="10">
        <v>2</v>
      </c>
      <c r="J718" s="10">
        <v>2</v>
      </c>
      <c r="L718" s="10">
        <v>0</v>
      </c>
      <c r="M718" s="13">
        <v>0</v>
      </c>
      <c r="N718" s="13"/>
      <c r="O718" s="10">
        <v>2</v>
      </c>
      <c r="P718" s="10">
        <v>0</v>
      </c>
      <c r="Q718" s="14">
        <v>0</v>
      </c>
      <c r="R718" s="14">
        <v>0</v>
      </c>
      <c r="S718" s="10">
        <v>0</v>
      </c>
      <c r="T718" s="10">
        <v>0</v>
      </c>
      <c r="U718" s="14">
        <v>0</v>
      </c>
      <c r="V718" s="10"/>
      <c r="W718" s="11">
        <v>6</v>
      </c>
      <c r="X718" s="11">
        <v>6</v>
      </c>
      <c r="Y718" s="11">
        <v>0</v>
      </c>
      <c r="Z718" s="11">
        <v>0</v>
      </c>
      <c r="AA718" s="11">
        <f>MasterTable[[#This Row],[Landings
Night]]+MasterTable[[#This Row],[Landings
Day]]</f>
        <v>6</v>
      </c>
      <c r="AB718" s="10">
        <v>0</v>
      </c>
      <c r="AC718" s="10">
        <v>0</v>
      </c>
      <c r="AD718" s="11">
        <v>0</v>
      </c>
      <c r="AE718" s="21">
        <f>SUM(MasterTable[[#This Row],[ILS]:[PAR]])</f>
        <v>0</v>
      </c>
      <c r="AL718" s="11"/>
      <c r="AR718" s="140" t="str">
        <f>_xlfn.XLOOKUP(MasterTable[[#This Row],[Aircraft ID]],Aircraft!A:A,Aircraft!H:H)</f>
        <v>Airplane Single Engine Land</v>
      </c>
      <c r="AS718" s="8" t="b">
        <f>OR((SUM(MasterTable[[#This Row],[ILS]:[PAR]]) = MasterTable[[#This Row],[APPR]]))</f>
        <v>1</v>
      </c>
      <c r="AT718" s="8" t="b">
        <f>NOT(ISBLANK(MasterTable[[#This Row],[Total
Time]]))</f>
        <v>1</v>
      </c>
    </row>
    <row r="719" spans="4:46" ht="28.8" x14ac:dyDescent="0.3">
      <c r="D719" s="22">
        <v>43863</v>
      </c>
      <c r="E719" s="8" t="s">
        <v>60</v>
      </c>
      <c r="F719" s="8" t="s">
        <v>204</v>
      </c>
      <c r="G719" s="8" t="s">
        <v>204</v>
      </c>
      <c r="I719" s="10">
        <v>1.3</v>
      </c>
      <c r="J719" s="10">
        <v>1.3</v>
      </c>
      <c r="L719" s="10">
        <v>0</v>
      </c>
      <c r="M719" s="13">
        <v>0</v>
      </c>
      <c r="N719" s="13"/>
      <c r="O719" s="10">
        <v>1.3</v>
      </c>
      <c r="P719" s="10">
        <v>0</v>
      </c>
      <c r="Q719" s="14">
        <v>0</v>
      </c>
      <c r="R719" s="14">
        <v>0</v>
      </c>
      <c r="S719" s="10">
        <v>0</v>
      </c>
      <c r="T719" s="10">
        <v>0</v>
      </c>
      <c r="U719" s="14">
        <v>0</v>
      </c>
      <c r="V719" s="10"/>
      <c r="W719" s="11">
        <v>8</v>
      </c>
      <c r="X719" s="11">
        <v>8</v>
      </c>
      <c r="Y719" s="11">
        <v>0</v>
      </c>
      <c r="Z719" s="11">
        <v>0</v>
      </c>
      <c r="AA719" s="11">
        <f>MasterTable[[#This Row],[Landings
Night]]+MasterTable[[#This Row],[Landings
Day]]</f>
        <v>8</v>
      </c>
      <c r="AB719" s="10">
        <v>0</v>
      </c>
      <c r="AC719" s="10">
        <v>0</v>
      </c>
      <c r="AD719" s="11">
        <v>0</v>
      </c>
      <c r="AE719" s="21">
        <f>SUM(MasterTable[[#This Row],[ILS]:[PAR]])</f>
        <v>0</v>
      </c>
      <c r="AL719" s="11"/>
      <c r="AR719" s="140" t="str">
        <f>_xlfn.XLOOKUP(MasterTable[[#This Row],[Aircraft ID]],Aircraft!A:A,Aircraft!H:H)</f>
        <v>Airplane Single Engine Land</v>
      </c>
      <c r="AS719" s="8" t="b">
        <f>OR((SUM(MasterTable[[#This Row],[ILS]:[PAR]]) = MasterTable[[#This Row],[APPR]]))</f>
        <v>1</v>
      </c>
      <c r="AT719" s="8" t="b">
        <f>NOT(ISBLANK(MasterTable[[#This Row],[Total
Time]]))</f>
        <v>1</v>
      </c>
    </row>
    <row r="720" spans="4:46" ht="28.8" x14ac:dyDescent="0.3">
      <c r="D720" s="22">
        <v>43862</v>
      </c>
      <c r="E720" s="8" t="s">
        <v>60</v>
      </c>
      <c r="F720" s="8" t="s">
        <v>204</v>
      </c>
      <c r="G720" s="8" t="s">
        <v>204</v>
      </c>
      <c r="I720" s="10">
        <v>1.2</v>
      </c>
      <c r="J720" s="10">
        <v>1.2</v>
      </c>
      <c r="L720" s="10">
        <v>0</v>
      </c>
      <c r="M720" s="13">
        <v>0</v>
      </c>
      <c r="N720" s="13"/>
      <c r="O720" s="10">
        <v>1.2</v>
      </c>
      <c r="P720" s="10">
        <v>0</v>
      </c>
      <c r="Q720" s="14">
        <v>0</v>
      </c>
      <c r="R720" s="14">
        <v>0</v>
      </c>
      <c r="S720" s="10">
        <v>0</v>
      </c>
      <c r="T720" s="10">
        <v>0</v>
      </c>
      <c r="U720" s="14">
        <v>0</v>
      </c>
      <c r="V720" s="10"/>
      <c r="W720" s="11">
        <v>1</v>
      </c>
      <c r="X720" s="11">
        <v>1</v>
      </c>
      <c r="Y720" s="11">
        <v>0</v>
      </c>
      <c r="Z720" s="11">
        <v>0</v>
      </c>
      <c r="AA720" s="11">
        <f>MasterTable[[#This Row],[Landings
Night]]+MasterTable[[#This Row],[Landings
Day]]</f>
        <v>1</v>
      </c>
      <c r="AB720" s="10">
        <v>0</v>
      </c>
      <c r="AC720" s="10">
        <v>0</v>
      </c>
      <c r="AD720" s="11">
        <v>0</v>
      </c>
      <c r="AE720" s="21">
        <f>SUM(MasterTable[[#This Row],[ILS]:[PAR]])</f>
        <v>0</v>
      </c>
      <c r="AL720" s="11"/>
      <c r="AR720" s="140" t="str">
        <f>_xlfn.XLOOKUP(MasterTable[[#This Row],[Aircraft ID]],Aircraft!A:A,Aircraft!H:H)</f>
        <v>Airplane Single Engine Land</v>
      </c>
      <c r="AS720" s="8" t="b">
        <f>OR((SUM(MasterTable[[#This Row],[ILS]:[PAR]]) = MasterTable[[#This Row],[APPR]]))</f>
        <v>1</v>
      </c>
      <c r="AT720" s="8" t="b">
        <f>NOT(ISBLANK(MasterTable[[#This Row],[Total
Time]]))</f>
        <v>1</v>
      </c>
    </row>
    <row r="721" spans="4:46" ht="28.8" x14ac:dyDescent="0.3">
      <c r="D721" s="22">
        <v>43862</v>
      </c>
      <c r="E721" s="8" t="s">
        <v>64</v>
      </c>
      <c r="F721" s="8" t="s">
        <v>204</v>
      </c>
      <c r="G721" s="8" t="s">
        <v>204</v>
      </c>
      <c r="I721" s="10">
        <v>1</v>
      </c>
      <c r="J721" s="10">
        <v>1</v>
      </c>
      <c r="L721" s="10">
        <v>0</v>
      </c>
      <c r="M721" s="13">
        <v>0</v>
      </c>
      <c r="N721" s="13"/>
      <c r="O721" s="10">
        <v>1</v>
      </c>
      <c r="P721" s="10">
        <v>0</v>
      </c>
      <c r="Q721" s="14">
        <v>0</v>
      </c>
      <c r="R721" s="14">
        <v>0</v>
      </c>
      <c r="S721" s="10">
        <v>0</v>
      </c>
      <c r="T721" s="10">
        <v>0</v>
      </c>
      <c r="U721" s="14">
        <v>0</v>
      </c>
      <c r="V721" s="10"/>
      <c r="W721" s="11">
        <v>1</v>
      </c>
      <c r="X721" s="11">
        <v>1</v>
      </c>
      <c r="Y721" s="11">
        <v>0</v>
      </c>
      <c r="Z721" s="11">
        <v>0</v>
      </c>
      <c r="AA721" s="11">
        <f>MasterTable[[#This Row],[Landings
Night]]+MasterTable[[#This Row],[Landings
Day]]</f>
        <v>1</v>
      </c>
      <c r="AB721" s="10">
        <v>0</v>
      </c>
      <c r="AC721" s="10">
        <v>0</v>
      </c>
      <c r="AD721" s="11">
        <v>0</v>
      </c>
      <c r="AE721" s="21">
        <f>SUM(MasterTable[[#This Row],[ILS]:[PAR]])</f>
        <v>0</v>
      </c>
      <c r="AL721" s="11"/>
      <c r="AR721" s="140" t="str">
        <f>_xlfn.XLOOKUP(MasterTable[[#This Row],[Aircraft ID]],Aircraft!A:A,Aircraft!H:H)</f>
        <v>Airplane Single Engine Land</v>
      </c>
      <c r="AS721" s="8" t="b">
        <f>OR((SUM(MasterTable[[#This Row],[ILS]:[PAR]]) = MasterTable[[#This Row],[APPR]]))</f>
        <v>1</v>
      </c>
      <c r="AT721" s="8" t="b">
        <f>NOT(ISBLANK(MasterTable[[#This Row],[Total
Time]]))</f>
        <v>1</v>
      </c>
    </row>
    <row r="722" spans="4:46" ht="28.8" x14ac:dyDescent="0.3">
      <c r="D722" s="22">
        <v>43862</v>
      </c>
      <c r="E722" s="8" t="s">
        <v>75</v>
      </c>
      <c r="F722" s="8" t="s">
        <v>204</v>
      </c>
      <c r="G722" s="8" t="s">
        <v>204</v>
      </c>
      <c r="I722" s="10">
        <v>1.1000000000000001</v>
      </c>
      <c r="J722" s="10">
        <v>1.1000000000000001</v>
      </c>
      <c r="L722" s="10">
        <v>0</v>
      </c>
      <c r="M722" s="13">
        <v>0</v>
      </c>
      <c r="N722" s="13"/>
      <c r="O722" s="10">
        <v>1.1000000000000001</v>
      </c>
      <c r="P722" s="10">
        <v>0</v>
      </c>
      <c r="Q722" s="14">
        <v>0</v>
      </c>
      <c r="R722" s="14">
        <v>0</v>
      </c>
      <c r="S722" s="10">
        <v>0</v>
      </c>
      <c r="T722" s="10">
        <v>0</v>
      </c>
      <c r="U722" s="14">
        <v>0</v>
      </c>
      <c r="V722" s="10"/>
      <c r="W722" s="11">
        <v>1</v>
      </c>
      <c r="X722" s="11">
        <v>1</v>
      </c>
      <c r="Y722" s="11">
        <v>0</v>
      </c>
      <c r="Z722" s="11">
        <v>0</v>
      </c>
      <c r="AA722" s="11">
        <f>MasterTable[[#This Row],[Landings
Night]]+MasterTable[[#This Row],[Landings
Day]]</f>
        <v>1</v>
      </c>
      <c r="AB722" s="10">
        <v>0</v>
      </c>
      <c r="AC722" s="10">
        <v>0</v>
      </c>
      <c r="AD722" s="11">
        <v>0</v>
      </c>
      <c r="AE722" s="21">
        <f>SUM(MasterTable[[#This Row],[ILS]:[PAR]])</f>
        <v>0</v>
      </c>
      <c r="AL722" s="11"/>
      <c r="AR722" s="140" t="str">
        <f>_xlfn.XLOOKUP(MasterTable[[#This Row],[Aircraft ID]],Aircraft!A:A,Aircraft!H:H)</f>
        <v>Airplane Single Engine Land</v>
      </c>
      <c r="AS722" s="8" t="b">
        <f>OR((SUM(MasterTable[[#This Row],[ILS]:[PAR]]) = MasterTable[[#This Row],[APPR]]))</f>
        <v>1</v>
      </c>
      <c r="AT722" s="8" t="b">
        <f>NOT(ISBLANK(MasterTable[[#This Row],[Total
Time]]))</f>
        <v>1</v>
      </c>
    </row>
    <row r="723" spans="4:46" ht="28.8" x14ac:dyDescent="0.3">
      <c r="D723" s="22">
        <v>43861</v>
      </c>
      <c r="E723" s="8" t="s">
        <v>75</v>
      </c>
      <c r="F723" s="8" t="s">
        <v>204</v>
      </c>
      <c r="G723" s="8" t="s">
        <v>204</v>
      </c>
      <c r="I723" s="10">
        <v>1.4</v>
      </c>
      <c r="J723" s="10">
        <v>1.4</v>
      </c>
      <c r="L723" s="10">
        <v>0</v>
      </c>
      <c r="M723" s="13">
        <v>0</v>
      </c>
      <c r="N723" s="13"/>
      <c r="O723" s="10">
        <v>1.4</v>
      </c>
      <c r="P723" s="10">
        <v>0</v>
      </c>
      <c r="Q723" s="14">
        <v>0</v>
      </c>
      <c r="R723" s="14">
        <v>0</v>
      </c>
      <c r="S723" s="10">
        <v>0</v>
      </c>
      <c r="T723" s="10">
        <v>0</v>
      </c>
      <c r="U723" s="14">
        <v>0</v>
      </c>
      <c r="V723" s="10"/>
      <c r="W723" s="11">
        <v>1</v>
      </c>
      <c r="X723" s="11">
        <v>1</v>
      </c>
      <c r="Y723" s="11">
        <v>0</v>
      </c>
      <c r="Z723" s="11">
        <v>0</v>
      </c>
      <c r="AA723" s="11">
        <f>MasterTable[[#This Row],[Landings
Night]]+MasterTable[[#This Row],[Landings
Day]]</f>
        <v>1</v>
      </c>
      <c r="AB723" s="10">
        <v>0</v>
      </c>
      <c r="AC723" s="10">
        <v>0</v>
      </c>
      <c r="AD723" s="11">
        <v>0</v>
      </c>
      <c r="AE723" s="21">
        <f>SUM(MasterTable[[#This Row],[ILS]:[PAR]])</f>
        <v>0</v>
      </c>
      <c r="AL723" s="11"/>
      <c r="AR723" s="140" t="str">
        <f>_xlfn.XLOOKUP(MasterTable[[#This Row],[Aircraft ID]],Aircraft!A:A,Aircraft!H:H)</f>
        <v>Airplane Single Engine Land</v>
      </c>
      <c r="AS723" s="8" t="b">
        <f>OR((SUM(MasterTable[[#This Row],[ILS]:[PAR]]) = MasterTable[[#This Row],[APPR]]))</f>
        <v>1</v>
      </c>
      <c r="AT723" s="8" t="b">
        <f>NOT(ISBLANK(MasterTable[[#This Row],[Total
Time]]))</f>
        <v>1</v>
      </c>
    </row>
    <row r="724" spans="4:46" ht="28.8" x14ac:dyDescent="0.3">
      <c r="D724" s="22">
        <v>43861</v>
      </c>
      <c r="E724" s="8" t="s">
        <v>60</v>
      </c>
      <c r="F724" s="8" t="s">
        <v>204</v>
      </c>
      <c r="G724" s="8" t="s">
        <v>204</v>
      </c>
      <c r="I724" s="10">
        <v>1.2</v>
      </c>
      <c r="J724" s="10">
        <v>1.2</v>
      </c>
      <c r="L724" s="10">
        <v>0</v>
      </c>
      <c r="M724" s="13">
        <v>0</v>
      </c>
      <c r="N724" s="13"/>
      <c r="O724" s="10">
        <v>1.2</v>
      </c>
      <c r="P724" s="10">
        <v>0</v>
      </c>
      <c r="Q724" s="14">
        <v>0</v>
      </c>
      <c r="R724" s="14">
        <v>0</v>
      </c>
      <c r="S724" s="10">
        <v>0</v>
      </c>
      <c r="T724" s="10">
        <v>0</v>
      </c>
      <c r="U724" s="14">
        <v>0</v>
      </c>
      <c r="V724" s="10"/>
      <c r="W724" s="11">
        <v>1</v>
      </c>
      <c r="X724" s="11">
        <v>1</v>
      </c>
      <c r="Y724" s="11">
        <v>0</v>
      </c>
      <c r="Z724" s="11">
        <v>0</v>
      </c>
      <c r="AA724" s="11">
        <f>MasterTable[[#This Row],[Landings
Night]]+MasterTable[[#This Row],[Landings
Day]]</f>
        <v>1</v>
      </c>
      <c r="AB724" s="10">
        <v>0</v>
      </c>
      <c r="AC724" s="10">
        <v>0</v>
      </c>
      <c r="AD724" s="11">
        <v>0</v>
      </c>
      <c r="AE724" s="21">
        <f>SUM(MasterTable[[#This Row],[ILS]:[PAR]])</f>
        <v>0</v>
      </c>
      <c r="AL724" s="11"/>
      <c r="AR724" s="140" t="str">
        <f>_xlfn.XLOOKUP(MasterTable[[#This Row],[Aircraft ID]],Aircraft!A:A,Aircraft!H:H)</f>
        <v>Airplane Single Engine Land</v>
      </c>
      <c r="AS724" s="8" t="b">
        <f>OR((SUM(MasterTable[[#This Row],[ILS]:[PAR]]) = MasterTable[[#This Row],[APPR]]))</f>
        <v>1</v>
      </c>
      <c r="AT724" s="8" t="b">
        <f>NOT(ISBLANK(MasterTable[[#This Row],[Total
Time]]))</f>
        <v>1</v>
      </c>
    </row>
    <row r="725" spans="4:46" ht="28.8" x14ac:dyDescent="0.3">
      <c r="D725" s="22">
        <v>43857</v>
      </c>
      <c r="E725" s="8" t="s">
        <v>60</v>
      </c>
      <c r="F725" s="8" t="s">
        <v>204</v>
      </c>
      <c r="G725" s="8" t="s">
        <v>204</v>
      </c>
      <c r="I725" s="10">
        <v>1</v>
      </c>
      <c r="J725" s="10">
        <v>1</v>
      </c>
      <c r="L725" s="10">
        <v>0</v>
      </c>
      <c r="M725" s="13">
        <v>0</v>
      </c>
      <c r="N725" s="13"/>
      <c r="O725" s="10">
        <v>1</v>
      </c>
      <c r="P725" s="10">
        <v>0</v>
      </c>
      <c r="Q725" s="14">
        <v>0</v>
      </c>
      <c r="R725" s="14">
        <v>0</v>
      </c>
      <c r="S725" s="10">
        <v>0</v>
      </c>
      <c r="T725" s="10">
        <v>0</v>
      </c>
      <c r="U725" s="14">
        <v>0</v>
      </c>
      <c r="V725" s="10"/>
      <c r="W725" s="11">
        <v>1</v>
      </c>
      <c r="X725" s="11">
        <v>1</v>
      </c>
      <c r="Y725" s="11">
        <v>0</v>
      </c>
      <c r="Z725" s="11">
        <v>0</v>
      </c>
      <c r="AA725" s="11">
        <f>MasterTable[[#This Row],[Landings
Night]]+MasterTable[[#This Row],[Landings
Day]]</f>
        <v>1</v>
      </c>
      <c r="AB725" s="10">
        <v>0</v>
      </c>
      <c r="AC725" s="10">
        <v>0</v>
      </c>
      <c r="AD725" s="11">
        <v>0</v>
      </c>
      <c r="AE725" s="21">
        <f>SUM(MasterTable[[#This Row],[ILS]:[PAR]])</f>
        <v>0</v>
      </c>
      <c r="AL725" s="11"/>
      <c r="AR725" s="140" t="str">
        <f>_xlfn.XLOOKUP(MasterTable[[#This Row],[Aircraft ID]],Aircraft!A:A,Aircraft!H:H)</f>
        <v>Airplane Single Engine Land</v>
      </c>
      <c r="AS725" s="8" t="b">
        <f>OR((SUM(MasterTable[[#This Row],[ILS]:[PAR]]) = MasterTable[[#This Row],[APPR]]))</f>
        <v>1</v>
      </c>
      <c r="AT725" s="8" t="b">
        <f>NOT(ISBLANK(MasterTable[[#This Row],[Total
Time]]))</f>
        <v>1</v>
      </c>
    </row>
    <row r="726" spans="4:46" ht="28.8" x14ac:dyDescent="0.3">
      <c r="D726" s="22">
        <v>43855</v>
      </c>
      <c r="E726" s="8" t="s">
        <v>60</v>
      </c>
      <c r="F726" s="8" t="s">
        <v>204</v>
      </c>
      <c r="G726" s="8" t="s">
        <v>204</v>
      </c>
      <c r="I726" s="10">
        <v>1.2</v>
      </c>
      <c r="J726" s="10">
        <v>1.2</v>
      </c>
      <c r="L726" s="10">
        <v>0</v>
      </c>
      <c r="M726" s="13">
        <v>0</v>
      </c>
      <c r="N726" s="13"/>
      <c r="O726" s="10">
        <v>1.2</v>
      </c>
      <c r="P726" s="10">
        <v>0</v>
      </c>
      <c r="Q726" s="14">
        <v>0</v>
      </c>
      <c r="R726" s="14">
        <v>0</v>
      </c>
      <c r="S726" s="10">
        <v>0</v>
      </c>
      <c r="T726" s="10">
        <v>0</v>
      </c>
      <c r="U726" s="14">
        <v>0</v>
      </c>
      <c r="V726" s="10"/>
      <c r="W726" s="11">
        <v>1</v>
      </c>
      <c r="X726" s="11">
        <v>1</v>
      </c>
      <c r="Y726" s="11">
        <v>0</v>
      </c>
      <c r="Z726" s="11">
        <v>0</v>
      </c>
      <c r="AA726" s="11">
        <f>MasterTable[[#This Row],[Landings
Night]]+MasterTable[[#This Row],[Landings
Day]]</f>
        <v>1</v>
      </c>
      <c r="AB726" s="10">
        <v>0</v>
      </c>
      <c r="AC726" s="10">
        <v>0</v>
      </c>
      <c r="AD726" s="11">
        <v>0</v>
      </c>
      <c r="AE726" s="21">
        <f>SUM(MasterTable[[#This Row],[ILS]:[PAR]])</f>
        <v>0</v>
      </c>
      <c r="AL726" s="11"/>
      <c r="AR726" s="140" t="str">
        <f>_xlfn.XLOOKUP(MasterTable[[#This Row],[Aircraft ID]],Aircraft!A:A,Aircraft!H:H)</f>
        <v>Airplane Single Engine Land</v>
      </c>
      <c r="AS726" s="8" t="b">
        <f>OR((SUM(MasterTable[[#This Row],[ILS]:[PAR]]) = MasterTable[[#This Row],[APPR]]))</f>
        <v>1</v>
      </c>
      <c r="AT726" s="8" t="b">
        <f>NOT(ISBLANK(MasterTable[[#This Row],[Total
Time]]))</f>
        <v>1</v>
      </c>
    </row>
    <row r="727" spans="4:46" ht="28.8" x14ac:dyDescent="0.3">
      <c r="D727" s="22">
        <v>43855</v>
      </c>
      <c r="E727" s="8" t="s">
        <v>174</v>
      </c>
      <c r="F727" s="8" t="s">
        <v>204</v>
      </c>
      <c r="G727" s="8" t="s">
        <v>202</v>
      </c>
      <c r="I727" s="10">
        <v>1.6</v>
      </c>
      <c r="J727" s="10">
        <v>1.6</v>
      </c>
      <c r="L727" s="10">
        <v>0</v>
      </c>
      <c r="M727" s="13">
        <v>0</v>
      </c>
      <c r="N727" s="13"/>
      <c r="O727" s="10">
        <v>0</v>
      </c>
      <c r="P727" s="10">
        <v>0</v>
      </c>
      <c r="Q727" s="14">
        <v>0</v>
      </c>
      <c r="R727" s="14">
        <v>0</v>
      </c>
      <c r="S727" s="10">
        <v>0</v>
      </c>
      <c r="T727" s="10">
        <v>1.6</v>
      </c>
      <c r="U727" s="14">
        <v>0</v>
      </c>
      <c r="V727" s="10"/>
      <c r="W727" s="11">
        <v>1</v>
      </c>
      <c r="X727" s="11">
        <v>1</v>
      </c>
      <c r="Y727" s="11">
        <v>0</v>
      </c>
      <c r="Z727" s="11">
        <v>0</v>
      </c>
      <c r="AA727" s="11">
        <f>MasterTable[[#This Row],[Landings
Night]]+MasterTable[[#This Row],[Landings
Day]]</f>
        <v>1</v>
      </c>
      <c r="AB727" s="10">
        <v>0</v>
      </c>
      <c r="AC727" s="10">
        <v>0</v>
      </c>
      <c r="AD727" s="11">
        <v>0</v>
      </c>
      <c r="AE727" s="21">
        <f>SUM(MasterTable[[#This Row],[ILS]:[PAR]])</f>
        <v>0</v>
      </c>
      <c r="AL727" s="11"/>
      <c r="AR727" s="140" t="str">
        <f>_xlfn.XLOOKUP(MasterTable[[#This Row],[Aircraft ID]],Aircraft!A:A,Aircraft!H:H)</f>
        <v>Airplane Single Engine Land</v>
      </c>
      <c r="AS727" s="8" t="b">
        <f>OR((SUM(MasterTable[[#This Row],[ILS]:[PAR]]) = MasterTable[[#This Row],[APPR]]))</f>
        <v>1</v>
      </c>
      <c r="AT727" s="8" t="b">
        <f>NOT(ISBLANK(MasterTable[[#This Row],[Total
Time]]))</f>
        <v>1</v>
      </c>
    </row>
    <row r="728" spans="4:46" ht="28.8" x14ac:dyDescent="0.3">
      <c r="D728" s="22">
        <v>43854</v>
      </c>
      <c r="E728" s="8" t="s">
        <v>174</v>
      </c>
      <c r="F728" s="8" t="s">
        <v>204</v>
      </c>
      <c r="G728" s="8" t="s">
        <v>204</v>
      </c>
      <c r="I728" s="10">
        <v>0.8</v>
      </c>
      <c r="J728" s="10">
        <v>0.8</v>
      </c>
      <c r="L728" s="10">
        <v>0</v>
      </c>
      <c r="M728" s="13">
        <v>0</v>
      </c>
      <c r="N728" s="13"/>
      <c r="O728" s="10">
        <v>0</v>
      </c>
      <c r="P728" s="10">
        <v>0</v>
      </c>
      <c r="Q728" s="14">
        <v>0</v>
      </c>
      <c r="R728" s="14">
        <v>0</v>
      </c>
      <c r="S728" s="10">
        <v>0</v>
      </c>
      <c r="T728" s="10">
        <v>0</v>
      </c>
      <c r="U728" s="14">
        <v>0</v>
      </c>
      <c r="V728" s="10"/>
      <c r="W728" s="11">
        <v>1</v>
      </c>
      <c r="X728" s="11">
        <v>1</v>
      </c>
      <c r="Y728" s="11">
        <v>0</v>
      </c>
      <c r="Z728" s="11">
        <v>0</v>
      </c>
      <c r="AA728" s="11">
        <f>MasterTable[[#This Row],[Landings
Night]]+MasterTable[[#This Row],[Landings
Day]]</f>
        <v>1</v>
      </c>
      <c r="AB728" s="10">
        <v>0</v>
      </c>
      <c r="AC728" s="10">
        <v>0</v>
      </c>
      <c r="AD728" s="11">
        <v>0</v>
      </c>
      <c r="AE728" s="21">
        <f>SUM(MasterTable[[#This Row],[ILS]:[PAR]])</f>
        <v>0</v>
      </c>
      <c r="AL728" s="11"/>
      <c r="AR728" s="140" t="str">
        <f>_xlfn.XLOOKUP(MasterTable[[#This Row],[Aircraft ID]],Aircraft!A:A,Aircraft!H:H)</f>
        <v>Airplane Single Engine Land</v>
      </c>
      <c r="AS728" s="8" t="b">
        <f>OR((SUM(MasterTable[[#This Row],[ILS]:[PAR]]) = MasterTable[[#This Row],[APPR]]))</f>
        <v>1</v>
      </c>
      <c r="AT728" s="8" t="b">
        <f>NOT(ISBLANK(MasterTable[[#This Row],[Total
Time]]))</f>
        <v>1</v>
      </c>
    </row>
    <row r="729" spans="4:46" ht="28.8" x14ac:dyDescent="0.3">
      <c r="D729" s="22">
        <v>43853</v>
      </c>
      <c r="E729" s="8" t="s">
        <v>174</v>
      </c>
      <c r="F729" s="8" t="s">
        <v>204</v>
      </c>
      <c r="G729" s="8" t="s">
        <v>204</v>
      </c>
      <c r="I729" s="10">
        <v>0.7</v>
      </c>
      <c r="J729" s="10">
        <v>0.7</v>
      </c>
      <c r="L729" s="10">
        <v>0</v>
      </c>
      <c r="M729" s="13">
        <v>0</v>
      </c>
      <c r="N729" s="13"/>
      <c r="O729" s="10">
        <v>0.7</v>
      </c>
      <c r="P729" s="10">
        <v>0</v>
      </c>
      <c r="Q729" s="14">
        <v>0</v>
      </c>
      <c r="R729" s="14">
        <v>0</v>
      </c>
      <c r="S729" s="10">
        <v>0</v>
      </c>
      <c r="T729" s="10">
        <v>0</v>
      </c>
      <c r="U729" s="14">
        <v>0</v>
      </c>
      <c r="V729" s="10"/>
      <c r="W729" s="11">
        <v>1</v>
      </c>
      <c r="X729" s="11">
        <v>1</v>
      </c>
      <c r="Y729" s="11">
        <v>0</v>
      </c>
      <c r="Z729" s="11">
        <v>0</v>
      </c>
      <c r="AA729" s="11">
        <f>MasterTable[[#This Row],[Landings
Night]]+MasterTable[[#This Row],[Landings
Day]]</f>
        <v>1</v>
      </c>
      <c r="AB729" s="10">
        <v>0</v>
      </c>
      <c r="AC729" s="10">
        <v>0</v>
      </c>
      <c r="AD729" s="11">
        <v>0</v>
      </c>
      <c r="AE729" s="21">
        <f>SUM(MasterTable[[#This Row],[ILS]:[PAR]])</f>
        <v>0</v>
      </c>
      <c r="AL729" s="11"/>
      <c r="AR729" s="140" t="str">
        <f>_xlfn.XLOOKUP(MasterTable[[#This Row],[Aircraft ID]],Aircraft!A:A,Aircraft!H:H)</f>
        <v>Airplane Single Engine Land</v>
      </c>
      <c r="AS729" s="8" t="b">
        <f>OR((SUM(MasterTable[[#This Row],[ILS]:[PAR]]) = MasterTable[[#This Row],[APPR]]))</f>
        <v>1</v>
      </c>
      <c r="AT729" s="8" t="b">
        <f>NOT(ISBLANK(MasterTable[[#This Row],[Total
Time]]))</f>
        <v>1</v>
      </c>
    </row>
    <row r="730" spans="4:46" ht="28.8" x14ac:dyDescent="0.3">
      <c r="D730" s="22">
        <v>43852</v>
      </c>
      <c r="E730" s="8" t="s">
        <v>60</v>
      </c>
      <c r="F730" s="8" t="s">
        <v>204</v>
      </c>
      <c r="G730" s="8" t="s">
        <v>204</v>
      </c>
      <c r="I730" s="10">
        <v>0.6</v>
      </c>
      <c r="J730" s="10">
        <v>0.6</v>
      </c>
      <c r="L730" s="10">
        <v>0</v>
      </c>
      <c r="M730" s="13">
        <v>0</v>
      </c>
      <c r="N730" s="13"/>
      <c r="O730" s="10">
        <v>0.6</v>
      </c>
      <c r="P730" s="10">
        <v>0</v>
      </c>
      <c r="Q730" s="14">
        <v>0</v>
      </c>
      <c r="R730" s="14">
        <v>0</v>
      </c>
      <c r="S730" s="10">
        <v>0</v>
      </c>
      <c r="T730" s="10">
        <v>0</v>
      </c>
      <c r="U730" s="14">
        <v>0</v>
      </c>
      <c r="V730" s="10"/>
      <c r="W730" s="11">
        <v>3</v>
      </c>
      <c r="X730" s="11">
        <v>3</v>
      </c>
      <c r="Y730" s="11">
        <v>0</v>
      </c>
      <c r="Z730" s="11">
        <v>0</v>
      </c>
      <c r="AA730" s="11">
        <f>MasterTable[[#This Row],[Landings
Night]]+MasterTable[[#This Row],[Landings
Day]]</f>
        <v>3</v>
      </c>
      <c r="AB730" s="10">
        <v>0</v>
      </c>
      <c r="AC730" s="10">
        <v>0</v>
      </c>
      <c r="AD730" s="11">
        <v>0</v>
      </c>
      <c r="AE730" s="21">
        <f>SUM(MasterTable[[#This Row],[ILS]:[PAR]])</f>
        <v>0</v>
      </c>
      <c r="AL730" s="11"/>
      <c r="AR730" s="140" t="str">
        <f>_xlfn.XLOOKUP(MasterTable[[#This Row],[Aircraft ID]],Aircraft!A:A,Aircraft!H:H)</f>
        <v>Airplane Single Engine Land</v>
      </c>
      <c r="AS730" s="8" t="b">
        <f>OR((SUM(MasterTable[[#This Row],[ILS]:[PAR]]) = MasterTable[[#This Row],[APPR]]))</f>
        <v>1</v>
      </c>
      <c r="AT730" s="8" t="b">
        <f>NOT(ISBLANK(MasterTable[[#This Row],[Total
Time]]))</f>
        <v>1</v>
      </c>
    </row>
    <row r="731" spans="4:46" ht="28.8" x14ac:dyDescent="0.3">
      <c r="D731" s="22">
        <v>43851</v>
      </c>
      <c r="E731" s="8" t="s">
        <v>75</v>
      </c>
      <c r="F731" s="8" t="s">
        <v>204</v>
      </c>
      <c r="G731" s="8" t="s">
        <v>204</v>
      </c>
      <c r="I731" s="10">
        <v>0.6</v>
      </c>
      <c r="J731" s="10">
        <v>0.6</v>
      </c>
      <c r="L731" s="10">
        <v>0</v>
      </c>
      <c r="M731" s="13">
        <v>0</v>
      </c>
      <c r="N731" s="13"/>
      <c r="O731" s="10">
        <v>0.6</v>
      </c>
      <c r="P731" s="10">
        <v>0</v>
      </c>
      <c r="Q731" s="14">
        <v>0</v>
      </c>
      <c r="R731" s="14">
        <v>0</v>
      </c>
      <c r="S731" s="10">
        <v>0</v>
      </c>
      <c r="T731" s="10">
        <v>0</v>
      </c>
      <c r="U731" s="14">
        <v>0</v>
      </c>
      <c r="V731" s="10"/>
      <c r="W731" s="11">
        <v>3</v>
      </c>
      <c r="X731" s="11">
        <v>3</v>
      </c>
      <c r="Y731" s="11">
        <v>0</v>
      </c>
      <c r="Z731" s="11">
        <v>0</v>
      </c>
      <c r="AA731" s="11">
        <f>MasterTable[[#This Row],[Landings
Night]]+MasterTable[[#This Row],[Landings
Day]]</f>
        <v>3</v>
      </c>
      <c r="AB731" s="10">
        <v>0</v>
      </c>
      <c r="AC731" s="10">
        <v>0</v>
      </c>
      <c r="AD731" s="11">
        <v>0</v>
      </c>
      <c r="AE731" s="21">
        <f>SUM(MasterTable[[#This Row],[ILS]:[PAR]])</f>
        <v>0</v>
      </c>
      <c r="AL731" s="11"/>
      <c r="AR731" s="140" t="str">
        <f>_xlfn.XLOOKUP(MasterTable[[#This Row],[Aircraft ID]],Aircraft!A:A,Aircraft!H:H)</f>
        <v>Airplane Single Engine Land</v>
      </c>
      <c r="AS731" s="8" t="b">
        <f>OR((SUM(MasterTable[[#This Row],[ILS]:[PAR]]) = MasterTable[[#This Row],[APPR]]))</f>
        <v>1</v>
      </c>
      <c r="AT731" s="8" t="b">
        <f>NOT(ISBLANK(MasterTable[[#This Row],[Total
Time]]))</f>
        <v>1</v>
      </c>
    </row>
    <row r="732" spans="4:46" ht="28.8" x14ac:dyDescent="0.3">
      <c r="D732" s="22">
        <v>43850</v>
      </c>
      <c r="E732" s="8" t="s">
        <v>64</v>
      </c>
      <c r="F732" s="8" t="s">
        <v>204</v>
      </c>
      <c r="G732" s="8" t="s">
        <v>204</v>
      </c>
      <c r="I732" s="10">
        <v>0.9</v>
      </c>
      <c r="J732" s="10">
        <v>0.9</v>
      </c>
      <c r="L732" s="10">
        <v>0</v>
      </c>
      <c r="M732" s="13">
        <v>0</v>
      </c>
      <c r="N732" s="13"/>
      <c r="O732" s="10">
        <v>0.9</v>
      </c>
      <c r="P732" s="10">
        <v>0</v>
      </c>
      <c r="Q732" s="14">
        <v>0</v>
      </c>
      <c r="R732" s="14">
        <v>0</v>
      </c>
      <c r="S732" s="10">
        <v>0</v>
      </c>
      <c r="T732" s="10">
        <v>0</v>
      </c>
      <c r="U732" s="14">
        <v>0</v>
      </c>
      <c r="V732" s="10"/>
      <c r="W732" s="11">
        <v>1</v>
      </c>
      <c r="X732" s="11">
        <v>1</v>
      </c>
      <c r="Y732" s="11">
        <v>0</v>
      </c>
      <c r="Z732" s="11">
        <v>0</v>
      </c>
      <c r="AA732" s="11">
        <f>MasterTable[[#This Row],[Landings
Night]]+MasterTable[[#This Row],[Landings
Day]]</f>
        <v>1</v>
      </c>
      <c r="AB732" s="10">
        <v>0</v>
      </c>
      <c r="AC732" s="10">
        <v>0</v>
      </c>
      <c r="AD732" s="11">
        <v>0</v>
      </c>
      <c r="AE732" s="21">
        <f>SUM(MasterTable[[#This Row],[ILS]:[PAR]])</f>
        <v>0</v>
      </c>
      <c r="AL732" s="11"/>
      <c r="AR732" s="140" t="str">
        <f>_xlfn.XLOOKUP(MasterTable[[#This Row],[Aircraft ID]],Aircraft!A:A,Aircraft!H:H)</f>
        <v>Airplane Single Engine Land</v>
      </c>
      <c r="AS732" s="8" t="b">
        <f>OR((SUM(MasterTable[[#This Row],[ILS]:[PAR]]) = MasterTable[[#This Row],[APPR]]))</f>
        <v>1</v>
      </c>
      <c r="AT732" s="8" t="b">
        <f>NOT(ISBLANK(MasterTable[[#This Row],[Total
Time]]))</f>
        <v>1</v>
      </c>
    </row>
    <row r="733" spans="4:46" ht="28.8" x14ac:dyDescent="0.3">
      <c r="D733" s="22">
        <v>43849</v>
      </c>
      <c r="E733" s="8" t="s">
        <v>64</v>
      </c>
      <c r="F733" s="8" t="s">
        <v>204</v>
      </c>
      <c r="G733" s="8" t="s">
        <v>204</v>
      </c>
      <c r="I733" s="10">
        <v>0.5</v>
      </c>
      <c r="J733" s="10">
        <v>0.5</v>
      </c>
      <c r="L733" s="10">
        <v>0</v>
      </c>
      <c r="M733" s="13">
        <v>0</v>
      </c>
      <c r="N733" s="13"/>
      <c r="O733" s="10">
        <v>0</v>
      </c>
      <c r="P733" s="10">
        <v>0</v>
      </c>
      <c r="Q733" s="14">
        <v>0</v>
      </c>
      <c r="R733" s="14">
        <v>0</v>
      </c>
      <c r="S733" s="10">
        <v>0</v>
      </c>
      <c r="T733" s="10">
        <v>0</v>
      </c>
      <c r="U733" s="14">
        <v>0</v>
      </c>
      <c r="V733" s="10"/>
      <c r="W733" s="11">
        <v>3</v>
      </c>
      <c r="X733" s="11">
        <v>3</v>
      </c>
      <c r="Y733" s="11">
        <v>0</v>
      </c>
      <c r="Z733" s="11">
        <v>0</v>
      </c>
      <c r="AA733" s="11">
        <f>MasterTable[[#This Row],[Landings
Night]]+MasterTable[[#This Row],[Landings
Day]]</f>
        <v>3</v>
      </c>
      <c r="AB733" s="10">
        <v>0</v>
      </c>
      <c r="AC733" s="10">
        <v>0</v>
      </c>
      <c r="AD733" s="11">
        <v>0</v>
      </c>
      <c r="AE733" s="21">
        <f>SUM(MasterTable[[#This Row],[ILS]:[PAR]])</f>
        <v>0</v>
      </c>
      <c r="AL733" s="11"/>
      <c r="AR733" s="140" t="str">
        <f>_xlfn.XLOOKUP(MasterTable[[#This Row],[Aircraft ID]],Aircraft!A:A,Aircraft!H:H)</f>
        <v>Airplane Single Engine Land</v>
      </c>
      <c r="AS733" s="8" t="b">
        <f>OR((SUM(MasterTable[[#This Row],[ILS]:[PAR]]) = MasterTable[[#This Row],[APPR]]))</f>
        <v>1</v>
      </c>
      <c r="AT733" s="8" t="b">
        <f>NOT(ISBLANK(MasterTable[[#This Row],[Total
Time]]))</f>
        <v>1</v>
      </c>
    </row>
    <row r="734" spans="4:46" ht="28.8" x14ac:dyDescent="0.3">
      <c r="D734" s="22">
        <v>43849</v>
      </c>
      <c r="E734" s="8" t="s">
        <v>75</v>
      </c>
      <c r="F734" s="8" t="s">
        <v>204</v>
      </c>
      <c r="G734" s="8" t="s">
        <v>204</v>
      </c>
      <c r="I734" s="10">
        <v>0.7</v>
      </c>
      <c r="J734" s="10">
        <v>0.7</v>
      </c>
      <c r="L734" s="10">
        <v>0</v>
      </c>
      <c r="M734" s="13">
        <v>0</v>
      </c>
      <c r="N734" s="13"/>
      <c r="O734" s="10">
        <v>0.7</v>
      </c>
      <c r="P734" s="10">
        <v>0</v>
      </c>
      <c r="Q734" s="14">
        <v>0</v>
      </c>
      <c r="R734" s="14">
        <v>0</v>
      </c>
      <c r="S734" s="10">
        <v>0</v>
      </c>
      <c r="T734" s="10">
        <v>0</v>
      </c>
      <c r="U734" s="14">
        <v>0</v>
      </c>
      <c r="V734" s="10"/>
      <c r="W734" s="11">
        <v>1</v>
      </c>
      <c r="X734" s="11">
        <v>1</v>
      </c>
      <c r="Y734" s="11">
        <v>0</v>
      </c>
      <c r="Z734" s="11">
        <v>0</v>
      </c>
      <c r="AA734" s="11">
        <f>MasterTable[[#This Row],[Landings
Night]]+MasterTable[[#This Row],[Landings
Day]]</f>
        <v>1</v>
      </c>
      <c r="AB734" s="10">
        <v>0</v>
      </c>
      <c r="AC734" s="10">
        <v>0</v>
      </c>
      <c r="AD734" s="11">
        <v>0</v>
      </c>
      <c r="AE734" s="21">
        <f>SUM(MasterTable[[#This Row],[ILS]:[PAR]])</f>
        <v>0</v>
      </c>
      <c r="AL734" s="11"/>
      <c r="AR734" s="140" t="str">
        <f>_xlfn.XLOOKUP(MasterTable[[#This Row],[Aircraft ID]],Aircraft!A:A,Aircraft!H:H)</f>
        <v>Airplane Single Engine Land</v>
      </c>
      <c r="AS734" s="8" t="b">
        <f>OR((SUM(MasterTable[[#This Row],[ILS]:[PAR]]) = MasterTable[[#This Row],[APPR]]))</f>
        <v>1</v>
      </c>
      <c r="AT734" s="8" t="b">
        <f>NOT(ISBLANK(MasterTable[[#This Row],[Total
Time]]))</f>
        <v>1</v>
      </c>
    </row>
    <row r="735" spans="4:46" ht="28.8" x14ac:dyDescent="0.3">
      <c r="D735" s="22">
        <v>43849</v>
      </c>
      <c r="E735" s="8" t="s">
        <v>75</v>
      </c>
      <c r="F735" s="8" t="s">
        <v>204</v>
      </c>
      <c r="G735" s="8" t="s">
        <v>204</v>
      </c>
      <c r="I735" s="10">
        <v>0.8</v>
      </c>
      <c r="J735" s="10">
        <v>0.8</v>
      </c>
      <c r="L735" s="10">
        <v>0</v>
      </c>
      <c r="M735" s="13">
        <v>0</v>
      </c>
      <c r="N735" s="13"/>
      <c r="O735" s="10">
        <v>0.8</v>
      </c>
      <c r="P735" s="10">
        <v>0</v>
      </c>
      <c r="Q735" s="14">
        <v>0</v>
      </c>
      <c r="R735" s="14">
        <v>0</v>
      </c>
      <c r="S735" s="10">
        <v>0</v>
      </c>
      <c r="T735" s="10">
        <v>0</v>
      </c>
      <c r="U735" s="14">
        <v>0</v>
      </c>
      <c r="V735" s="10">
        <v>0.6</v>
      </c>
      <c r="W735" s="11">
        <v>3</v>
      </c>
      <c r="X735" s="11">
        <v>3</v>
      </c>
      <c r="Y735" s="11">
        <v>0</v>
      </c>
      <c r="Z735" s="11">
        <v>0</v>
      </c>
      <c r="AA735" s="11">
        <f>MasterTable[[#This Row],[Landings
Night]]+MasterTable[[#This Row],[Landings
Day]]</f>
        <v>3</v>
      </c>
      <c r="AB735" s="10">
        <v>0</v>
      </c>
      <c r="AC735" s="10">
        <v>0</v>
      </c>
      <c r="AD735" s="11">
        <v>0</v>
      </c>
      <c r="AE735" s="21">
        <f>SUM(MasterTable[[#This Row],[ILS]:[PAR]])</f>
        <v>0</v>
      </c>
      <c r="AL735" s="11"/>
      <c r="AR735" s="140" t="str">
        <f>_xlfn.XLOOKUP(MasterTable[[#This Row],[Aircraft ID]],Aircraft!A:A,Aircraft!H:H)</f>
        <v>Airplane Single Engine Land</v>
      </c>
      <c r="AS735" s="8" t="b">
        <f>OR((SUM(MasterTable[[#This Row],[ILS]:[PAR]]) = MasterTable[[#This Row],[APPR]]))</f>
        <v>1</v>
      </c>
      <c r="AT735" s="8" t="b">
        <f>NOT(ISBLANK(MasterTable[[#This Row],[Total
Time]]))</f>
        <v>1</v>
      </c>
    </row>
    <row r="736" spans="4:46" ht="28.8" x14ac:dyDescent="0.3">
      <c r="D736" s="22">
        <v>43849</v>
      </c>
      <c r="E736" s="8" t="s">
        <v>174</v>
      </c>
      <c r="F736" s="8" t="s">
        <v>204</v>
      </c>
      <c r="G736" s="8" t="s">
        <v>204</v>
      </c>
      <c r="I736" s="10">
        <v>1</v>
      </c>
      <c r="J736" s="10">
        <v>1</v>
      </c>
      <c r="L736" s="10">
        <v>0</v>
      </c>
      <c r="M736" s="13">
        <v>0</v>
      </c>
      <c r="N736" s="13"/>
      <c r="O736" s="10">
        <v>0</v>
      </c>
      <c r="P736" s="10">
        <v>0</v>
      </c>
      <c r="Q736" s="14">
        <v>0</v>
      </c>
      <c r="R736" s="14">
        <v>0</v>
      </c>
      <c r="S736" s="10">
        <v>0</v>
      </c>
      <c r="T736" s="10">
        <v>0</v>
      </c>
      <c r="U736" s="14">
        <v>0</v>
      </c>
      <c r="V736" s="10"/>
      <c r="W736" s="11">
        <v>1</v>
      </c>
      <c r="X736" s="11">
        <v>1</v>
      </c>
      <c r="Y736" s="11">
        <v>0</v>
      </c>
      <c r="Z736" s="11">
        <v>0</v>
      </c>
      <c r="AA736" s="11">
        <f>MasterTable[[#This Row],[Landings
Night]]+MasterTable[[#This Row],[Landings
Day]]</f>
        <v>1</v>
      </c>
      <c r="AB736" s="10">
        <v>0</v>
      </c>
      <c r="AC736" s="10">
        <v>0</v>
      </c>
      <c r="AD736" s="11">
        <v>0</v>
      </c>
      <c r="AE736" s="21">
        <f>SUM(MasterTable[[#This Row],[ILS]:[PAR]])</f>
        <v>0</v>
      </c>
      <c r="AL736" s="11"/>
      <c r="AR736" s="140" t="str">
        <f>_xlfn.XLOOKUP(MasterTable[[#This Row],[Aircraft ID]],Aircraft!A:A,Aircraft!H:H)</f>
        <v>Airplane Single Engine Land</v>
      </c>
      <c r="AS736" s="8" t="b">
        <f>OR((SUM(MasterTable[[#This Row],[ILS]:[PAR]]) = MasterTable[[#This Row],[APPR]]))</f>
        <v>1</v>
      </c>
      <c r="AT736" s="8" t="b">
        <f>NOT(ISBLANK(MasterTable[[#This Row],[Total
Time]]))</f>
        <v>1</v>
      </c>
    </row>
    <row r="737" spans="4:46" ht="28.8" x14ac:dyDescent="0.3">
      <c r="D737" s="22">
        <v>43848</v>
      </c>
      <c r="E737" s="8" t="s">
        <v>174</v>
      </c>
      <c r="F737" s="8" t="s">
        <v>202</v>
      </c>
      <c r="G737" s="8" t="s">
        <v>204</v>
      </c>
      <c r="I737" s="10">
        <v>1.6</v>
      </c>
      <c r="J737" s="10">
        <v>1.6</v>
      </c>
      <c r="L737" s="10">
        <v>0</v>
      </c>
      <c r="M737" s="13">
        <v>0</v>
      </c>
      <c r="N737" s="13"/>
      <c r="O737" s="10">
        <v>0</v>
      </c>
      <c r="P737" s="10">
        <v>0</v>
      </c>
      <c r="Q737" s="14">
        <v>0</v>
      </c>
      <c r="R737" s="14">
        <v>0</v>
      </c>
      <c r="S737" s="10">
        <v>0.4</v>
      </c>
      <c r="T737" s="10">
        <v>1.6</v>
      </c>
      <c r="U737" s="14">
        <v>0</v>
      </c>
      <c r="V737" s="10"/>
      <c r="W737" s="11">
        <v>1</v>
      </c>
      <c r="X737" s="11">
        <v>0</v>
      </c>
      <c r="Y737" s="11">
        <v>0</v>
      </c>
      <c r="Z737" s="11">
        <v>1</v>
      </c>
      <c r="AA737" s="11">
        <f>MasterTable[[#This Row],[Landings
Night]]+MasterTable[[#This Row],[Landings
Day]]</f>
        <v>1</v>
      </c>
      <c r="AB737" s="10">
        <v>0</v>
      </c>
      <c r="AC737" s="10">
        <v>0</v>
      </c>
      <c r="AD737" s="11">
        <v>0</v>
      </c>
      <c r="AE737" s="21">
        <f>SUM(MasterTable[[#This Row],[ILS]:[PAR]])</f>
        <v>1</v>
      </c>
      <c r="AG737" s="11">
        <v>1</v>
      </c>
      <c r="AL737" s="11"/>
      <c r="AR737" s="140" t="str">
        <f>_xlfn.XLOOKUP(MasterTable[[#This Row],[Aircraft ID]],Aircraft!A:A,Aircraft!H:H)</f>
        <v>Airplane Single Engine Land</v>
      </c>
      <c r="AS737" s="8" t="b">
        <f>OR((SUM(MasterTable[[#This Row],[ILS]:[PAR]]) = MasterTable[[#This Row],[APPR]]))</f>
        <v>1</v>
      </c>
      <c r="AT737" s="8" t="b">
        <f>NOT(ISBLANK(MasterTable[[#This Row],[Total
Time]]))</f>
        <v>1</v>
      </c>
    </row>
    <row r="738" spans="4:46" ht="28.8" x14ac:dyDescent="0.3">
      <c r="D738" s="22">
        <v>43847</v>
      </c>
      <c r="E738" s="8" t="s">
        <v>75</v>
      </c>
      <c r="F738" s="8" t="s">
        <v>204</v>
      </c>
      <c r="G738" s="8" t="s">
        <v>256</v>
      </c>
      <c r="I738" s="10">
        <v>1.6</v>
      </c>
      <c r="J738" s="10">
        <v>1.6</v>
      </c>
      <c r="L738" s="10">
        <v>0</v>
      </c>
      <c r="M738" s="13">
        <v>0</v>
      </c>
      <c r="N738" s="13"/>
      <c r="O738" s="10">
        <v>1.6</v>
      </c>
      <c r="P738" s="10">
        <v>0</v>
      </c>
      <c r="Q738" s="14">
        <v>0</v>
      </c>
      <c r="R738" s="14">
        <v>0</v>
      </c>
      <c r="S738" s="10">
        <v>0</v>
      </c>
      <c r="T738" s="10">
        <v>0</v>
      </c>
      <c r="U738" s="14">
        <v>0</v>
      </c>
      <c r="V738" s="10"/>
      <c r="W738" s="11">
        <v>3</v>
      </c>
      <c r="X738" s="11">
        <v>3</v>
      </c>
      <c r="Y738" s="11">
        <v>0</v>
      </c>
      <c r="Z738" s="11">
        <v>0</v>
      </c>
      <c r="AA738" s="11">
        <f>MasterTable[[#This Row],[Landings
Night]]+MasterTable[[#This Row],[Landings
Day]]</f>
        <v>3</v>
      </c>
      <c r="AB738" s="10">
        <v>0</v>
      </c>
      <c r="AC738" s="10">
        <v>0</v>
      </c>
      <c r="AD738" s="11">
        <v>0</v>
      </c>
      <c r="AE738" s="21">
        <f>SUM(MasterTable[[#This Row],[ILS]:[PAR]])</f>
        <v>0</v>
      </c>
      <c r="AL738" s="11"/>
      <c r="AR738" s="140" t="str">
        <f>_xlfn.XLOOKUP(MasterTable[[#This Row],[Aircraft ID]],Aircraft!A:A,Aircraft!H:H)</f>
        <v>Airplane Single Engine Land</v>
      </c>
      <c r="AS738" s="8" t="b">
        <f>OR((SUM(MasterTable[[#This Row],[ILS]:[PAR]]) = MasterTable[[#This Row],[APPR]]))</f>
        <v>1</v>
      </c>
      <c r="AT738" s="8" t="b">
        <f>NOT(ISBLANK(MasterTable[[#This Row],[Total
Time]]))</f>
        <v>1</v>
      </c>
    </row>
    <row r="739" spans="4:46" ht="28.8" x14ac:dyDescent="0.3">
      <c r="D739" s="22">
        <v>43845</v>
      </c>
      <c r="E739" s="8" t="s">
        <v>60</v>
      </c>
      <c r="F739" s="8" t="s">
        <v>204</v>
      </c>
      <c r="G739" s="8" t="s">
        <v>204</v>
      </c>
      <c r="I739" s="10">
        <v>0.9</v>
      </c>
      <c r="J739" s="10">
        <v>0.9</v>
      </c>
      <c r="L739" s="10">
        <v>0</v>
      </c>
      <c r="M739" s="13">
        <v>0</v>
      </c>
      <c r="N739" s="13"/>
      <c r="O739" s="10">
        <v>0.9</v>
      </c>
      <c r="P739" s="10">
        <v>0</v>
      </c>
      <c r="Q739" s="14">
        <v>0</v>
      </c>
      <c r="R739" s="14">
        <v>0</v>
      </c>
      <c r="S739" s="10">
        <v>0</v>
      </c>
      <c r="T739" s="10">
        <v>0</v>
      </c>
      <c r="U739" s="14">
        <v>0</v>
      </c>
      <c r="V739" s="10"/>
      <c r="W739" s="11">
        <v>1</v>
      </c>
      <c r="X739" s="11">
        <v>1</v>
      </c>
      <c r="Y739" s="11">
        <v>0</v>
      </c>
      <c r="Z739" s="11">
        <v>0</v>
      </c>
      <c r="AA739" s="11">
        <f>MasterTable[[#This Row],[Landings
Night]]+MasterTable[[#This Row],[Landings
Day]]</f>
        <v>1</v>
      </c>
      <c r="AB739" s="10">
        <v>0</v>
      </c>
      <c r="AC739" s="10">
        <v>0</v>
      </c>
      <c r="AD739" s="11">
        <v>0</v>
      </c>
      <c r="AE739" s="21">
        <f>SUM(MasterTable[[#This Row],[ILS]:[PAR]])</f>
        <v>0</v>
      </c>
      <c r="AL739" s="11"/>
      <c r="AR739" s="140" t="str">
        <f>_xlfn.XLOOKUP(MasterTable[[#This Row],[Aircraft ID]],Aircraft!A:A,Aircraft!H:H)</f>
        <v>Airplane Single Engine Land</v>
      </c>
      <c r="AS739" s="8" t="b">
        <f>OR((SUM(MasterTable[[#This Row],[ILS]:[PAR]]) = MasterTable[[#This Row],[APPR]]))</f>
        <v>1</v>
      </c>
      <c r="AT739" s="8" t="b">
        <f>NOT(ISBLANK(MasterTable[[#This Row],[Total
Time]]))</f>
        <v>1</v>
      </c>
    </row>
    <row r="740" spans="4:46" ht="28.8" x14ac:dyDescent="0.3">
      <c r="D740" s="22">
        <v>43843</v>
      </c>
      <c r="E740" s="8" t="s">
        <v>75</v>
      </c>
      <c r="F740" s="8" t="s">
        <v>204</v>
      </c>
      <c r="G740" s="8" t="s">
        <v>214</v>
      </c>
      <c r="I740" s="10">
        <v>1.9</v>
      </c>
      <c r="J740" s="10">
        <v>1.9</v>
      </c>
      <c r="L740" s="10">
        <v>0</v>
      </c>
      <c r="M740" s="13">
        <v>0</v>
      </c>
      <c r="N740" s="13"/>
      <c r="O740" s="10">
        <v>1.9</v>
      </c>
      <c r="P740" s="10">
        <v>0</v>
      </c>
      <c r="Q740" s="14">
        <v>0</v>
      </c>
      <c r="R740" s="14">
        <v>0</v>
      </c>
      <c r="S740" s="10">
        <v>0</v>
      </c>
      <c r="T740" s="10">
        <v>0</v>
      </c>
      <c r="U740" s="14">
        <v>0</v>
      </c>
      <c r="V740" s="10"/>
      <c r="W740" s="11">
        <v>10</v>
      </c>
      <c r="X740" s="11">
        <v>10</v>
      </c>
      <c r="Y740" s="11">
        <v>0</v>
      </c>
      <c r="Z740" s="11">
        <v>0</v>
      </c>
      <c r="AA740" s="11">
        <f>MasterTable[[#This Row],[Landings
Night]]+MasterTable[[#This Row],[Landings
Day]]</f>
        <v>10</v>
      </c>
      <c r="AB740" s="10">
        <v>0</v>
      </c>
      <c r="AC740" s="10">
        <v>0</v>
      </c>
      <c r="AD740" s="11">
        <v>0</v>
      </c>
      <c r="AE740" s="21">
        <f>SUM(MasterTable[[#This Row],[ILS]:[PAR]])</f>
        <v>0</v>
      </c>
      <c r="AL740" s="11"/>
      <c r="AR740" s="140" t="str">
        <f>_xlfn.XLOOKUP(MasterTable[[#This Row],[Aircraft ID]],Aircraft!A:A,Aircraft!H:H)</f>
        <v>Airplane Single Engine Land</v>
      </c>
      <c r="AS740" s="8" t="b">
        <f>OR((SUM(MasterTable[[#This Row],[ILS]:[PAR]]) = MasterTable[[#This Row],[APPR]]))</f>
        <v>1</v>
      </c>
      <c r="AT740" s="8" t="b">
        <f>NOT(ISBLANK(MasterTable[[#This Row],[Total
Time]]))</f>
        <v>1</v>
      </c>
    </row>
    <row r="741" spans="4:46" ht="28.8" x14ac:dyDescent="0.3">
      <c r="D741" s="22">
        <v>43842</v>
      </c>
      <c r="E741" s="8" t="s">
        <v>75</v>
      </c>
      <c r="F741" s="8" t="s">
        <v>204</v>
      </c>
      <c r="G741" s="8" t="s">
        <v>214</v>
      </c>
      <c r="I741" s="10">
        <v>1.6</v>
      </c>
      <c r="J741" s="10">
        <v>1.6</v>
      </c>
      <c r="L741" s="10">
        <v>0</v>
      </c>
      <c r="M741" s="13">
        <v>0</v>
      </c>
      <c r="N741" s="13"/>
      <c r="O741" s="10">
        <v>1.6</v>
      </c>
      <c r="P741" s="10">
        <v>0</v>
      </c>
      <c r="Q741" s="14">
        <v>0</v>
      </c>
      <c r="R741" s="14">
        <v>0</v>
      </c>
      <c r="S741" s="10">
        <v>0</v>
      </c>
      <c r="T741" s="10">
        <v>0</v>
      </c>
      <c r="U741" s="14">
        <v>0</v>
      </c>
      <c r="V741" s="10"/>
      <c r="W741" s="11">
        <v>10</v>
      </c>
      <c r="X741" s="11">
        <v>10</v>
      </c>
      <c r="Y741" s="11">
        <v>0</v>
      </c>
      <c r="Z741" s="11">
        <v>0</v>
      </c>
      <c r="AA741" s="11">
        <f>MasterTable[[#This Row],[Landings
Night]]+MasterTable[[#This Row],[Landings
Day]]</f>
        <v>10</v>
      </c>
      <c r="AB741" s="10">
        <v>0</v>
      </c>
      <c r="AC741" s="10">
        <v>0</v>
      </c>
      <c r="AD741" s="11">
        <v>0</v>
      </c>
      <c r="AE741" s="21">
        <f>SUM(MasterTable[[#This Row],[ILS]:[PAR]])</f>
        <v>0</v>
      </c>
      <c r="AL741" s="11"/>
      <c r="AR741" s="140" t="str">
        <f>_xlfn.XLOOKUP(MasterTable[[#This Row],[Aircraft ID]],Aircraft!A:A,Aircraft!H:H)</f>
        <v>Airplane Single Engine Land</v>
      </c>
      <c r="AS741" s="8" t="b">
        <f>OR((SUM(MasterTable[[#This Row],[ILS]:[PAR]]) = MasterTable[[#This Row],[APPR]]))</f>
        <v>1</v>
      </c>
      <c r="AT741" s="8" t="b">
        <f>NOT(ISBLANK(MasterTable[[#This Row],[Total
Time]]))</f>
        <v>1</v>
      </c>
    </row>
    <row r="742" spans="4:46" ht="28.8" x14ac:dyDescent="0.3">
      <c r="D742" s="22">
        <v>43842</v>
      </c>
      <c r="E742" s="8" t="s">
        <v>75</v>
      </c>
      <c r="F742" s="8" t="s">
        <v>204</v>
      </c>
      <c r="G742" s="8" t="s">
        <v>258</v>
      </c>
      <c r="I742" s="10">
        <v>1.4</v>
      </c>
      <c r="J742" s="10">
        <v>1.4</v>
      </c>
      <c r="L742" s="10">
        <v>0</v>
      </c>
      <c r="M742" s="13">
        <v>0</v>
      </c>
      <c r="N742" s="13"/>
      <c r="O742" s="10">
        <v>1.4</v>
      </c>
      <c r="P742" s="10">
        <v>0</v>
      </c>
      <c r="Q742" s="14">
        <v>0</v>
      </c>
      <c r="R742" s="14">
        <v>0</v>
      </c>
      <c r="S742" s="10">
        <v>0</v>
      </c>
      <c r="T742" s="10">
        <v>0</v>
      </c>
      <c r="U742" s="14">
        <v>0</v>
      </c>
      <c r="V742" s="10"/>
      <c r="W742" s="11">
        <v>3</v>
      </c>
      <c r="X742" s="11">
        <v>3</v>
      </c>
      <c r="Y742" s="11">
        <v>0</v>
      </c>
      <c r="Z742" s="11">
        <v>0</v>
      </c>
      <c r="AA742" s="11">
        <f>MasterTable[[#This Row],[Landings
Night]]+MasterTable[[#This Row],[Landings
Day]]</f>
        <v>3</v>
      </c>
      <c r="AB742" s="10">
        <v>0</v>
      </c>
      <c r="AC742" s="10">
        <v>0</v>
      </c>
      <c r="AD742" s="11">
        <v>0</v>
      </c>
      <c r="AE742" s="21">
        <f>SUM(MasterTable[[#This Row],[ILS]:[PAR]])</f>
        <v>0</v>
      </c>
      <c r="AL742" s="11"/>
      <c r="AR742" s="140" t="str">
        <f>_xlfn.XLOOKUP(MasterTable[[#This Row],[Aircraft ID]],Aircraft!A:A,Aircraft!H:H)</f>
        <v>Airplane Single Engine Land</v>
      </c>
      <c r="AS742" s="8" t="b">
        <f>OR((SUM(MasterTable[[#This Row],[ILS]:[PAR]]) = MasterTable[[#This Row],[APPR]]))</f>
        <v>1</v>
      </c>
      <c r="AT742" s="8" t="b">
        <f>NOT(ISBLANK(MasterTable[[#This Row],[Total
Time]]))</f>
        <v>1</v>
      </c>
    </row>
    <row r="743" spans="4:46" ht="28.8" x14ac:dyDescent="0.3">
      <c r="D743" s="22">
        <v>43842</v>
      </c>
      <c r="E743" s="8" t="s">
        <v>60</v>
      </c>
      <c r="F743" s="8" t="s">
        <v>204</v>
      </c>
      <c r="G743" s="8" t="s">
        <v>204</v>
      </c>
      <c r="I743" s="10">
        <v>1.1000000000000001</v>
      </c>
      <c r="J743" s="10">
        <v>1.1000000000000001</v>
      </c>
      <c r="L743" s="10">
        <v>0</v>
      </c>
      <c r="M743" s="13">
        <v>0</v>
      </c>
      <c r="N743" s="13"/>
      <c r="O743" s="10">
        <v>1.1000000000000001</v>
      </c>
      <c r="P743" s="10">
        <v>0</v>
      </c>
      <c r="Q743" s="14">
        <v>0</v>
      </c>
      <c r="R743" s="14">
        <v>0</v>
      </c>
      <c r="S743" s="10">
        <v>0</v>
      </c>
      <c r="T743" s="10">
        <v>0</v>
      </c>
      <c r="U743" s="14">
        <v>0</v>
      </c>
      <c r="V743" s="10"/>
      <c r="W743" s="11">
        <v>1</v>
      </c>
      <c r="X743" s="11">
        <v>1</v>
      </c>
      <c r="Y743" s="11">
        <v>0</v>
      </c>
      <c r="Z743" s="11">
        <v>0</v>
      </c>
      <c r="AA743" s="11">
        <f>MasterTable[[#This Row],[Landings
Night]]+MasterTable[[#This Row],[Landings
Day]]</f>
        <v>1</v>
      </c>
      <c r="AB743" s="10">
        <v>0</v>
      </c>
      <c r="AC743" s="10">
        <v>0</v>
      </c>
      <c r="AD743" s="11">
        <v>0</v>
      </c>
      <c r="AE743" s="21">
        <f>SUM(MasterTable[[#This Row],[ILS]:[PAR]])</f>
        <v>0</v>
      </c>
      <c r="AL743" s="11"/>
      <c r="AR743" s="140" t="str">
        <f>_xlfn.XLOOKUP(MasterTable[[#This Row],[Aircraft ID]],Aircraft!A:A,Aircraft!H:H)</f>
        <v>Airplane Single Engine Land</v>
      </c>
      <c r="AS743" s="8" t="b">
        <f>OR((SUM(MasterTable[[#This Row],[ILS]:[PAR]]) = MasterTable[[#This Row],[APPR]]))</f>
        <v>1</v>
      </c>
      <c r="AT743" s="8" t="b">
        <f>NOT(ISBLANK(MasterTable[[#This Row],[Total
Time]]))</f>
        <v>1</v>
      </c>
    </row>
    <row r="744" spans="4:46" ht="28.8" x14ac:dyDescent="0.3">
      <c r="D744" s="22">
        <v>43841</v>
      </c>
      <c r="E744" s="8" t="s">
        <v>121</v>
      </c>
      <c r="F744" s="8" t="s">
        <v>204</v>
      </c>
      <c r="G744" s="8" t="s">
        <v>204</v>
      </c>
      <c r="I744" s="10">
        <v>1.1000000000000001</v>
      </c>
      <c r="J744" s="10">
        <v>1.1000000000000001</v>
      </c>
      <c r="L744" s="10">
        <v>0</v>
      </c>
      <c r="M744" s="13">
        <v>0</v>
      </c>
      <c r="N744" s="13"/>
      <c r="O744" s="10">
        <v>1.1000000000000001</v>
      </c>
      <c r="P744" s="10">
        <v>0</v>
      </c>
      <c r="Q744" s="14">
        <v>0</v>
      </c>
      <c r="R744" s="14">
        <v>0</v>
      </c>
      <c r="S744" s="10">
        <v>0</v>
      </c>
      <c r="T744" s="10">
        <v>0</v>
      </c>
      <c r="U744" s="14">
        <v>0</v>
      </c>
      <c r="V744" s="10"/>
      <c r="W744" s="11">
        <v>3</v>
      </c>
      <c r="X744" s="11">
        <v>3</v>
      </c>
      <c r="Y744" s="11">
        <v>0</v>
      </c>
      <c r="Z744" s="11">
        <v>0</v>
      </c>
      <c r="AA744" s="11">
        <f>MasterTable[[#This Row],[Landings
Night]]+MasterTable[[#This Row],[Landings
Day]]</f>
        <v>3</v>
      </c>
      <c r="AB744" s="10">
        <v>0</v>
      </c>
      <c r="AC744" s="10">
        <v>0</v>
      </c>
      <c r="AD744" s="11">
        <v>0</v>
      </c>
      <c r="AE744" s="21">
        <f>SUM(MasterTable[[#This Row],[ILS]:[PAR]])</f>
        <v>0</v>
      </c>
      <c r="AL744" s="11"/>
      <c r="AR744" s="140" t="str">
        <f>_xlfn.XLOOKUP(MasterTable[[#This Row],[Aircraft ID]],Aircraft!A:A,Aircraft!H:H)</f>
        <v>Airplane Single Engine Land</v>
      </c>
      <c r="AS744" s="8" t="b">
        <f>OR((SUM(MasterTable[[#This Row],[ILS]:[PAR]]) = MasterTable[[#This Row],[APPR]]))</f>
        <v>1</v>
      </c>
      <c r="AT744" s="8" t="b">
        <f>NOT(ISBLANK(MasterTable[[#This Row],[Total
Time]]))</f>
        <v>1</v>
      </c>
    </row>
    <row r="745" spans="4:46" ht="28.8" x14ac:dyDescent="0.3">
      <c r="D745" s="22">
        <v>43838</v>
      </c>
      <c r="E745" s="8" t="s">
        <v>60</v>
      </c>
      <c r="F745" s="8" t="s">
        <v>204</v>
      </c>
      <c r="G745" s="8" t="s">
        <v>204</v>
      </c>
      <c r="I745" s="10">
        <v>1.3</v>
      </c>
      <c r="J745" s="10">
        <v>1.3</v>
      </c>
      <c r="L745" s="10">
        <v>0</v>
      </c>
      <c r="M745" s="13">
        <v>0</v>
      </c>
      <c r="N745" s="13"/>
      <c r="O745" s="10">
        <v>1.3</v>
      </c>
      <c r="P745" s="10">
        <v>0</v>
      </c>
      <c r="Q745" s="14">
        <v>0</v>
      </c>
      <c r="R745" s="14">
        <v>0</v>
      </c>
      <c r="S745" s="10">
        <v>0</v>
      </c>
      <c r="T745" s="10">
        <v>0</v>
      </c>
      <c r="U745" s="14">
        <v>0</v>
      </c>
      <c r="V745" s="10"/>
      <c r="W745" s="11">
        <v>1</v>
      </c>
      <c r="X745" s="11">
        <v>1</v>
      </c>
      <c r="Y745" s="11">
        <v>0</v>
      </c>
      <c r="Z745" s="11">
        <v>0</v>
      </c>
      <c r="AA745" s="11">
        <f>MasterTable[[#This Row],[Landings
Night]]+MasterTable[[#This Row],[Landings
Day]]</f>
        <v>1</v>
      </c>
      <c r="AB745" s="10">
        <v>0</v>
      </c>
      <c r="AC745" s="10">
        <v>0</v>
      </c>
      <c r="AD745" s="11">
        <v>0</v>
      </c>
      <c r="AE745" s="21">
        <f>SUM(MasterTable[[#This Row],[ILS]:[PAR]])</f>
        <v>0</v>
      </c>
      <c r="AL745" s="11"/>
      <c r="AR745" s="140" t="str">
        <f>_xlfn.XLOOKUP(MasterTable[[#This Row],[Aircraft ID]],Aircraft!A:A,Aircraft!H:H)</f>
        <v>Airplane Single Engine Land</v>
      </c>
      <c r="AS745" s="8" t="b">
        <f>OR((SUM(MasterTable[[#This Row],[ILS]:[PAR]]) = MasterTable[[#This Row],[APPR]]))</f>
        <v>1</v>
      </c>
      <c r="AT745" s="8" t="b">
        <f>NOT(ISBLANK(MasterTable[[#This Row],[Total
Time]]))</f>
        <v>1</v>
      </c>
    </row>
    <row r="746" spans="4:46" ht="28.8" x14ac:dyDescent="0.3">
      <c r="D746" s="22">
        <v>43838</v>
      </c>
      <c r="E746" s="8" t="s">
        <v>60</v>
      </c>
      <c r="F746" s="8" t="s">
        <v>204</v>
      </c>
      <c r="G746" s="8" t="s">
        <v>204</v>
      </c>
      <c r="I746" s="10">
        <v>0.7</v>
      </c>
      <c r="J746" s="10">
        <v>0.7</v>
      </c>
      <c r="L746" s="10">
        <v>0</v>
      </c>
      <c r="M746" s="13">
        <v>0</v>
      </c>
      <c r="N746" s="13"/>
      <c r="O746" s="10">
        <v>0.7</v>
      </c>
      <c r="P746" s="10">
        <v>0</v>
      </c>
      <c r="Q746" s="14">
        <v>0</v>
      </c>
      <c r="R746" s="14">
        <v>0</v>
      </c>
      <c r="S746" s="10">
        <v>0</v>
      </c>
      <c r="T746" s="10">
        <v>0</v>
      </c>
      <c r="U746" s="14">
        <v>0</v>
      </c>
      <c r="V746" s="10"/>
      <c r="W746" s="11">
        <v>4</v>
      </c>
      <c r="X746" s="11">
        <v>4</v>
      </c>
      <c r="Y746" s="11">
        <v>0</v>
      </c>
      <c r="Z746" s="11">
        <v>0</v>
      </c>
      <c r="AA746" s="11">
        <f>MasterTable[[#This Row],[Landings
Night]]+MasterTable[[#This Row],[Landings
Day]]</f>
        <v>4</v>
      </c>
      <c r="AB746" s="10">
        <v>0</v>
      </c>
      <c r="AC746" s="10">
        <v>0</v>
      </c>
      <c r="AD746" s="11">
        <v>0</v>
      </c>
      <c r="AE746" s="21">
        <f>SUM(MasterTable[[#This Row],[ILS]:[PAR]])</f>
        <v>0</v>
      </c>
      <c r="AL746" s="11"/>
      <c r="AR746" s="140" t="str">
        <f>_xlfn.XLOOKUP(MasterTable[[#This Row],[Aircraft ID]],Aircraft!A:A,Aircraft!H:H)</f>
        <v>Airplane Single Engine Land</v>
      </c>
      <c r="AS746" s="8" t="b">
        <f>OR((SUM(MasterTable[[#This Row],[ILS]:[PAR]]) = MasterTable[[#This Row],[APPR]]))</f>
        <v>1</v>
      </c>
      <c r="AT746" s="8" t="b">
        <f>NOT(ISBLANK(MasterTable[[#This Row],[Total
Time]]))</f>
        <v>1</v>
      </c>
    </row>
    <row r="747" spans="4:46" ht="28.8" x14ac:dyDescent="0.3">
      <c r="D747" s="22">
        <v>43836</v>
      </c>
      <c r="E747" s="8" t="s">
        <v>75</v>
      </c>
      <c r="F747" s="8" t="s">
        <v>204</v>
      </c>
      <c r="G747" s="8" t="s">
        <v>204</v>
      </c>
      <c r="I747" s="10">
        <v>1.2</v>
      </c>
      <c r="J747" s="10">
        <v>1.2</v>
      </c>
      <c r="L747" s="10">
        <v>0</v>
      </c>
      <c r="M747" s="13">
        <v>0</v>
      </c>
      <c r="N747" s="13"/>
      <c r="O747" s="10">
        <v>1.2</v>
      </c>
      <c r="P747" s="10">
        <v>0</v>
      </c>
      <c r="Q747" s="14">
        <v>0</v>
      </c>
      <c r="R747" s="14">
        <v>0</v>
      </c>
      <c r="S747" s="10">
        <v>0</v>
      </c>
      <c r="T747" s="10">
        <v>0</v>
      </c>
      <c r="U747" s="14">
        <v>0</v>
      </c>
      <c r="V747" s="10"/>
      <c r="W747" s="11">
        <v>5</v>
      </c>
      <c r="X747" s="11">
        <v>5</v>
      </c>
      <c r="Y747" s="11">
        <v>0</v>
      </c>
      <c r="Z747" s="11">
        <v>0</v>
      </c>
      <c r="AA747" s="11">
        <f>MasterTable[[#This Row],[Landings
Night]]+MasterTable[[#This Row],[Landings
Day]]</f>
        <v>5</v>
      </c>
      <c r="AB747" s="10">
        <v>0</v>
      </c>
      <c r="AC747" s="10">
        <v>0</v>
      </c>
      <c r="AD747" s="11">
        <v>0</v>
      </c>
      <c r="AE747" s="21">
        <f>SUM(MasterTable[[#This Row],[ILS]:[PAR]])</f>
        <v>0</v>
      </c>
      <c r="AL747" s="11"/>
      <c r="AR747" s="140" t="str">
        <f>_xlfn.XLOOKUP(MasterTable[[#This Row],[Aircraft ID]],Aircraft!A:A,Aircraft!H:H)</f>
        <v>Airplane Single Engine Land</v>
      </c>
      <c r="AS747" s="8" t="b">
        <f>OR((SUM(MasterTable[[#This Row],[ILS]:[PAR]]) = MasterTable[[#This Row],[APPR]]))</f>
        <v>1</v>
      </c>
      <c r="AT747" s="8" t="b">
        <f>NOT(ISBLANK(MasterTable[[#This Row],[Total
Time]]))</f>
        <v>1</v>
      </c>
    </row>
    <row r="748" spans="4:46" ht="28.8" x14ac:dyDescent="0.3">
      <c r="D748" s="22">
        <v>43834</v>
      </c>
      <c r="E748" s="8" t="s">
        <v>75</v>
      </c>
      <c r="F748" s="8" t="s">
        <v>204</v>
      </c>
      <c r="G748" s="8" t="s">
        <v>204</v>
      </c>
      <c r="I748" s="10">
        <v>0.6</v>
      </c>
      <c r="J748" s="10">
        <v>0.6</v>
      </c>
      <c r="L748" s="10">
        <v>0</v>
      </c>
      <c r="M748" s="13">
        <v>0</v>
      </c>
      <c r="N748" s="13"/>
      <c r="O748" s="10">
        <v>0.6</v>
      </c>
      <c r="P748" s="10">
        <v>0</v>
      </c>
      <c r="Q748" s="14">
        <v>0</v>
      </c>
      <c r="R748" s="14">
        <v>0</v>
      </c>
      <c r="S748" s="10">
        <v>0</v>
      </c>
      <c r="T748" s="10">
        <v>0</v>
      </c>
      <c r="U748" s="14">
        <v>0</v>
      </c>
      <c r="V748" s="10"/>
      <c r="W748" s="11">
        <v>1</v>
      </c>
      <c r="X748" s="11">
        <v>1</v>
      </c>
      <c r="Y748" s="11">
        <v>0</v>
      </c>
      <c r="Z748" s="11">
        <v>0</v>
      </c>
      <c r="AA748" s="11">
        <f>MasterTable[[#This Row],[Landings
Night]]+MasterTable[[#This Row],[Landings
Day]]</f>
        <v>1</v>
      </c>
      <c r="AB748" s="10">
        <v>0</v>
      </c>
      <c r="AC748" s="10">
        <v>0</v>
      </c>
      <c r="AD748" s="11">
        <v>0</v>
      </c>
      <c r="AE748" s="21">
        <f>SUM(MasterTable[[#This Row],[ILS]:[PAR]])</f>
        <v>0</v>
      </c>
      <c r="AL748" s="11"/>
      <c r="AR748" s="140" t="str">
        <f>_xlfn.XLOOKUP(MasterTable[[#This Row],[Aircraft ID]],Aircraft!A:A,Aircraft!H:H)</f>
        <v>Airplane Single Engine Land</v>
      </c>
      <c r="AS748" s="8" t="b">
        <f>OR((SUM(MasterTable[[#This Row],[ILS]:[PAR]]) = MasterTable[[#This Row],[APPR]]))</f>
        <v>1</v>
      </c>
      <c r="AT748" s="8" t="b">
        <f>NOT(ISBLANK(MasterTable[[#This Row],[Total
Time]]))</f>
        <v>1</v>
      </c>
    </row>
    <row r="749" spans="4:46" ht="28.8" x14ac:dyDescent="0.3">
      <c r="D749" s="22">
        <v>43833</v>
      </c>
      <c r="E749" s="8" t="s">
        <v>60</v>
      </c>
      <c r="F749" s="8" t="s">
        <v>204</v>
      </c>
      <c r="G749" s="8" t="s">
        <v>204</v>
      </c>
      <c r="I749" s="10">
        <v>1.3</v>
      </c>
      <c r="J749" s="10">
        <v>1.3</v>
      </c>
      <c r="L749" s="10">
        <v>0</v>
      </c>
      <c r="M749" s="13">
        <v>0</v>
      </c>
      <c r="N749" s="13"/>
      <c r="O749" s="10">
        <v>1.3</v>
      </c>
      <c r="P749" s="10">
        <v>0</v>
      </c>
      <c r="Q749" s="14">
        <v>0</v>
      </c>
      <c r="R749" s="14">
        <v>0</v>
      </c>
      <c r="S749" s="10">
        <v>0</v>
      </c>
      <c r="T749" s="10">
        <v>0</v>
      </c>
      <c r="U749" s="14">
        <v>0</v>
      </c>
      <c r="V749" s="10"/>
      <c r="W749" s="11">
        <v>1</v>
      </c>
      <c r="X749" s="11">
        <v>1</v>
      </c>
      <c r="Y749" s="11">
        <v>0</v>
      </c>
      <c r="Z749" s="11">
        <v>0</v>
      </c>
      <c r="AA749" s="11">
        <f>MasterTable[[#This Row],[Landings
Night]]+MasterTable[[#This Row],[Landings
Day]]</f>
        <v>1</v>
      </c>
      <c r="AB749" s="10">
        <v>0</v>
      </c>
      <c r="AC749" s="10">
        <v>0</v>
      </c>
      <c r="AD749" s="11">
        <v>0</v>
      </c>
      <c r="AE749" s="21">
        <f>SUM(MasterTable[[#This Row],[ILS]:[PAR]])</f>
        <v>0</v>
      </c>
      <c r="AL749" s="11"/>
      <c r="AR749" s="140" t="str">
        <f>_xlfn.XLOOKUP(MasterTable[[#This Row],[Aircraft ID]],Aircraft!A:A,Aircraft!H:H)</f>
        <v>Airplane Single Engine Land</v>
      </c>
      <c r="AS749" s="8" t="b">
        <f>OR((SUM(MasterTable[[#This Row],[ILS]:[PAR]]) = MasterTable[[#This Row],[APPR]]))</f>
        <v>1</v>
      </c>
      <c r="AT749" s="8" t="b">
        <f>NOT(ISBLANK(MasterTable[[#This Row],[Total
Time]]))</f>
        <v>1</v>
      </c>
    </row>
    <row r="750" spans="4:46" ht="28.8" x14ac:dyDescent="0.3">
      <c r="D750" s="22">
        <v>43827</v>
      </c>
      <c r="E750" s="8" t="s">
        <v>75</v>
      </c>
      <c r="F750" s="8" t="s">
        <v>204</v>
      </c>
      <c r="G750" s="8" t="s">
        <v>204</v>
      </c>
      <c r="I750" s="10">
        <v>0.7</v>
      </c>
      <c r="J750" s="10">
        <v>0.7</v>
      </c>
      <c r="L750" s="10">
        <v>0</v>
      </c>
      <c r="M750" s="13">
        <v>0</v>
      </c>
      <c r="N750" s="13"/>
      <c r="O750" s="10">
        <v>0.7</v>
      </c>
      <c r="P750" s="10">
        <v>0</v>
      </c>
      <c r="Q750" s="14">
        <v>0</v>
      </c>
      <c r="R750" s="14">
        <v>0</v>
      </c>
      <c r="S750" s="10">
        <v>0</v>
      </c>
      <c r="T750" s="10">
        <v>0</v>
      </c>
      <c r="U750" s="14">
        <v>0</v>
      </c>
      <c r="V750" s="10"/>
      <c r="W750" s="11">
        <v>1</v>
      </c>
      <c r="X750" s="11">
        <v>1</v>
      </c>
      <c r="Y750" s="11">
        <v>0</v>
      </c>
      <c r="Z750" s="11">
        <v>0</v>
      </c>
      <c r="AA750" s="11">
        <f>MasterTable[[#This Row],[Landings
Night]]+MasterTable[[#This Row],[Landings
Day]]</f>
        <v>1</v>
      </c>
      <c r="AB750" s="10">
        <v>0</v>
      </c>
      <c r="AC750" s="10">
        <v>0</v>
      </c>
      <c r="AD750" s="11">
        <v>0</v>
      </c>
      <c r="AE750" s="21">
        <f>SUM(MasterTable[[#This Row],[ILS]:[PAR]])</f>
        <v>0</v>
      </c>
      <c r="AL750" s="11"/>
      <c r="AR750" s="140" t="str">
        <f>_xlfn.XLOOKUP(MasterTable[[#This Row],[Aircraft ID]],Aircraft!A:A,Aircraft!H:H)</f>
        <v>Airplane Single Engine Land</v>
      </c>
      <c r="AS750" s="8" t="b">
        <f>OR((SUM(MasterTable[[#This Row],[ILS]:[PAR]]) = MasterTable[[#This Row],[APPR]]))</f>
        <v>1</v>
      </c>
      <c r="AT750" s="8" t="b">
        <f>NOT(ISBLANK(MasterTable[[#This Row],[Total
Time]]))</f>
        <v>1</v>
      </c>
    </row>
    <row r="751" spans="4:46" ht="28.8" x14ac:dyDescent="0.3">
      <c r="D751" s="22">
        <v>43827</v>
      </c>
      <c r="E751" s="8" t="s">
        <v>75</v>
      </c>
      <c r="F751" s="8" t="s">
        <v>204</v>
      </c>
      <c r="G751" s="8" t="s">
        <v>204</v>
      </c>
      <c r="I751" s="10">
        <v>0.9</v>
      </c>
      <c r="J751" s="10">
        <v>0.9</v>
      </c>
      <c r="L751" s="10">
        <v>0</v>
      </c>
      <c r="M751" s="13">
        <v>0</v>
      </c>
      <c r="N751" s="13"/>
      <c r="O751" s="10">
        <v>0.9</v>
      </c>
      <c r="P751" s="10">
        <v>0</v>
      </c>
      <c r="Q751" s="14">
        <v>0</v>
      </c>
      <c r="R751" s="14">
        <v>0</v>
      </c>
      <c r="S751" s="10">
        <v>0</v>
      </c>
      <c r="T751" s="10">
        <v>0</v>
      </c>
      <c r="U751" s="14">
        <v>0</v>
      </c>
      <c r="V751" s="10"/>
      <c r="W751" s="11">
        <v>5</v>
      </c>
      <c r="X751" s="11">
        <v>5</v>
      </c>
      <c r="Y751" s="11">
        <v>0</v>
      </c>
      <c r="Z751" s="11">
        <v>0</v>
      </c>
      <c r="AA751" s="11">
        <f>MasterTable[[#This Row],[Landings
Night]]+MasterTable[[#This Row],[Landings
Day]]</f>
        <v>5</v>
      </c>
      <c r="AB751" s="10">
        <v>0</v>
      </c>
      <c r="AC751" s="10">
        <v>0</v>
      </c>
      <c r="AD751" s="11">
        <v>0</v>
      </c>
      <c r="AE751" s="21">
        <f>SUM(MasterTable[[#This Row],[ILS]:[PAR]])</f>
        <v>0</v>
      </c>
      <c r="AL751" s="11"/>
      <c r="AR751" s="140" t="str">
        <f>_xlfn.XLOOKUP(MasterTable[[#This Row],[Aircraft ID]],Aircraft!A:A,Aircraft!H:H)</f>
        <v>Airplane Single Engine Land</v>
      </c>
      <c r="AS751" s="8" t="b">
        <f>OR((SUM(MasterTable[[#This Row],[ILS]:[PAR]]) = MasterTable[[#This Row],[APPR]]))</f>
        <v>1</v>
      </c>
      <c r="AT751" s="8" t="b">
        <f>NOT(ISBLANK(MasterTable[[#This Row],[Total
Time]]))</f>
        <v>1</v>
      </c>
    </row>
    <row r="752" spans="4:46" ht="28.8" x14ac:dyDescent="0.3">
      <c r="D752" s="22">
        <v>43827</v>
      </c>
      <c r="E752" s="8" t="s">
        <v>75</v>
      </c>
      <c r="F752" s="8" t="s">
        <v>204</v>
      </c>
      <c r="G752" s="8" t="s">
        <v>204</v>
      </c>
      <c r="I752" s="10">
        <v>0.7</v>
      </c>
      <c r="J752" s="10">
        <v>0.7</v>
      </c>
      <c r="L752" s="10">
        <v>0</v>
      </c>
      <c r="M752" s="13">
        <v>0</v>
      </c>
      <c r="N752" s="13"/>
      <c r="O752" s="10">
        <v>0.7</v>
      </c>
      <c r="P752" s="10">
        <v>0</v>
      </c>
      <c r="Q752" s="14">
        <v>0</v>
      </c>
      <c r="R752" s="14">
        <v>0</v>
      </c>
      <c r="S752" s="10">
        <v>0</v>
      </c>
      <c r="T752" s="10">
        <v>0</v>
      </c>
      <c r="U752" s="14">
        <v>0</v>
      </c>
      <c r="V752" s="10"/>
      <c r="W752" s="11">
        <v>1</v>
      </c>
      <c r="X752" s="11">
        <v>1</v>
      </c>
      <c r="Y752" s="11">
        <v>0</v>
      </c>
      <c r="Z752" s="11">
        <v>0</v>
      </c>
      <c r="AA752" s="11">
        <f>MasterTable[[#This Row],[Landings
Night]]+MasterTable[[#This Row],[Landings
Day]]</f>
        <v>1</v>
      </c>
      <c r="AB752" s="10">
        <v>0</v>
      </c>
      <c r="AC752" s="10">
        <v>0</v>
      </c>
      <c r="AD752" s="11">
        <v>0</v>
      </c>
      <c r="AE752" s="21">
        <f>SUM(MasterTable[[#This Row],[ILS]:[PAR]])</f>
        <v>0</v>
      </c>
      <c r="AL752" s="11"/>
      <c r="AR752" s="140" t="str">
        <f>_xlfn.XLOOKUP(MasterTable[[#This Row],[Aircraft ID]],Aircraft!A:A,Aircraft!H:H)</f>
        <v>Airplane Single Engine Land</v>
      </c>
      <c r="AS752" s="8" t="b">
        <f>OR((SUM(MasterTable[[#This Row],[ILS]:[PAR]]) = MasterTable[[#This Row],[APPR]]))</f>
        <v>1</v>
      </c>
      <c r="AT752" s="8" t="b">
        <f>NOT(ISBLANK(MasterTable[[#This Row],[Total
Time]]))</f>
        <v>1</v>
      </c>
    </row>
    <row r="753" spans="4:46" ht="28.8" x14ac:dyDescent="0.3">
      <c r="D753" s="22">
        <v>43826</v>
      </c>
      <c r="E753" s="8" t="s">
        <v>174</v>
      </c>
      <c r="F753" s="8" t="s">
        <v>202</v>
      </c>
      <c r="G753" s="8" t="s">
        <v>265</v>
      </c>
      <c r="I753" s="10">
        <v>1.3</v>
      </c>
      <c r="J753" s="10">
        <v>1.3</v>
      </c>
      <c r="L753" s="10">
        <v>0</v>
      </c>
      <c r="M753" s="13">
        <v>0</v>
      </c>
      <c r="N753" s="13"/>
      <c r="O753" s="10">
        <v>0</v>
      </c>
      <c r="P753" s="10">
        <v>0</v>
      </c>
      <c r="Q753" s="14">
        <v>0</v>
      </c>
      <c r="R753" s="14">
        <v>0</v>
      </c>
      <c r="S753" s="10">
        <v>0</v>
      </c>
      <c r="T753" s="10">
        <v>0</v>
      </c>
      <c r="U753" s="14">
        <v>0</v>
      </c>
      <c r="V753" s="10"/>
      <c r="W753" s="11">
        <v>1</v>
      </c>
      <c r="X753" s="11">
        <v>1</v>
      </c>
      <c r="Y753" s="11">
        <v>0</v>
      </c>
      <c r="Z753" s="11">
        <v>0</v>
      </c>
      <c r="AA753" s="11">
        <f>MasterTable[[#This Row],[Landings
Night]]+MasterTable[[#This Row],[Landings
Day]]</f>
        <v>1</v>
      </c>
      <c r="AB753" s="10">
        <v>0</v>
      </c>
      <c r="AC753" s="10">
        <v>0</v>
      </c>
      <c r="AD753" s="11">
        <v>1</v>
      </c>
      <c r="AE753" s="21">
        <f>SUM(MasterTable[[#This Row],[ILS]:[PAR]])</f>
        <v>3</v>
      </c>
      <c r="AF753" s="11">
        <v>1</v>
      </c>
      <c r="AH753" s="11">
        <v>2</v>
      </c>
      <c r="AL753" s="11">
        <v>1</v>
      </c>
      <c r="AR753" s="140" t="str">
        <f>_xlfn.XLOOKUP(MasterTable[[#This Row],[Aircraft ID]],Aircraft!A:A,Aircraft!H:H)</f>
        <v>Airplane Single Engine Land</v>
      </c>
      <c r="AS753" s="8" t="b">
        <f>OR((SUM(MasterTable[[#This Row],[ILS]:[PAR]]) = MasterTable[[#This Row],[APPR]]))</f>
        <v>1</v>
      </c>
      <c r="AT753" s="8" t="b">
        <f>NOT(ISBLANK(MasterTable[[#This Row],[Total
Time]]))</f>
        <v>1</v>
      </c>
    </row>
    <row r="754" spans="4:46" ht="28.8" x14ac:dyDescent="0.3">
      <c r="D754" s="22">
        <v>43822</v>
      </c>
      <c r="E754" s="8" t="s">
        <v>174</v>
      </c>
      <c r="F754" s="8" t="s">
        <v>202</v>
      </c>
      <c r="G754" s="8" t="s">
        <v>275</v>
      </c>
      <c r="I754" s="10">
        <v>2.6</v>
      </c>
      <c r="J754" s="10">
        <v>2.6</v>
      </c>
      <c r="L754" s="10">
        <v>0</v>
      </c>
      <c r="M754" s="13">
        <v>0</v>
      </c>
      <c r="N754" s="13"/>
      <c r="O754" s="10">
        <v>2.6</v>
      </c>
      <c r="P754" s="10">
        <v>0</v>
      </c>
      <c r="Q754" s="14">
        <v>0</v>
      </c>
      <c r="R754" s="14">
        <v>0</v>
      </c>
      <c r="S754" s="10">
        <v>1.3</v>
      </c>
      <c r="T754" s="10">
        <v>2.6</v>
      </c>
      <c r="U754" s="14">
        <v>0</v>
      </c>
      <c r="V754" s="10"/>
      <c r="W754" s="11">
        <v>1</v>
      </c>
      <c r="X754" s="11">
        <v>1</v>
      </c>
      <c r="Y754" s="11">
        <v>1</v>
      </c>
      <c r="Z754" s="11">
        <v>1</v>
      </c>
      <c r="AA754" s="11">
        <f>MasterTable[[#This Row],[Landings
Night]]+MasterTable[[#This Row],[Landings
Day]]</f>
        <v>2</v>
      </c>
      <c r="AB754" s="10">
        <v>0</v>
      </c>
      <c r="AC754" s="10">
        <v>0</v>
      </c>
      <c r="AD754" s="11">
        <v>0</v>
      </c>
      <c r="AE754" s="21">
        <f>SUM(MasterTable[[#This Row],[ILS]:[PAR]])</f>
        <v>0</v>
      </c>
      <c r="AL754" s="11"/>
      <c r="AR754" s="140" t="str">
        <f>_xlfn.XLOOKUP(MasterTable[[#This Row],[Aircraft ID]],Aircraft!A:A,Aircraft!H:H)</f>
        <v>Airplane Single Engine Land</v>
      </c>
      <c r="AS754" s="8" t="b">
        <f>OR((SUM(MasterTable[[#This Row],[ILS]:[PAR]]) = MasterTable[[#This Row],[APPR]]))</f>
        <v>1</v>
      </c>
      <c r="AT754" s="8" t="b">
        <f>NOT(ISBLANK(MasterTable[[#This Row],[Total
Time]]))</f>
        <v>1</v>
      </c>
    </row>
    <row r="755" spans="4:46" ht="28.8" x14ac:dyDescent="0.3">
      <c r="D755" s="22">
        <v>43819</v>
      </c>
      <c r="E755" s="8" t="s">
        <v>36</v>
      </c>
      <c r="F755" s="8" t="s">
        <v>275</v>
      </c>
      <c r="G755" s="8" t="s">
        <v>202</v>
      </c>
      <c r="I755" s="10">
        <v>1.1000000000000001</v>
      </c>
      <c r="J755" s="10">
        <v>1.1000000000000001</v>
      </c>
      <c r="L755" s="10">
        <v>0</v>
      </c>
      <c r="M755" s="13">
        <v>0</v>
      </c>
      <c r="N755" s="13"/>
      <c r="O755" s="10">
        <v>0</v>
      </c>
      <c r="P755" s="10">
        <v>0</v>
      </c>
      <c r="Q755" s="14">
        <v>0</v>
      </c>
      <c r="R755" s="14">
        <v>0</v>
      </c>
      <c r="S755" s="10">
        <v>1.1000000000000001</v>
      </c>
      <c r="T755" s="10">
        <v>1.1000000000000001</v>
      </c>
      <c r="U755" s="14">
        <v>0</v>
      </c>
      <c r="V755" s="10"/>
      <c r="W755" s="11">
        <v>0</v>
      </c>
      <c r="X755" s="11">
        <v>0</v>
      </c>
      <c r="Y755" s="11">
        <v>1</v>
      </c>
      <c r="Z755" s="11">
        <v>1</v>
      </c>
      <c r="AA755" s="11">
        <f>MasterTable[[#This Row],[Landings
Night]]+MasterTable[[#This Row],[Landings
Day]]</f>
        <v>1</v>
      </c>
      <c r="AB755" s="10">
        <v>0</v>
      </c>
      <c r="AD755" s="11">
        <v>0</v>
      </c>
      <c r="AE755" s="21">
        <f>SUM(MasterTable[[#This Row],[ILS]:[PAR]])</f>
        <v>1</v>
      </c>
      <c r="AH755" s="11">
        <v>1</v>
      </c>
      <c r="AL755" s="11"/>
      <c r="AR755" s="140" t="str">
        <f>_xlfn.XLOOKUP(MasterTable[[#This Row],[Aircraft ID]],Aircraft!A:A,Aircraft!H:H)</f>
        <v>Airplane Single Engine Land</v>
      </c>
      <c r="AS755" s="8" t="b">
        <f>OR((SUM(MasterTable[[#This Row],[ILS]:[PAR]]) = MasterTable[[#This Row],[APPR]]))</f>
        <v>1</v>
      </c>
      <c r="AT755" s="8" t="b">
        <f>NOT(ISBLANK(MasterTable[[#This Row],[Total
Time]]))</f>
        <v>1</v>
      </c>
    </row>
    <row r="756" spans="4:46" ht="28.8" x14ac:dyDescent="0.3">
      <c r="D756" s="22">
        <v>43813</v>
      </c>
      <c r="E756" s="8" t="s">
        <v>60</v>
      </c>
      <c r="F756" s="8" t="s">
        <v>204</v>
      </c>
      <c r="G756" s="8" t="s">
        <v>204</v>
      </c>
      <c r="I756" s="10">
        <v>1.3</v>
      </c>
      <c r="J756" s="10">
        <v>1.3</v>
      </c>
      <c r="L756" s="10">
        <v>0</v>
      </c>
      <c r="M756" s="13">
        <v>0</v>
      </c>
      <c r="N756" s="13"/>
      <c r="O756" s="10">
        <v>1.3</v>
      </c>
      <c r="P756" s="10">
        <v>0</v>
      </c>
      <c r="Q756" s="14">
        <v>0</v>
      </c>
      <c r="R756" s="14">
        <v>0</v>
      </c>
      <c r="S756" s="10">
        <v>0</v>
      </c>
      <c r="T756" s="10">
        <v>0</v>
      </c>
      <c r="U756" s="14">
        <v>0</v>
      </c>
      <c r="V756" s="10"/>
      <c r="W756" s="11">
        <v>1</v>
      </c>
      <c r="X756" s="11">
        <v>1</v>
      </c>
      <c r="Y756" s="11">
        <v>0</v>
      </c>
      <c r="Z756" s="11">
        <v>0</v>
      </c>
      <c r="AA756" s="11">
        <f>MasterTable[[#This Row],[Landings
Night]]+MasterTable[[#This Row],[Landings
Day]]</f>
        <v>1</v>
      </c>
      <c r="AC756" s="10">
        <v>0</v>
      </c>
      <c r="AD756" s="11">
        <v>0</v>
      </c>
      <c r="AE756" s="21">
        <f>SUM(MasterTable[[#This Row],[ILS]:[PAR]])</f>
        <v>0</v>
      </c>
      <c r="AL756" s="11"/>
      <c r="AR756" s="140" t="str">
        <f>_xlfn.XLOOKUP(MasterTable[[#This Row],[Aircraft ID]],Aircraft!A:A,Aircraft!H:H)</f>
        <v>Airplane Single Engine Land</v>
      </c>
      <c r="AS756" s="8" t="b">
        <f>OR((SUM(MasterTable[[#This Row],[ILS]:[PAR]]) = MasterTable[[#This Row],[APPR]]))</f>
        <v>1</v>
      </c>
      <c r="AT756" s="8" t="b">
        <f>NOT(ISBLANK(MasterTable[[#This Row],[Total
Time]]))</f>
        <v>1</v>
      </c>
    </row>
    <row r="757" spans="4:46" ht="28.8" x14ac:dyDescent="0.3">
      <c r="D757" s="22">
        <v>43813</v>
      </c>
      <c r="E757" s="8" t="s">
        <v>75</v>
      </c>
      <c r="F757" s="8" t="s">
        <v>204</v>
      </c>
      <c r="G757" s="8" t="s">
        <v>204</v>
      </c>
      <c r="I757" s="10">
        <v>1.2</v>
      </c>
      <c r="J757" s="10">
        <v>1.2</v>
      </c>
      <c r="L757" s="10">
        <v>0</v>
      </c>
      <c r="M757" s="13">
        <v>0</v>
      </c>
      <c r="N757" s="13"/>
      <c r="O757" s="10">
        <v>1.2</v>
      </c>
      <c r="P757" s="10">
        <v>0</v>
      </c>
      <c r="Q757" s="14">
        <v>0</v>
      </c>
      <c r="R757" s="14">
        <v>0</v>
      </c>
      <c r="S757" s="10">
        <v>0</v>
      </c>
      <c r="T757" s="10">
        <v>0</v>
      </c>
      <c r="U757" s="14">
        <v>0</v>
      </c>
      <c r="V757" s="10"/>
      <c r="W757" s="11">
        <v>1</v>
      </c>
      <c r="X757" s="11">
        <v>1</v>
      </c>
      <c r="Y757" s="11">
        <v>0</v>
      </c>
      <c r="Z757" s="11">
        <v>0</v>
      </c>
      <c r="AA757" s="11">
        <f>MasterTable[[#This Row],[Landings
Night]]+MasterTable[[#This Row],[Landings
Day]]</f>
        <v>1</v>
      </c>
      <c r="AB757" s="10">
        <v>0</v>
      </c>
      <c r="AC757" s="10">
        <v>0</v>
      </c>
      <c r="AD757" s="11">
        <v>0</v>
      </c>
      <c r="AE757" s="21">
        <f>SUM(MasterTable[[#This Row],[ILS]:[PAR]])</f>
        <v>0</v>
      </c>
      <c r="AL757" s="11"/>
      <c r="AR757" s="140" t="str">
        <f>_xlfn.XLOOKUP(MasterTable[[#This Row],[Aircraft ID]],Aircraft!A:A,Aircraft!H:H)</f>
        <v>Airplane Single Engine Land</v>
      </c>
      <c r="AS757" s="8" t="b">
        <f>OR((SUM(MasterTable[[#This Row],[ILS]:[PAR]]) = MasterTable[[#This Row],[APPR]]))</f>
        <v>1</v>
      </c>
      <c r="AT757" s="8" t="b">
        <f>NOT(ISBLANK(MasterTable[[#This Row],[Total
Time]]))</f>
        <v>1</v>
      </c>
    </row>
    <row r="758" spans="4:46" ht="28.8" x14ac:dyDescent="0.3">
      <c r="D758" s="22">
        <v>43813</v>
      </c>
      <c r="E758" s="8" t="s">
        <v>75</v>
      </c>
      <c r="F758" s="8" t="s">
        <v>204</v>
      </c>
      <c r="G758" s="8" t="s">
        <v>204</v>
      </c>
      <c r="I758" s="10">
        <v>1</v>
      </c>
      <c r="J758" s="10">
        <v>1</v>
      </c>
      <c r="L758" s="10">
        <v>0</v>
      </c>
      <c r="M758" s="13">
        <v>0</v>
      </c>
      <c r="N758" s="13"/>
      <c r="O758" s="10">
        <v>1</v>
      </c>
      <c r="P758" s="10">
        <v>0</v>
      </c>
      <c r="Q758" s="14">
        <v>0</v>
      </c>
      <c r="R758" s="14">
        <v>0</v>
      </c>
      <c r="S758" s="10">
        <v>0</v>
      </c>
      <c r="T758" s="10">
        <v>0</v>
      </c>
      <c r="U758" s="14">
        <v>0</v>
      </c>
      <c r="V758" s="10"/>
      <c r="W758" s="11">
        <v>1</v>
      </c>
      <c r="X758" s="11">
        <v>1</v>
      </c>
      <c r="Y758" s="11">
        <v>0</v>
      </c>
      <c r="Z758" s="11">
        <v>0</v>
      </c>
      <c r="AA758" s="11">
        <f>MasterTable[[#This Row],[Landings
Night]]+MasterTable[[#This Row],[Landings
Day]]</f>
        <v>1</v>
      </c>
      <c r="AB758" s="10">
        <v>0</v>
      </c>
      <c r="AC758" s="10">
        <v>0</v>
      </c>
      <c r="AD758" s="11">
        <v>0</v>
      </c>
      <c r="AE758" s="21">
        <f>SUM(MasterTable[[#This Row],[ILS]:[PAR]])</f>
        <v>0</v>
      </c>
      <c r="AL758" s="11"/>
      <c r="AR758" s="140" t="str">
        <f>_xlfn.XLOOKUP(MasterTable[[#This Row],[Aircraft ID]],Aircraft!A:A,Aircraft!H:H)</f>
        <v>Airplane Single Engine Land</v>
      </c>
      <c r="AS758" s="8" t="b">
        <f>OR((SUM(MasterTable[[#This Row],[ILS]:[PAR]]) = MasterTable[[#This Row],[APPR]]))</f>
        <v>1</v>
      </c>
      <c r="AT758" s="8" t="b">
        <f>NOT(ISBLANK(MasterTable[[#This Row],[Total
Time]]))</f>
        <v>1</v>
      </c>
    </row>
    <row r="759" spans="4:46" ht="28.8" x14ac:dyDescent="0.3">
      <c r="D759" s="22">
        <v>43810</v>
      </c>
      <c r="E759" s="8" t="s">
        <v>75</v>
      </c>
      <c r="F759" s="8" t="s">
        <v>204</v>
      </c>
      <c r="G759" s="8" t="s">
        <v>204</v>
      </c>
      <c r="I759" s="10">
        <v>1.5</v>
      </c>
      <c r="J759" s="10">
        <v>1.5</v>
      </c>
      <c r="L759" s="10">
        <v>0</v>
      </c>
      <c r="M759" s="13">
        <v>0</v>
      </c>
      <c r="N759" s="13"/>
      <c r="O759" s="10">
        <v>1.5</v>
      </c>
      <c r="P759" s="10">
        <v>0</v>
      </c>
      <c r="Q759" s="14">
        <v>0</v>
      </c>
      <c r="R759" s="14">
        <v>0</v>
      </c>
      <c r="S759" s="10">
        <v>0</v>
      </c>
      <c r="T759" s="10">
        <v>0</v>
      </c>
      <c r="U759" s="14">
        <v>0</v>
      </c>
      <c r="V759" s="10"/>
      <c r="W759" s="11">
        <v>1</v>
      </c>
      <c r="X759" s="11">
        <v>1</v>
      </c>
      <c r="Y759" s="11">
        <v>0</v>
      </c>
      <c r="Z759" s="11">
        <v>0</v>
      </c>
      <c r="AA759" s="11">
        <f>MasterTable[[#This Row],[Landings
Night]]+MasterTable[[#This Row],[Landings
Day]]</f>
        <v>1</v>
      </c>
      <c r="AB759" s="10">
        <v>0</v>
      </c>
      <c r="AC759" s="10">
        <v>0</v>
      </c>
      <c r="AD759" s="11">
        <v>0</v>
      </c>
      <c r="AE759" s="21">
        <f>SUM(MasterTable[[#This Row],[ILS]:[PAR]])</f>
        <v>0</v>
      </c>
      <c r="AL759" s="11"/>
      <c r="AR759" s="140" t="str">
        <f>_xlfn.XLOOKUP(MasterTable[[#This Row],[Aircraft ID]],Aircraft!A:A,Aircraft!H:H)</f>
        <v>Airplane Single Engine Land</v>
      </c>
      <c r="AS759" s="8" t="b">
        <f>OR((SUM(MasterTable[[#This Row],[ILS]:[PAR]]) = MasterTable[[#This Row],[APPR]]))</f>
        <v>1</v>
      </c>
      <c r="AT759" s="8" t="b">
        <f>NOT(ISBLANK(MasterTable[[#This Row],[Total
Time]]))</f>
        <v>1</v>
      </c>
    </row>
    <row r="760" spans="4:46" ht="28.8" x14ac:dyDescent="0.3">
      <c r="D760" s="22">
        <v>43790</v>
      </c>
      <c r="E760" s="8" t="s">
        <v>75</v>
      </c>
      <c r="F760" s="8" t="s">
        <v>204</v>
      </c>
      <c r="G760" s="8" t="s">
        <v>204</v>
      </c>
      <c r="I760" s="10">
        <v>1.4</v>
      </c>
      <c r="J760" s="10">
        <v>1.4</v>
      </c>
      <c r="L760" s="10">
        <v>0</v>
      </c>
      <c r="M760" s="13">
        <v>0</v>
      </c>
      <c r="N760" s="13"/>
      <c r="O760" s="10">
        <v>1.4</v>
      </c>
      <c r="P760" s="10">
        <v>0</v>
      </c>
      <c r="Q760" s="14">
        <v>0</v>
      </c>
      <c r="R760" s="14">
        <v>0</v>
      </c>
      <c r="S760" s="10">
        <v>0</v>
      </c>
      <c r="T760" s="10">
        <v>0</v>
      </c>
      <c r="U760" s="14">
        <v>0</v>
      </c>
      <c r="V760" s="10"/>
      <c r="W760" s="11">
        <v>8</v>
      </c>
      <c r="X760" s="11">
        <v>8</v>
      </c>
      <c r="Y760" s="11">
        <v>0</v>
      </c>
      <c r="Z760" s="11">
        <v>0</v>
      </c>
      <c r="AA760" s="11">
        <f>MasterTable[[#This Row],[Landings
Night]]+MasterTable[[#This Row],[Landings
Day]]</f>
        <v>8</v>
      </c>
      <c r="AB760" s="10">
        <v>0</v>
      </c>
      <c r="AC760" s="10">
        <v>0</v>
      </c>
      <c r="AD760" s="11">
        <v>0</v>
      </c>
      <c r="AE760" s="21">
        <f>SUM(MasterTable[[#This Row],[ILS]:[PAR]])</f>
        <v>0</v>
      </c>
      <c r="AL760" s="11"/>
      <c r="AR760" s="140" t="str">
        <f>_xlfn.XLOOKUP(MasterTable[[#This Row],[Aircraft ID]],Aircraft!A:A,Aircraft!H:H)</f>
        <v>Airplane Single Engine Land</v>
      </c>
      <c r="AS760" s="8" t="b">
        <f>OR((SUM(MasterTable[[#This Row],[ILS]:[PAR]]) = MasterTable[[#This Row],[APPR]]))</f>
        <v>1</v>
      </c>
      <c r="AT760" s="8" t="b">
        <f>NOT(ISBLANK(MasterTable[[#This Row],[Total
Time]]))</f>
        <v>1</v>
      </c>
    </row>
    <row r="761" spans="4:46" ht="28.8" x14ac:dyDescent="0.3">
      <c r="D761" s="22">
        <v>43789</v>
      </c>
      <c r="E761" s="8" t="s">
        <v>60</v>
      </c>
      <c r="F761" s="8" t="s">
        <v>204</v>
      </c>
      <c r="G761" s="8" t="s">
        <v>204</v>
      </c>
      <c r="I761" s="10">
        <v>0.7</v>
      </c>
      <c r="J761" s="10">
        <v>0.7</v>
      </c>
      <c r="L761" s="10">
        <v>0</v>
      </c>
      <c r="M761" s="13">
        <v>0</v>
      </c>
      <c r="N761" s="13"/>
      <c r="O761" s="10">
        <v>0.7</v>
      </c>
      <c r="P761" s="10">
        <v>0</v>
      </c>
      <c r="Q761" s="14">
        <v>0</v>
      </c>
      <c r="R761" s="14">
        <v>0</v>
      </c>
      <c r="S761" s="10">
        <v>0</v>
      </c>
      <c r="T761" s="10">
        <v>0</v>
      </c>
      <c r="U761" s="14">
        <v>0</v>
      </c>
      <c r="V761" s="10"/>
      <c r="W761" s="11">
        <v>1</v>
      </c>
      <c r="X761" s="11">
        <v>1</v>
      </c>
      <c r="Y761" s="11">
        <v>0</v>
      </c>
      <c r="Z761" s="11">
        <v>0</v>
      </c>
      <c r="AA761" s="11">
        <f>MasterTable[[#This Row],[Landings
Night]]+MasterTable[[#This Row],[Landings
Day]]</f>
        <v>1</v>
      </c>
      <c r="AB761" s="10">
        <v>0</v>
      </c>
      <c r="AC761" s="10">
        <v>0</v>
      </c>
      <c r="AD761" s="11">
        <v>0</v>
      </c>
      <c r="AE761" s="21">
        <f>SUM(MasterTable[[#This Row],[ILS]:[PAR]])</f>
        <v>0</v>
      </c>
      <c r="AL761" s="11"/>
      <c r="AR761" s="140" t="str">
        <f>_xlfn.XLOOKUP(MasterTable[[#This Row],[Aircraft ID]],Aircraft!A:A,Aircraft!H:H)</f>
        <v>Airplane Single Engine Land</v>
      </c>
      <c r="AS761" s="8" t="b">
        <f>OR((SUM(MasterTable[[#This Row],[ILS]:[PAR]]) = MasterTable[[#This Row],[APPR]]))</f>
        <v>1</v>
      </c>
      <c r="AT761" s="8" t="b">
        <f>NOT(ISBLANK(MasterTable[[#This Row],[Total
Time]]))</f>
        <v>1</v>
      </c>
    </row>
    <row r="762" spans="4:46" ht="28.8" x14ac:dyDescent="0.3">
      <c r="D762" s="22">
        <v>43788</v>
      </c>
      <c r="E762" s="8" t="s">
        <v>75</v>
      </c>
      <c r="F762" s="8" t="s">
        <v>204</v>
      </c>
      <c r="G762" s="8" t="s">
        <v>204</v>
      </c>
      <c r="I762" s="10">
        <v>1.2</v>
      </c>
      <c r="J762" s="10">
        <v>1.2</v>
      </c>
      <c r="L762" s="10">
        <v>0</v>
      </c>
      <c r="M762" s="13">
        <v>0</v>
      </c>
      <c r="N762" s="13"/>
      <c r="O762" s="10">
        <v>1.2</v>
      </c>
      <c r="P762" s="10">
        <v>0</v>
      </c>
      <c r="Q762" s="14">
        <v>0</v>
      </c>
      <c r="R762" s="14">
        <v>0</v>
      </c>
      <c r="S762" s="10">
        <v>0</v>
      </c>
      <c r="T762" s="10">
        <v>0</v>
      </c>
      <c r="U762" s="14">
        <v>0</v>
      </c>
      <c r="V762" s="10"/>
      <c r="W762" s="11">
        <v>1</v>
      </c>
      <c r="X762" s="11">
        <v>1</v>
      </c>
      <c r="Y762" s="11">
        <v>0</v>
      </c>
      <c r="Z762" s="11">
        <v>0</v>
      </c>
      <c r="AA762" s="11">
        <f>MasterTable[[#This Row],[Landings
Night]]+MasterTable[[#This Row],[Landings
Day]]</f>
        <v>1</v>
      </c>
      <c r="AB762" s="10">
        <v>0</v>
      </c>
      <c r="AC762" s="10">
        <v>0</v>
      </c>
      <c r="AD762" s="11">
        <v>0</v>
      </c>
      <c r="AE762" s="21">
        <f>SUM(MasterTable[[#This Row],[ILS]:[PAR]])</f>
        <v>0</v>
      </c>
      <c r="AL762" s="11"/>
      <c r="AR762" s="140" t="str">
        <f>_xlfn.XLOOKUP(MasterTable[[#This Row],[Aircraft ID]],Aircraft!A:A,Aircraft!H:H)</f>
        <v>Airplane Single Engine Land</v>
      </c>
      <c r="AS762" s="8" t="b">
        <f>OR((SUM(MasterTable[[#This Row],[ILS]:[PAR]]) = MasterTable[[#This Row],[APPR]]))</f>
        <v>1</v>
      </c>
      <c r="AT762" s="8" t="b">
        <f>NOT(ISBLANK(MasterTable[[#This Row],[Total
Time]]))</f>
        <v>1</v>
      </c>
    </row>
    <row r="763" spans="4:46" ht="28.8" x14ac:dyDescent="0.3">
      <c r="D763" s="22">
        <v>43788</v>
      </c>
      <c r="E763" s="8" t="s">
        <v>75</v>
      </c>
      <c r="F763" s="8" t="s">
        <v>204</v>
      </c>
      <c r="G763" s="8" t="s">
        <v>204</v>
      </c>
      <c r="I763" s="10">
        <v>0.7</v>
      </c>
      <c r="J763" s="10">
        <v>0.7</v>
      </c>
      <c r="L763" s="10">
        <v>0</v>
      </c>
      <c r="M763" s="13">
        <v>0</v>
      </c>
      <c r="N763" s="13"/>
      <c r="O763" s="10">
        <v>0.7</v>
      </c>
      <c r="P763" s="10">
        <v>0</v>
      </c>
      <c r="Q763" s="14">
        <v>0</v>
      </c>
      <c r="R763" s="14">
        <v>0</v>
      </c>
      <c r="S763" s="10">
        <v>0</v>
      </c>
      <c r="T763" s="10">
        <v>0</v>
      </c>
      <c r="U763" s="14">
        <v>0</v>
      </c>
      <c r="V763" s="10"/>
      <c r="W763" s="11">
        <v>1</v>
      </c>
      <c r="X763" s="11">
        <v>1</v>
      </c>
      <c r="Y763" s="11">
        <v>0</v>
      </c>
      <c r="Z763" s="11">
        <v>0</v>
      </c>
      <c r="AA763" s="11">
        <f>MasterTable[[#This Row],[Landings
Night]]+MasterTable[[#This Row],[Landings
Day]]</f>
        <v>1</v>
      </c>
      <c r="AB763" s="10">
        <v>0</v>
      </c>
      <c r="AC763" s="10">
        <v>0</v>
      </c>
      <c r="AD763" s="11">
        <v>0</v>
      </c>
      <c r="AE763" s="21">
        <f>SUM(MasterTable[[#This Row],[ILS]:[PAR]])</f>
        <v>0</v>
      </c>
      <c r="AL763" s="11"/>
      <c r="AR763" s="140" t="str">
        <f>_xlfn.XLOOKUP(MasterTable[[#This Row],[Aircraft ID]],Aircraft!A:A,Aircraft!H:H)</f>
        <v>Airplane Single Engine Land</v>
      </c>
      <c r="AS763" s="8" t="b">
        <f>OR((SUM(MasterTable[[#This Row],[ILS]:[PAR]]) = MasterTable[[#This Row],[APPR]]))</f>
        <v>1</v>
      </c>
      <c r="AT763" s="8" t="b">
        <f>NOT(ISBLANK(MasterTable[[#This Row],[Total
Time]]))</f>
        <v>1</v>
      </c>
    </row>
    <row r="764" spans="4:46" ht="28.8" x14ac:dyDescent="0.3">
      <c r="D764" s="22">
        <v>43787</v>
      </c>
      <c r="E764" s="8" t="s">
        <v>75</v>
      </c>
      <c r="F764" s="8" t="s">
        <v>204</v>
      </c>
      <c r="G764" s="8" t="s">
        <v>204</v>
      </c>
      <c r="I764" s="10">
        <v>1</v>
      </c>
      <c r="J764" s="10">
        <v>1</v>
      </c>
      <c r="L764" s="10">
        <v>0</v>
      </c>
      <c r="M764" s="13">
        <v>0</v>
      </c>
      <c r="N764" s="13"/>
      <c r="O764" s="10">
        <v>1</v>
      </c>
      <c r="P764" s="10">
        <v>0</v>
      </c>
      <c r="Q764" s="14">
        <v>0</v>
      </c>
      <c r="R764" s="14">
        <v>0</v>
      </c>
      <c r="S764" s="10">
        <v>0</v>
      </c>
      <c r="T764" s="10">
        <v>0</v>
      </c>
      <c r="U764" s="14">
        <v>0</v>
      </c>
      <c r="V764" s="10"/>
      <c r="W764" s="11">
        <v>8</v>
      </c>
      <c r="X764" s="11">
        <v>8</v>
      </c>
      <c r="Y764" s="11">
        <v>0</v>
      </c>
      <c r="Z764" s="11">
        <v>0</v>
      </c>
      <c r="AA764" s="11">
        <f>MasterTable[[#This Row],[Landings
Night]]+MasterTable[[#This Row],[Landings
Day]]</f>
        <v>8</v>
      </c>
      <c r="AB764" s="10">
        <v>0</v>
      </c>
      <c r="AC764" s="10">
        <v>0</v>
      </c>
      <c r="AD764" s="11">
        <v>0</v>
      </c>
      <c r="AE764" s="21">
        <f>SUM(MasterTable[[#This Row],[ILS]:[PAR]])</f>
        <v>0</v>
      </c>
      <c r="AL764" s="11"/>
      <c r="AR764" s="140" t="str">
        <f>_xlfn.XLOOKUP(MasterTable[[#This Row],[Aircraft ID]],Aircraft!A:A,Aircraft!H:H)</f>
        <v>Airplane Single Engine Land</v>
      </c>
      <c r="AS764" s="8" t="b">
        <f>OR((SUM(MasterTable[[#This Row],[ILS]:[PAR]]) = MasterTable[[#This Row],[APPR]]))</f>
        <v>1</v>
      </c>
      <c r="AT764" s="8" t="b">
        <f>NOT(ISBLANK(MasterTable[[#This Row],[Total
Time]]))</f>
        <v>1</v>
      </c>
    </row>
    <row r="765" spans="4:46" ht="28.8" x14ac:dyDescent="0.3">
      <c r="D765" s="22">
        <v>43786</v>
      </c>
      <c r="E765" s="8" t="s">
        <v>75</v>
      </c>
      <c r="F765" s="8" t="s">
        <v>204</v>
      </c>
      <c r="G765" s="8" t="s">
        <v>204</v>
      </c>
      <c r="I765" s="10">
        <v>1.2</v>
      </c>
      <c r="J765" s="10">
        <v>1.2</v>
      </c>
      <c r="L765" s="10">
        <v>0</v>
      </c>
      <c r="M765" s="13">
        <v>0</v>
      </c>
      <c r="N765" s="13"/>
      <c r="O765" s="10">
        <v>1.2</v>
      </c>
      <c r="P765" s="10">
        <v>0</v>
      </c>
      <c r="Q765" s="14">
        <v>0</v>
      </c>
      <c r="R765" s="14">
        <v>0</v>
      </c>
      <c r="S765" s="10">
        <v>0</v>
      </c>
      <c r="T765" s="10">
        <v>0</v>
      </c>
      <c r="U765" s="14">
        <v>0</v>
      </c>
      <c r="V765" s="10"/>
      <c r="W765" s="11">
        <v>1</v>
      </c>
      <c r="X765" s="11">
        <v>1</v>
      </c>
      <c r="Y765" s="11">
        <v>0</v>
      </c>
      <c r="Z765" s="11">
        <v>0</v>
      </c>
      <c r="AA765" s="11">
        <f>MasterTable[[#This Row],[Landings
Night]]+MasterTable[[#This Row],[Landings
Day]]</f>
        <v>1</v>
      </c>
      <c r="AB765" s="10">
        <v>0</v>
      </c>
      <c r="AC765" s="10">
        <v>0</v>
      </c>
      <c r="AD765" s="11">
        <v>0</v>
      </c>
      <c r="AE765" s="21">
        <f>SUM(MasterTable[[#This Row],[ILS]:[PAR]])</f>
        <v>0</v>
      </c>
      <c r="AL765" s="11"/>
      <c r="AR765" s="140" t="str">
        <f>_xlfn.XLOOKUP(MasterTable[[#This Row],[Aircraft ID]],Aircraft!A:A,Aircraft!H:H)</f>
        <v>Airplane Single Engine Land</v>
      </c>
      <c r="AS765" s="8" t="b">
        <f>OR((SUM(MasterTable[[#This Row],[ILS]:[PAR]]) = MasterTable[[#This Row],[APPR]]))</f>
        <v>1</v>
      </c>
      <c r="AT765" s="8" t="b">
        <f>NOT(ISBLANK(MasterTable[[#This Row],[Total
Time]]))</f>
        <v>1</v>
      </c>
    </row>
    <row r="766" spans="4:46" ht="28.8" x14ac:dyDescent="0.3">
      <c r="D766" s="22">
        <v>43786</v>
      </c>
      <c r="E766" s="8" t="s">
        <v>60</v>
      </c>
      <c r="F766" s="8" t="s">
        <v>204</v>
      </c>
      <c r="G766" s="8" t="s">
        <v>204</v>
      </c>
      <c r="I766" s="10">
        <v>1</v>
      </c>
      <c r="J766" s="10">
        <v>1</v>
      </c>
      <c r="L766" s="10">
        <v>0</v>
      </c>
      <c r="M766" s="13">
        <v>0</v>
      </c>
      <c r="N766" s="13"/>
      <c r="O766" s="10">
        <v>1</v>
      </c>
      <c r="P766" s="10">
        <v>0</v>
      </c>
      <c r="Q766" s="14">
        <v>0</v>
      </c>
      <c r="R766" s="14">
        <v>0</v>
      </c>
      <c r="S766" s="10">
        <v>0</v>
      </c>
      <c r="T766" s="10">
        <v>0</v>
      </c>
      <c r="U766" s="14">
        <v>0</v>
      </c>
      <c r="V766" s="10"/>
      <c r="W766" s="11">
        <v>1</v>
      </c>
      <c r="X766" s="11">
        <v>1</v>
      </c>
      <c r="Y766" s="11">
        <v>0</v>
      </c>
      <c r="Z766" s="11">
        <v>0</v>
      </c>
      <c r="AA766" s="11">
        <f>MasterTable[[#This Row],[Landings
Night]]+MasterTable[[#This Row],[Landings
Day]]</f>
        <v>1</v>
      </c>
      <c r="AB766" s="10">
        <v>0</v>
      </c>
      <c r="AC766" s="10">
        <v>0</v>
      </c>
      <c r="AD766" s="11">
        <v>0</v>
      </c>
      <c r="AE766" s="21">
        <f>SUM(MasterTable[[#This Row],[ILS]:[PAR]])</f>
        <v>0</v>
      </c>
      <c r="AL766" s="11"/>
      <c r="AR766" s="140" t="str">
        <f>_xlfn.XLOOKUP(MasterTable[[#This Row],[Aircraft ID]],Aircraft!A:A,Aircraft!H:H)</f>
        <v>Airplane Single Engine Land</v>
      </c>
      <c r="AS766" s="8" t="b">
        <f>OR((SUM(MasterTable[[#This Row],[ILS]:[PAR]]) = MasterTable[[#This Row],[APPR]]))</f>
        <v>1</v>
      </c>
      <c r="AT766" s="8" t="b">
        <f>NOT(ISBLANK(MasterTable[[#This Row],[Total
Time]]))</f>
        <v>1</v>
      </c>
    </row>
    <row r="767" spans="4:46" ht="28.8" x14ac:dyDescent="0.3">
      <c r="D767" s="22">
        <v>43786</v>
      </c>
      <c r="E767" s="8" t="s">
        <v>60</v>
      </c>
      <c r="F767" s="8" t="s">
        <v>204</v>
      </c>
      <c r="G767" s="8" t="s">
        <v>204</v>
      </c>
      <c r="I767" s="10">
        <v>1</v>
      </c>
      <c r="J767" s="10">
        <v>1</v>
      </c>
      <c r="L767" s="10">
        <v>0</v>
      </c>
      <c r="M767" s="13">
        <v>0</v>
      </c>
      <c r="N767" s="13"/>
      <c r="O767" s="10">
        <v>1</v>
      </c>
      <c r="P767" s="10">
        <v>0</v>
      </c>
      <c r="Q767" s="14">
        <v>0</v>
      </c>
      <c r="R767" s="14">
        <v>0</v>
      </c>
      <c r="S767" s="10">
        <v>0</v>
      </c>
      <c r="T767" s="10">
        <v>0</v>
      </c>
      <c r="U767" s="14">
        <v>0</v>
      </c>
      <c r="V767" s="10"/>
      <c r="W767" s="11">
        <v>1</v>
      </c>
      <c r="X767" s="11">
        <v>1</v>
      </c>
      <c r="Y767" s="11">
        <v>0</v>
      </c>
      <c r="Z767" s="11">
        <v>0</v>
      </c>
      <c r="AA767" s="11">
        <f>MasterTable[[#This Row],[Landings
Night]]+MasterTable[[#This Row],[Landings
Day]]</f>
        <v>1</v>
      </c>
      <c r="AB767" s="10">
        <v>0</v>
      </c>
      <c r="AC767" s="10">
        <v>0</v>
      </c>
      <c r="AD767" s="11">
        <v>0</v>
      </c>
      <c r="AE767" s="21">
        <f>SUM(MasterTable[[#This Row],[ILS]:[PAR]])</f>
        <v>0</v>
      </c>
      <c r="AL767" s="11"/>
      <c r="AR767" s="140" t="str">
        <f>_xlfn.XLOOKUP(MasterTable[[#This Row],[Aircraft ID]],Aircraft!A:A,Aircraft!H:H)</f>
        <v>Airplane Single Engine Land</v>
      </c>
      <c r="AS767" s="8" t="b">
        <f>OR((SUM(MasterTable[[#This Row],[ILS]:[PAR]]) = MasterTable[[#This Row],[APPR]]))</f>
        <v>1</v>
      </c>
      <c r="AT767" s="8" t="b">
        <f>NOT(ISBLANK(MasterTable[[#This Row],[Total
Time]]))</f>
        <v>1</v>
      </c>
    </row>
    <row r="768" spans="4:46" ht="28.8" x14ac:dyDescent="0.3">
      <c r="D768" s="22">
        <v>43783</v>
      </c>
      <c r="E768" s="8" t="s">
        <v>75</v>
      </c>
      <c r="F768" s="8" t="s">
        <v>204</v>
      </c>
      <c r="G768" s="8" t="s">
        <v>204</v>
      </c>
      <c r="I768" s="10">
        <v>0.9</v>
      </c>
      <c r="J768" s="10">
        <v>0.9</v>
      </c>
      <c r="L768" s="10">
        <v>0</v>
      </c>
      <c r="M768" s="13">
        <v>0</v>
      </c>
      <c r="N768" s="13"/>
      <c r="O768" s="10">
        <v>0.9</v>
      </c>
      <c r="P768" s="10">
        <v>0</v>
      </c>
      <c r="Q768" s="14">
        <v>0</v>
      </c>
      <c r="R768" s="14">
        <v>0</v>
      </c>
      <c r="S768" s="10">
        <v>0</v>
      </c>
      <c r="T768" s="10">
        <v>0</v>
      </c>
      <c r="U768" s="14">
        <v>0</v>
      </c>
      <c r="V768" s="10"/>
      <c r="W768" s="11">
        <v>1</v>
      </c>
      <c r="X768" s="11">
        <v>1</v>
      </c>
      <c r="Y768" s="11">
        <v>0</v>
      </c>
      <c r="Z768" s="11">
        <v>0</v>
      </c>
      <c r="AA768" s="11">
        <f>MasterTable[[#This Row],[Landings
Night]]+MasterTable[[#This Row],[Landings
Day]]</f>
        <v>1</v>
      </c>
      <c r="AB768" s="10">
        <v>0</v>
      </c>
      <c r="AC768" s="10">
        <v>0</v>
      </c>
      <c r="AD768" s="11">
        <v>0</v>
      </c>
      <c r="AE768" s="21">
        <f>SUM(MasterTable[[#This Row],[ILS]:[PAR]])</f>
        <v>0</v>
      </c>
      <c r="AL768" s="11"/>
      <c r="AR768" s="140" t="str">
        <f>_xlfn.XLOOKUP(MasterTable[[#This Row],[Aircraft ID]],Aircraft!A:A,Aircraft!H:H)</f>
        <v>Airplane Single Engine Land</v>
      </c>
      <c r="AS768" s="8" t="b">
        <f>OR((SUM(MasterTable[[#This Row],[ILS]:[PAR]]) = MasterTable[[#This Row],[APPR]]))</f>
        <v>1</v>
      </c>
      <c r="AT768" s="8" t="b">
        <f>NOT(ISBLANK(MasterTable[[#This Row],[Total
Time]]))</f>
        <v>1</v>
      </c>
    </row>
    <row r="769" spans="4:46" ht="28.8" x14ac:dyDescent="0.3">
      <c r="D769" s="22">
        <v>43782</v>
      </c>
      <c r="E769" s="8" t="s">
        <v>75</v>
      </c>
      <c r="F769" s="8" t="s">
        <v>204</v>
      </c>
      <c r="G769" s="8" t="s">
        <v>204</v>
      </c>
      <c r="I769" s="10">
        <v>0.8</v>
      </c>
      <c r="J769" s="10">
        <v>0.8</v>
      </c>
      <c r="L769" s="10">
        <v>0</v>
      </c>
      <c r="M769" s="13">
        <v>0</v>
      </c>
      <c r="N769" s="13"/>
      <c r="O769" s="10">
        <v>0.8</v>
      </c>
      <c r="P769" s="10">
        <v>0</v>
      </c>
      <c r="Q769" s="14">
        <v>0</v>
      </c>
      <c r="R769" s="14">
        <v>0</v>
      </c>
      <c r="S769" s="10">
        <v>0</v>
      </c>
      <c r="T769" s="10">
        <v>0</v>
      </c>
      <c r="U769" s="14">
        <v>0</v>
      </c>
      <c r="V769" s="10"/>
      <c r="W769" s="11">
        <v>1</v>
      </c>
      <c r="X769" s="11">
        <v>1</v>
      </c>
      <c r="Y769" s="11">
        <v>0</v>
      </c>
      <c r="Z769" s="11">
        <v>0</v>
      </c>
      <c r="AA769" s="11">
        <f>MasterTable[[#This Row],[Landings
Night]]+MasterTable[[#This Row],[Landings
Day]]</f>
        <v>1</v>
      </c>
      <c r="AB769" s="10">
        <v>0</v>
      </c>
      <c r="AC769" s="10">
        <v>0</v>
      </c>
      <c r="AD769" s="11">
        <v>0</v>
      </c>
      <c r="AE769" s="21">
        <f>SUM(MasterTable[[#This Row],[ILS]:[PAR]])</f>
        <v>0</v>
      </c>
      <c r="AL769" s="11"/>
      <c r="AR769" s="140" t="str">
        <f>_xlfn.XLOOKUP(MasterTable[[#This Row],[Aircraft ID]],Aircraft!A:A,Aircraft!H:H)</f>
        <v>Airplane Single Engine Land</v>
      </c>
      <c r="AS769" s="8" t="b">
        <f>OR((SUM(MasterTable[[#This Row],[ILS]:[PAR]]) = MasterTable[[#This Row],[APPR]]))</f>
        <v>1</v>
      </c>
      <c r="AT769" s="8" t="b">
        <f>NOT(ISBLANK(MasterTable[[#This Row],[Total
Time]]))</f>
        <v>1</v>
      </c>
    </row>
    <row r="770" spans="4:46" ht="28.8" x14ac:dyDescent="0.3">
      <c r="D770" s="22">
        <v>43782</v>
      </c>
      <c r="E770" s="8" t="s">
        <v>75</v>
      </c>
      <c r="F770" s="8" t="s">
        <v>204</v>
      </c>
      <c r="G770" s="8" t="s">
        <v>204</v>
      </c>
      <c r="I770" s="10">
        <v>0.6</v>
      </c>
      <c r="J770" s="10">
        <v>0.6</v>
      </c>
      <c r="L770" s="10">
        <v>0</v>
      </c>
      <c r="M770" s="13">
        <v>0</v>
      </c>
      <c r="N770" s="13"/>
      <c r="O770" s="10">
        <v>0.6</v>
      </c>
      <c r="Q770" s="14">
        <v>0</v>
      </c>
      <c r="R770" s="14">
        <v>0</v>
      </c>
      <c r="S770" s="10">
        <v>0</v>
      </c>
      <c r="T770" s="10">
        <v>0</v>
      </c>
      <c r="U770" s="14">
        <v>0</v>
      </c>
      <c r="V770" s="10"/>
      <c r="W770" s="11">
        <v>1</v>
      </c>
      <c r="X770" s="11">
        <v>1</v>
      </c>
      <c r="Y770" s="11">
        <v>0</v>
      </c>
      <c r="Z770" s="11">
        <v>0</v>
      </c>
      <c r="AA770" s="11">
        <f>MasterTable[[#This Row],[Landings
Night]]+MasterTable[[#This Row],[Landings
Day]]</f>
        <v>1</v>
      </c>
      <c r="AB770" s="10">
        <v>0</v>
      </c>
      <c r="AC770" s="10">
        <v>0</v>
      </c>
      <c r="AD770" s="11">
        <v>0</v>
      </c>
      <c r="AE770" s="21">
        <f>SUM(MasterTable[[#This Row],[ILS]:[PAR]])</f>
        <v>0</v>
      </c>
      <c r="AL770" s="11"/>
      <c r="AR770" s="140" t="str">
        <f>_xlfn.XLOOKUP(MasterTable[[#This Row],[Aircraft ID]],Aircraft!A:A,Aircraft!H:H)</f>
        <v>Airplane Single Engine Land</v>
      </c>
      <c r="AS770" s="8" t="b">
        <f>OR((SUM(MasterTable[[#This Row],[ILS]:[PAR]]) = MasterTable[[#This Row],[APPR]]))</f>
        <v>1</v>
      </c>
      <c r="AT770" s="8" t="b">
        <f>NOT(ISBLANK(MasterTable[[#This Row],[Total
Time]]))</f>
        <v>1</v>
      </c>
    </row>
    <row r="771" spans="4:46" ht="28.8" x14ac:dyDescent="0.3">
      <c r="D771" s="22">
        <v>43780</v>
      </c>
      <c r="E771" s="8" t="s">
        <v>75</v>
      </c>
      <c r="F771" s="8" t="s">
        <v>204</v>
      </c>
      <c r="G771" s="8" t="s">
        <v>204</v>
      </c>
      <c r="I771" s="10">
        <v>1</v>
      </c>
      <c r="J771" s="10">
        <v>1</v>
      </c>
      <c r="L771" s="10">
        <v>0</v>
      </c>
      <c r="M771" s="13">
        <v>0</v>
      </c>
      <c r="N771" s="13"/>
      <c r="O771" s="10">
        <v>1</v>
      </c>
      <c r="P771" s="10">
        <v>0</v>
      </c>
      <c r="Q771" s="14">
        <v>0</v>
      </c>
      <c r="R771" s="14">
        <v>0</v>
      </c>
      <c r="S771" s="10">
        <v>0</v>
      </c>
      <c r="T771" s="10">
        <v>0</v>
      </c>
      <c r="U771" s="14">
        <v>0</v>
      </c>
      <c r="V771" s="10"/>
      <c r="W771" s="11">
        <v>1</v>
      </c>
      <c r="X771" s="11">
        <v>1</v>
      </c>
      <c r="Y771" s="11">
        <v>0</v>
      </c>
      <c r="Z771" s="11">
        <v>0</v>
      </c>
      <c r="AA771" s="11">
        <f>MasterTable[[#This Row],[Landings
Night]]+MasterTable[[#This Row],[Landings
Day]]</f>
        <v>1</v>
      </c>
      <c r="AB771" s="10">
        <v>0</v>
      </c>
      <c r="AC771" s="10">
        <v>0</v>
      </c>
      <c r="AD771" s="11">
        <v>0</v>
      </c>
      <c r="AE771" s="21">
        <f>SUM(MasterTable[[#This Row],[ILS]:[PAR]])</f>
        <v>0</v>
      </c>
      <c r="AL771" s="11"/>
      <c r="AR771" s="140" t="str">
        <f>_xlfn.XLOOKUP(MasterTable[[#This Row],[Aircraft ID]],Aircraft!A:A,Aircraft!H:H)</f>
        <v>Airplane Single Engine Land</v>
      </c>
      <c r="AS771" s="8" t="b">
        <f>OR((SUM(MasterTable[[#This Row],[ILS]:[PAR]]) = MasterTable[[#This Row],[APPR]]))</f>
        <v>1</v>
      </c>
      <c r="AT771" s="8" t="b">
        <f>NOT(ISBLANK(MasterTable[[#This Row],[Total
Time]]))</f>
        <v>1</v>
      </c>
    </row>
    <row r="772" spans="4:46" ht="28.8" x14ac:dyDescent="0.3">
      <c r="D772" s="22">
        <v>43779</v>
      </c>
      <c r="E772" s="8" t="s">
        <v>60</v>
      </c>
      <c r="F772" s="8" t="s">
        <v>204</v>
      </c>
      <c r="G772" s="8" t="s">
        <v>204</v>
      </c>
      <c r="I772" s="10">
        <v>1.1000000000000001</v>
      </c>
      <c r="J772" s="10">
        <v>1.1000000000000001</v>
      </c>
      <c r="L772" s="10">
        <v>0</v>
      </c>
      <c r="M772" s="13">
        <v>0</v>
      </c>
      <c r="N772" s="13"/>
      <c r="O772" s="10">
        <v>1.1000000000000001</v>
      </c>
      <c r="P772" s="10">
        <v>0</v>
      </c>
      <c r="Q772" s="14">
        <v>0</v>
      </c>
      <c r="R772" s="14">
        <v>0</v>
      </c>
      <c r="S772" s="10">
        <v>0</v>
      </c>
      <c r="T772" s="10">
        <v>0</v>
      </c>
      <c r="U772" s="14">
        <v>0</v>
      </c>
      <c r="V772" s="10"/>
      <c r="W772" s="11">
        <v>1</v>
      </c>
      <c r="X772" s="11">
        <v>1</v>
      </c>
      <c r="Y772" s="11">
        <v>0</v>
      </c>
      <c r="Z772" s="11">
        <v>0</v>
      </c>
      <c r="AA772" s="11">
        <f>MasterTable[[#This Row],[Landings
Night]]+MasterTable[[#This Row],[Landings
Day]]</f>
        <v>1</v>
      </c>
      <c r="AB772" s="10">
        <v>0</v>
      </c>
      <c r="AC772" s="10">
        <v>0</v>
      </c>
      <c r="AD772" s="11">
        <v>0</v>
      </c>
      <c r="AE772" s="21">
        <f>SUM(MasterTable[[#This Row],[ILS]:[PAR]])</f>
        <v>0</v>
      </c>
      <c r="AL772" s="11"/>
      <c r="AR772" s="140" t="str">
        <f>_xlfn.XLOOKUP(MasterTable[[#This Row],[Aircraft ID]],Aircraft!A:A,Aircraft!H:H)</f>
        <v>Airplane Single Engine Land</v>
      </c>
      <c r="AS772" s="8" t="b">
        <f>OR((SUM(MasterTable[[#This Row],[ILS]:[PAR]]) = MasterTable[[#This Row],[APPR]]))</f>
        <v>1</v>
      </c>
      <c r="AT772" s="8" t="b">
        <f>NOT(ISBLANK(MasterTable[[#This Row],[Total
Time]]))</f>
        <v>1</v>
      </c>
    </row>
    <row r="773" spans="4:46" ht="28.8" x14ac:dyDescent="0.3">
      <c r="D773" s="22">
        <v>43779</v>
      </c>
      <c r="E773" s="8" t="s">
        <v>75</v>
      </c>
      <c r="F773" s="8" t="s">
        <v>204</v>
      </c>
      <c r="G773" s="8" t="s">
        <v>204</v>
      </c>
      <c r="I773" s="10">
        <v>1.1000000000000001</v>
      </c>
      <c r="J773" s="10">
        <v>1.1000000000000001</v>
      </c>
      <c r="L773" s="10">
        <v>0</v>
      </c>
      <c r="M773" s="13">
        <v>0</v>
      </c>
      <c r="N773" s="13"/>
      <c r="O773" s="10">
        <v>1.1000000000000001</v>
      </c>
      <c r="P773" s="10">
        <v>0</v>
      </c>
      <c r="Q773" s="14">
        <v>0</v>
      </c>
      <c r="R773" s="14">
        <v>0</v>
      </c>
      <c r="S773" s="10">
        <v>0</v>
      </c>
      <c r="T773" s="10">
        <v>0</v>
      </c>
      <c r="U773" s="14">
        <v>0</v>
      </c>
      <c r="V773" s="10"/>
      <c r="W773" s="11">
        <v>1</v>
      </c>
      <c r="X773" s="11">
        <v>1</v>
      </c>
      <c r="Y773" s="11">
        <v>0</v>
      </c>
      <c r="Z773" s="11">
        <v>0</v>
      </c>
      <c r="AA773" s="11">
        <f>MasterTable[[#This Row],[Landings
Night]]+MasterTable[[#This Row],[Landings
Day]]</f>
        <v>1</v>
      </c>
      <c r="AB773" s="10">
        <v>0</v>
      </c>
      <c r="AC773" s="10">
        <v>0</v>
      </c>
      <c r="AD773" s="11">
        <v>0</v>
      </c>
      <c r="AE773" s="21">
        <f>SUM(MasterTable[[#This Row],[ILS]:[PAR]])</f>
        <v>0</v>
      </c>
      <c r="AL773" s="11"/>
      <c r="AR773" s="140" t="str">
        <f>_xlfn.XLOOKUP(MasterTable[[#This Row],[Aircraft ID]],Aircraft!A:A,Aircraft!H:H)</f>
        <v>Airplane Single Engine Land</v>
      </c>
      <c r="AS773" s="8" t="b">
        <f>OR((SUM(MasterTable[[#This Row],[ILS]:[PAR]]) = MasterTable[[#This Row],[APPR]]))</f>
        <v>1</v>
      </c>
      <c r="AT773" s="8" t="b">
        <f>NOT(ISBLANK(MasterTable[[#This Row],[Total
Time]]))</f>
        <v>1</v>
      </c>
    </row>
    <row r="774" spans="4:46" ht="28.8" x14ac:dyDescent="0.3">
      <c r="D774" s="22">
        <v>43779</v>
      </c>
      <c r="E774" s="8" t="s">
        <v>75</v>
      </c>
      <c r="F774" s="8" t="s">
        <v>204</v>
      </c>
      <c r="G774" s="8" t="s">
        <v>204</v>
      </c>
      <c r="I774" s="10">
        <v>1.1000000000000001</v>
      </c>
      <c r="J774" s="10">
        <v>1.1000000000000001</v>
      </c>
      <c r="L774" s="10">
        <v>0</v>
      </c>
      <c r="M774" s="13">
        <v>0</v>
      </c>
      <c r="N774" s="13"/>
      <c r="O774" s="10">
        <v>1.1000000000000001</v>
      </c>
      <c r="P774" s="10">
        <v>0</v>
      </c>
      <c r="Q774" s="14">
        <v>0</v>
      </c>
      <c r="R774" s="14">
        <v>0</v>
      </c>
      <c r="S774" s="10">
        <v>0</v>
      </c>
      <c r="T774" s="10">
        <v>0</v>
      </c>
      <c r="U774" s="14">
        <v>0</v>
      </c>
      <c r="V774" s="10"/>
      <c r="W774" s="11">
        <v>1</v>
      </c>
      <c r="X774" s="11">
        <v>1</v>
      </c>
      <c r="Y774" s="11">
        <v>0</v>
      </c>
      <c r="Z774" s="11">
        <v>0</v>
      </c>
      <c r="AA774" s="11">
        <f>MasterTable[[#This Row],[Landings
Night]]+MasterTable[[#This Row],[Landings
Day]]</f>
        <v>1</v>
      </c>
      <c r="AB774" s="10">
        <v>0</v>
      </c>
      <c r="AC774" s="10">
        <v>0</v>
      </c>
      <c r="AD774" s="11">
        <v>0</v>
      </c>
      <c r="AE774" s="21">
        <f>SUM(MasterTable[[#This Row],[ILS]:[PAR]])</f>
        <v>0</v>
      </c>
      <c r="AL774" s="11"/>
      <c r="AR774" s="140" t="str">
        <f>_xlfn.XLOOKUP(MasterTable[[#This Row],[Aircraft ID]],Aircraft!A:A,Aircraft!H:H)</f>
        <v>Airplane Single Engine Land</v>
      </c>
      <c r="AS774" s="8" t="b">
        <f>OR((SUM(MasterTable[[#This Row],[ILS]:[PAR]]) = MasterTable[[#This Row],[APPR]]))</f>
        <v>1</v>
      </c>
      <c r="AT774" s="8" t="b">
        <f>NOT(ISBLANK(MasterTable[[#This Row],[Total
Time]]))</f>
        <v>1</v>
      </c>
    </row>
    <row r="775" spans="4:46" ht="28.8" x14ac:dyDescent="0.3">
      <c r="D775" s="22">
        <v>43778</v>
      </c>
      <c r="E775" s="8" t="s">
        <v>60</v>
      </c>
      <c r="F775" s="8" t="s">
        <v>204</v>
      </c>
      <c r="G775" s="8" t="s">
        <v>204</v>
      </c>
      <c r="I775" s="10">
        <v>1</v>
      </c>
      <c r="J775" s="10">
        <v>1</v>
      </c>
      <c r="L775" s="10">
        <v>0</v>
      </c>
      <c r="M775" s="13">
        <v>0</v>
      </c>
      <c r="N775" s="13"/>
      <c r="O775" s="10">
        <v>1</v>
      </c>
      <c r="P775" s="10">
        <v>0</v>
      </c>
      <c r="Q775" s="14">
        <v>0</v>
      </c>
      <c r="R775" s="14">
        <v>0</v>
      </c>
      <c r="S775" s="10">
        <v>0</v>
      </c>
      <c r="T775" s="10">
        <v>0</v>
      </c>
      <c r="U775" s="14">
        <v>0</v>
      </c>
      <c r="V775" s="10"/>
      <c r="W775" s="11">
        <v>1</v>
      </c>
      <c r="X775" s="11">
        <v>1</v>
      </c>
      <c r="Y775" s="11">
        <v>0</v>
      </c>
      <c r="Z775" s="11">
        <v>0</v>
      </c>
      <c r="AA775" s="11">
        <f>MasterTable[[#This Row],[Landings
Night]]+MasterTable[[#This Row],[Landings
Day]]</f>
        <v>1</v>
      </c>
      <c r="AB775" s="10">
        <v>0</v>
      </c>
      <c r="AC775" s="10">
        <v>0</v>
      </c>
      <c r="AD775" s="11">
        <v>0</v>
      </c>
      <c r="AE775" s="21">
        <f>SUM(MasterTable[[#This Row],[ILS]:[PAR]])</f>
        <v>0</v>
      </c>
      <c r="AL775" s="11"/>
      <c r="AR775" s="140" t="str">
        <f>_xlfn.XLOOKUP(MasterTable[[#This Row],[Aircraft ID]],Aircraft!A:A,Aircraft!H:H)</f>
        <v>Airplane Single Engine Land</v>
      </c>
      <c r="AS775" s="8" t="b">
        <f>OR((SUM(MasterTable[[#This Row],[ILS]:[PAR]]) = MasterTable[[#This Row],[APPR]]))</f>
        <v>1</v>
      </c>
      <c r="AT775" s="8" t="b">
        <f>NOT(ISBLANK(MasterTable[[#This Row],[Total
Time]]))</f>
        <v>1</v>
      </c>
    </row>
    <row r="776" spans="4:46" ht="28.8" x14ac:dyDescent="0.3">
      <c r="D776" s="22">
        <v>43778</v>
      </c>
      <c r="E776" s="8" t="s">
        <v>75</v>
      </c>
      <c r="F776" s="8" t="s">
        <v>204</v>
      </c>
      <c r="G776" s="8" t="s">
        <v>204</v>
      </c>
      <c r="I776" s="10">
        <v>1.1000000000000001</v>
      </c>
      <c r="J776" s="10">
        <v>1.1000000000000001</v>
      </c>
      <c r="L776" s="10">
        <v>0</v>
      </c>
      <c r="M776" s="13">
        <v>0</v>
      </c>
      <c r="N776" s="13"/>
      <c r="O776" s="10">
        <v>1.1000000000000001</v>
      </c>
      <c r="P776" s="10">
        <v>0</v>
      </c>
      <c r="Q776" s="14">
        <v>0</v>
      </c>
      <c r="R776" s="14">
        <v>0</v>
      </c>
      <c r="S776" s="10">
        <v>0</v>
      </c>
      <c r="T776" s="10">
        <v>0</v>
      </c>
      <c r="U776" s="14">
        <v>0</v>
      </c>
      <c r="V776" s="10"/>
      <c r="W776" s="11">
        <v>1</v>
      </c>
      <c r="X776" s="11">
        <v>1</v>
      </c>
      <c r="Y776" s="11">
        <v>0</v>
      </c>
      <c r="Z776" s="11">
        <v>0</v>
      </c>
      <c r="AA776" s="11">
        <f>MasterTable[[#This Row],[Landings
Night]]+MasterTable[[#This Row],[Landings
Day]]</f>
        <v>1</v>
      </c>
      <c r="AB776" s="10">
        <v>0</v>
      </c>
      <c r="AC776" s="10">
        <v>0</v>
      </c>
      <c r="AD776" s="11">
        <v>0</v>
      </c>
      <c r="AE776" s="21">
        <f>SUM(MasterTable[[#This Row],[ILS]:[PAR]])</f>
        <v>0</v>
      </c>
      <c r="AL776" s="11"/>
      <c r="AR776" s="140" t="str">
        <f>_xlfn.XLOOKUP(MasterTable[[#This Row],[Aircraft ID]],Aircraft!A:A,Aircraft!H:H)</f>
        <v>Airplane Single Engine Land</v>
      </c>
      <c r="AS776" s="8" t="b">
        <f>OR((SUM(MasterTable[[#This Row],[ILS]:[PAR]]) = MasterTable[[#This Row],[APPR]]))</f>
        <v>1</v>
      </c>
      <c r="AT776" s="8" t="b">
        <f>NOT(ISBLANK(MasterTable[[#This Row],[Total
Time]]))</f>
        <v>1</v>
      </c>
    </row>
    <row r="777" spans="4:46" ht="28.8" x14ac:dyDescent="0.3">
      <c r="D777" s="22">
        <v>43773</v>
      </c>
      <c r="E777" s="8" t="s">
        <v>75</v>
      </c>
      <c r="F777" s="8" t="s">
        <v>204</v>
      </c>
      <c r="G777" s="8" t="s">
        <v>204</v>
      </c>
      <c r="I777" s="10">
        <v>0.9</v>
      </c>
      <c r="J777" s="10">
        <v>0.9</v>
      </c>
      <c r="L777" s="10">
        <v>0</v>
      </c>
      <c r="M777" s="13">
        <v>0</v>
      </c>
      <c r="N777" s="13"/>
      <c r="O777" s="10">
        <v>0.9</v>
      </c>
      <c r="P777" s="10">
        <v>0</v>
      </c>
      <c r="Q777" s="14">
        <v>0</v>
      </c>
      <c r="R777" s="14">
        <v>0</v>
      </c>
      <c r="S777" s="10">
        <v>0</v>
      </c>
      <c r="T777" s="10">
        <v>0</v>
      </c>
      <c r="U777" s="14">
        <v>0</v>
      </c>
      <c r="V777" s="10"/>
      <c r="W777" s="11">
        <v>1</v>
      </c>
      <c r="X777" s="11">
        <v>1</v>
      </c>
      <c r="Y777" s="11">
        <v>0</v>
      </c>
      <c r="Z777" s="11">
        <v>0</v>
      </c>
      <c r="AA777" s="11">
        <f>MasterTable[[#This Row],[Landings
Night]]+MasterTable[[#This Row],[Landings
Day]]</f>
        <v>1</v>
      </c>
      <c r="AB777" s="10">
        <v>0</v>
      </c>
      <c r="AC777" s="10">
        <v>0</v>
      </c>
      <c r="AD777" s="11">
        <v>0</v>
      </c>
      <c r="AE777" s="21">
        <f>SUM(MasterTable[[#This Row],[ILS]:[PAR]])</f>
        <v>0</v>
      </c>
      <c r="AL777" s="11"/>
      <c r="AR777" s="140" t="str">
        <f>_xlfn.XLOOKUP(MasterTable[[#This Row],[Aircraft ID]],Aircraft!A:A,Aircraft!H:H)</f>
        <v>Airplane Single Engine Land</v>
      </c>
      <c r="AS777" s="8" t="b">
        <f>OR((SUM(MasterTable[[#This Row],[ILS]:[PAR]]) = MasterTable[[#This Row],[APPR]]))</f>
        <v>1</v>
      </c>
      <c r="AT777" s="8" t="b">
        <f>NOT(ISBLANK(MasterTable[[#This Row],[Total
Time]]))</f>
        <v>1</v>
      </c>
    </row>
    <row r="778" spans="4:46" ht="28.8" x14ac:dyDescent="0.3">
      <c r="D778" s="22">
        <v>43772</v>
      </c>
      <c r="E778" s="8" t="s">
        <v>60</v>
      </c>
      <c r="F778" s="8" t="s">
        <v>204</v>
      </c>
      <c r="G778" s="8" t="s">
        <v>204</v>
      </c>
      <c r="I778" s="10">
        <v>1.3</v>
      </c>
      <c r="J778" s="10">
        <v>1.3</v>
      </c>
      <c r="L778" s="10">
        <v>0</v>
      </c>
      <c r="M778" s="13">
        <v>0</v>
      </c>
      <c r="N778" s="13"/>
      <c r="O778" s="10">
        <v>1.3</v>
      </c>
      <c r="P778" s="10">
        <v>0</v>
      </c>
      <c r="Q778" s="14">
        <v>0</v>
      </c>
      <c r="R778" s="14">
        <v>0</v>
      </c>
      <c r="S778" s="10">
        <v>0</v>
      </c>
      <c r="T778" s="10">
        <v>0</v>
      </c>
      <c r="U778" s="14">
        <v>0</v>
      </c>
      <c r="V778" s="10"/>
      <c r="W778" s="11">
        <v>1</v>
      </c>
      <c r="X778" s="11">
        <v>1</v>
      </c>
      <c r="Y778" s="11">
        <v>0</v>
      </c>
      <c r="Z778" s="11">
        <v>0</v>
      </c>
      <c r="AA778" s="11">
        <f>MasterTable[[#This Row],[Landings
Night]]+MasterTable[[#This Row],[Landings
Day]]</f>
        <v>1</v>
      </c>
      <c r="AB778" s="10">
        <v>0</v>
      </c>
      <c r="AC778" s="10">
        <v>0</v>
      </c>
      <c r="AD778" s="11">
        <v>0</v>
      </c>
      <c r="AE778" s="21">
        <f>SUM(MasterTable[[#This Row],[ILS]:[PAR]])</f>
        <v>0</v>
      </c>
      <c r="AL778" s="11"/>
      <c r="AR778" s="140" t="str">
        <f>_xlfn.XLOOKUP(MasterTable[[#This Row],[Aircraft ID]],Aircraft!A:A,Aircraft!H:H)</f>
        <v>Airplane Single Engine Land</v>
      </c>
      <c r="AS778" s="8" t="b">
        <f>OR((SUM(MasterTable[[#This Row],[ILS]:[PAR]]) = MasterTable[[#This Row],[APPR]]))</f>
        <v>1</v>
      </c>
      <c r="AT778" s="8" t="b">
        <f>NOT(ISBLANK(MasterTable[[#This Row],[Total
Time]]))</f>
        <v>1</v>
      </c>
    </row>
    <row r="779" spans="4:46" ht="28.8" x14ac:dyDescent="0.3">
      <c r="D779" s="22">
        <v>43771</v>
      </c>
      <c r="E779" s="8" t="s">
        <v>60</v>
      </c>
      <c r="F779" s="8" t="s">
        <v>204</v>
      </c>
      <c r="G779" s="8" t="s">
        <v>204</v>
      </c>
      <c r="I779" s="10">
        <v>1</v>
      </c>
      <c r="J779" s="10">
        <v>1</v>
      </c>
      <c r="L779" s="10">
        <v>0</v>
      </c>
      <c r="M779" s="13">
        <v>0</v>
      </c>
      <c r="N779" s="13"/>
      <c r="O779" s="10">
        <v>1</v>
      </c>
      <c r="P779" s="10">
        <v>0</v>
      </c>
      <c r="Q779" s="14">
        <v>0</v>
      </c>
      <c r="R779" s="14">
        <v>0</v>
      </c>
      <c r="S779" s="10">
        <v>0</v>
      </c>
      <c r="T779" s="10">
        <v>0</v>
      </c>
      <c r="U779" s="14">
        <v>0</v>
      </c>
      <c r="V779" s="10"/>
      <c r="W779" s="11">
        <v>1</v>
      </c>
      <c r="X779" s="11">
        <v>1</v>
      </c>
      <c r="Y779" s="11">
        <v>0</v>
      </c>
      <c r="Z779" s="11">
        <v>0</v>
      </c>
      <c r="AA779" s="11">
        <f>MasterTable[[#This Row],[Landings
Night]]+MasterTable[[#This Row],[Landings
Day]]</f>
        <v>1</v>
      </c>
      <c r="AB779" s="10">
        <v>0</v>
      </c>
      <c r="AC779" s="10">
        <v>0</v>
      </c>
      <c r="AD779" s="11">
        <v>0</v>
      </c>
      <c r="AE779" s="21">
        <f>SUM(MasterTable[[#This Row],[ILS]:[PAR]])</f>
        <v>0</v>
      </c>
      <c r="AL779" s="11"/>
      <c r="AR779" s="140" t="str">
        <f>_xlfn.XLOOKUP(MasterTable[[#This Row],[Aircraft ID]],Aircraft!A:A,Aircraft!H:H)</f>
        <v>Airplane Single Engine Land</v>
      </c>
      <c r="AS779" s="8" t="b">
        <f>OR((SUM(MasterTable[[#This Row],[ILS]:[PAR]]) = MasterTable[[#This Row],[APPR]]))</f>
        <v>1</v>
      </c>
      <c r="AT779" s="8" t="b">
        <f>NOT(ISBLANK(MasterTable[[#This Row],[Total
Time]]))</f>
        <v>1</v>
      </c>
    </row>
    <row r="780" spans="4:46" ht="28.8" x14ac:dyDescent="0.3">
      <c r="D780" s="22">
        <v>43767</v>
      </c>
      <c r="E780" s="8" t="s">
        <v>60</v>
      </c>
      <c r="F780" s="8" t="s">
        <v>204</v>
      </c>
      <c r="G780" s="8" t="s">
        <v>204</v>
      </c>
      <c r="I780" s="10">
        <v>1</v>
      </c>
      <c r="J780" s="10">
        <v>1</v>
      </c>
      <c r="L780" s="10">
        <v>0</v>
      </c>
      <c r="M780" s="13">
        <v>0</v>
      </c>
      <c r="N780" s="13"/>
      <c r="O780" s="10">
        <v>1</v>
      </c>
      <c r="P780" s="10">
        <v>0</v>
      </c>
      <c r="Q780" s="14">
        <v>0</v>
      </c>
      <c r="R780" s="14">
        <v>0</v>
      </c>
      <c r="S780" s="10">
        <v>0</v>
      </c>
      <c r="T780" s="10">
        <v>0</v>
      </c>
      <c r="U780" s="14">
        <v>0</v>
      </c>
      <c r="V780" s="10"/>
      <c r="W780" s="11">
        <v>1</v>
      </c>
      <c r="X780" s="11">
        <v>1</v>
      </c>
      <c r="Y780" s="11">
        <v>0</v>
      </c>
      <c r="Z780" s="11">
        <v>0</v>
      </c>
      <c r="AA780" s="11">
        <f>MasterTable[[#This Row],[Landings
Night]]+MasterTable[[#This Row],[Landings
Day]]</f>
        <v>1</v>
      </c>
      <c r="AB780" s="10">
        <v>0</v>
      </c>
      <c r="AC780" s="10">
        <v>0</v>
      </c>
      <c r="AD780" s="11">
        <v>0</v>
      </c>
      <c r="AE780" s="21">
        <f>SUM(MasterTable[[#This Row],[ILS]:[PAR]])</f>
        <v>0</v>
      </c>
      <c r="AL780" s="11"/>
      <c r="AR780" s="140" t="str">
        <f>_xlfn.XLOOKUP(MasterTable[[#This Row],[Aircraft ID]],Aircraft!A:A,Aircraft!H:H)</f>
        <v>Airplane Single Engine Land</v>
      </c>
      <c r="AS780" s="8" t="b">
        <f>OR((SUM(MasterTable[[#This Row],[ILS]:[PAR]]) = MasterTable[[#This Row],[APPR]]))</f>
        <v>1</v>
      </c>
      <c r="AT780" s="8" t="b">
        <f>NOT(ISBLANK(MasterTable[[#This Row],[Total
Time]]))</f>
        <v>1</v>
      </c>
    </row>
    <row r="781" spans="4:46" ht="28.8" x14ac:dyDescent="0.3">
      <c r="D781" s="22">
        <v>43766</v>
      </c>
      <c r="E781" s="8" t="s">
        <v>60</v>
      </c>
      <c r="F781" s="8" t="s">
        <v>204</v>
      </c>
      <c r="G781" s="8" t="s">
        <v>204</v>
      </c>
      <c r="I781" s="10">
        <v>1.1000000000000001</v>
      </c>
      <c r="J781" s="10">
        <v>1.1000000000000001</v>
      </c>
      <c r="L781" s="10">
        <v>0</v>
      </c>
      <c r="M781" s="13">
        <v>0</v>
      </c>
      <c r="N781" s="13"/>
      <c r="O781" s="10">
        <v>1.1000000000000001</v>
      </c>
      <c r="P781" s="10">
        <v>0</v>
      </c>
      <c r="Q781" s="14">
        <v>0</v>
      </c>
      <c r="R781" s="14">
        <v>0</v>
      </c>
      <c r="S781" s="10">
        <v>0</v>
      </c>
      <c r="T781" s="10">
        <v>0</v>
      </c>
      <c r="U781" s="14">
        <v>0</v>
      </c>
      <c r="V781" s="10"/>
      <c r="W781" s="11">
        <v>1</v>
      </c>
      <c r="X781" s="11">
        <v>1</v>
      </c>
      <c r="Y781" s="11">
        <v>0</v>
      </c>
      <c r="Z781" s="11">
        <v>0</v>
      </c>
      <c r="AA781" s="11">
        <f>MasterTable[[#This Row],[Landings
Night]]+MasterTable[[#This Row],[Landings
Day]]</f>
        <v>1</v>
      </c>
      <c r="AB781" s="10">
        <v>0</v>
      </c>
      <c r="AC781" s="10">
        <v>0</v>
      </c>
      <c r="AD781" s="11">
        <v>0</v>
      </c>
      <c r="AE781" s="21">
        <f>SUM(MasterTable[[#This Row],[ILS]:[PAR]])</f>
        <v>0</v>
      </c>
      <c r="AL781" s="11"/>
      <c r="AR781" s="140" t="str">
        <f>_xlfn.XLOOKUP(MasterTable[[#This Row],[Aircraft ID]],Aircraft!A:A,Aircraft!H:H)</f>
        <v>Airplane Single Engine Land</v>
      </c>
      <c r="AS781" s="8" t="b">
        <f>OR((SUM(MasterTable[[#This Row],[ILS]:[PAR]]) = MasterTable[[#This Row],[APPR]]))</f>
        <v>1</v>
      </c>
      <c r="AT781" s="8" t="b">
        <f>NOT(ISBLANK(MasterTable[[#This Row],[Total
Time]]))</f>
        <v>1</v>
      </c>
    </row>
    <row r="782" spans="4:46" ht="28.8" x14ac:dyDescent="0.3">
      <c r="D782" s="22">
        <v>43765</v>
      </c>
      <c r="E782" s="8" t="s">
        <v>60</v>
      </c>
      <c r="F782" s="8" t="s">
        <v>204</v>
      </c>
      <c r="G782" s="8" t="s">
        <v>204</v>
      </c>
      <c r="I782" s="10">
        <v>1.1000000000000001</v>
      </c>
      <c r="J782" s="10">
        <v>1.1000000000000001</v>
      </c>
      <c r="L782" s="10">
        <v>0</v>
      </c>
      <c r="M782" s="13">
        <v>0</v>
      </c>
      <c r="N782" s="13"/>
      <c r="O782" s="10">
        <v>1.1000000000000001</v>
      </c>
      <c r="P782" s="10">
        <v>0</v>
      </c>
      <c r="Q782" s="14">
        <v>0</v>
      </c>
      <c r="R782" s="14">
        <v>0</v>
      </c>
      <c r="S782" s="10">
        <v>0</v>
      </c>
      <c r="T782" s="10">
        <v>0</v>
      </c>
      <c r="U782" s="14">
        <v>0</v>
      </c>
      <c r="V782" s="10"/>
      <c r="W782" s="11">
        <v>1</v>
      </c>
      <c r="X782" s="11">
        <v>1</v>
      </c>
      <c r="Y782" s="11">
        <v>0</v>
      </c>
      <c r="Z782" s="11">
        <v>0</v>
      </c>
      <c r="AA782" s="11">
        <f>MasterTable[[#This Row],[Landings
Night]]+MasterTable[[#This Row],[Landings
Day]]</f>
        <v>1</v>
      </c>
      <c r="AB782" s="10">
        <v>0</v>
      </c>
      <c r="AC782" s="10">
        <v>0</v>
      </c>
      <c r="AD782" s="11">
        <v>0</v>
      </c>
      <c r="AE782" s="21">
        <f>SUM(MasterTable[[#This Row],[ILS]:[PAR]])</f>
        <v>0</v>
      </c>
      <c r="AL782" s="11"/>
      <c r="AR782" s="140" t="str">
        <f>_xlfn.XLOOKUP(MasterTable[[#This Row],[Aircraft ID]],Aircraft!A:A,Aircraft!H:H)</f>
        <v>Airplane Single Engine Land</v>
      </c>
      <c r="AS782" s="8" t="b">
        <f>OR((SUM(MasterTable[[#This Row],[ILS]:[PAR]]) = MasterTable[[#This Row],[APPR]]))</f>
        <v>1</v>
      </c>
      <c r="AT782" s="8" t="b">
        <f>NOT(ISBLANK(MasterTable[[#This Row],[Total
Time]]))</f>
        <v>1</v>
      </c>
    </row>
    <row r="783" spans="4:46" ht="28.8" x14ac:dyDescent="0.3">
      <c r="D783" s="22">
        <v>43764</v>
      </c>
      <c r="E783" s="8" t="s">
        <v>75</v>
      </c>
      <c r="F783" s="8" t="s">
        <v>204</v>
      </c>
      <c r="G783" s="8" t="s">
        <v>204</v>
      </c>
      <c r="I783" s="10">
        <v>0.8</v>
      </c>
      <c r="J783" s="10">
        <v>0.8</v>
      </c>
      <c r="L783" s="10">
        <v>0</v>
      </c>
      <c r="M783" s="13">
        <v>0</v>
      </c>
      <c r="N783" s="13"/>
      <c r="O783" s="10">
        <v>0.8</v>
      </c>
      <c r="P783" s="10">
        <v>0</v>
      </c>
      <c r="Q783" s="14">
        <v>0</v>
      </c>
      <c r="R783" s="14">
        <v>0</v>
      </c>
      <c r="S783" s="10">
        <v>0</v>
      </c>
      <c r="T783" s="10">
        <v>0</v>
      </c>
      <c r="U783" s="14">
        <v>0</v>
      </c>
      <c r="V783" s="10"/>
      <c r="W783" s="11">
        <v>3</v>
      </c>
      <c r="X783" s="11">
        <v>3</v>
      </c>
      <c r="Y783" s="11">
        <v>0</v>
      </c>
      <c r="Z783" s="11">
        <v>0</v>
      </c>
      <c r="AA783" s="11">
        <f>MasterTable[[#This Row],[Landings
Night]]+MasterTable[[#This Row],[Landings
Day]]</f>
        <v>3</v>
      </c>
      <c r="AB783" s="10">
        <v>0</v>
      </c>
      <c r="AC783" s="10">
        <v>0</v>
      </c>
      <c r="AD783" s="11">
        <v>0</v>
      </c>
      <c r="AE783" s="21">
        <f>SUM(MasterTable[[#This Row],[ILS]:[PAR]])</f>
        <v>0</v>
      </c>
      <c r="AL783" s="11"/>
      <c r="AR783" s="140" t="str">
        <f>_xlfn.XLOOKUP(MasterTable[[#This Row],[Aircraft ID]],Aircraft!A:A,Aircraft!H:H)</f>
        <v>Airplane Single Engine Land</v>
      </c>
      <c r="AS783" s="8" t="b">
        <f>OR((SUM(MasterTable[[#This Row],[ILS]:[PAR]]) = MasterTable[[#This Row],[APPR]]))</f>
        <v>1</v>
      </c>
      <c r="AT783" s="8" t="b">
        <f>NOT(ISBLANK(MasterTable[[#This Row],[Total
Time]]))</f>
        <v>1</v>
      </c>
    </row>
    <row r="784" spans="4:46" ht="28.8" x14ac:dyDescent="0.3">
      <c r="D784" s="22">
        <v>43759</v>
      </c>
      <c r="E784" s="8" t="s">
        <v>75</v>
      </c>
      <c r="F784" s="8" t="s">
        <v>204</v>
      </c>
      <c r="G784" s="8" t="s">
        <v>204</v>
      </c>
      <c r="I784" s="10">
        <v>0.7</v>
      </c>
      <c r="J784" s="10">
        <v>0.7</v>
      </c>
      <c r="L784" s="10">
        <v>0</v>
      </c>
      <c r="M784" s="13">
        <v>0</v>
      </c>
      <c r="N784" s="13"/>
      <c r="O784" s="10">
        <v>0.7</v>
      </c>
      <c r="P784" s="10">
        <v>0</v>
      </c>
      <c r="Q784" s="14">
        <v>0</v>
      </c>
      <c r="R784" s="14">
        <v>0</v>
      </c>
      <c r="S784" s="10">
        <v>0</v>
      </c>
      <c r="T784" s="10">
        <v>0</v>
      </c>
      <c r="U784" s="14">
        <v>0</v>
      </c>
      <c r="V784" s="10"/>
      <c r="W784" s="11">
        <v>1</v>
      </c>
      <c r="X784" s="11">
        <v>1</v>
      </c>
      <c r="Y784" s="11">
        <v>0</v>
      </c>
      <c r="Z784" s="11">
        <v>0</v>
      </c>
      <c r="AA784" s="11">
        <f>MasterTable[[#This Row],[Landings
Night]]+MasterTable[[#This Row],[Landings
Day]]</f>
        <v>1</v>
      </c>
      <c r="AB784" s="10">
        <v>0</v>
      </c>
      <c r="AC784" s="10">
        <v>0</v>
      </c>
      <c r="AD784" s="11">
        <v>0</v>
      </c>
      <c r="AE784" s="21">
        <f>SUM(MasterTable[[#This Row],[ILS]:[PAR]])</f>
        <v>0</v>
      </c>
      <c r="AL784" s="11"/>
      <c r="AR784" s="140" t="str">
        <f>_xlfn.XLOOKUP(MasterTable[[#This Row],[Aircraft ID]],Aircraft!A:A,Aircraft!H:H)</f>
        <v>Airplane Single Engine Land</v>
      </c>
      <c r="AS784" s="8" t="b">
        <f>OR((SUM(MasterTable[[#This Row],[ILS]:[PAR]]) = MasterTable[[#This Row],[APPR]]))</f>
        <v>1</v>
      </c>
      <c r="AT784" s="8" t="b">
        <f>NOT(ISBLANK(MasterTable[[#This Row],[Total
Time]]))</f>
        <v>1</v>
      </c>
    </row>
    <row r="785" spans="4:46" ht="28.8" x14ac:dyDescent="0.3">
      <c r="D785" s="22">
        <v>43759</v>
      </c>
      <c r="E785" s="8" t="s">
        <v>75</v>
      </c>
      <c r="F785" s="8" t="s">
        <v>204</v>
      </c>
      <c r="G785" s="8" t="s">
        <v>204</v>
      </c>
      <c r="I785" s="10">
        <v>0.7</v>
      </c>
      <c r="J785" s="10">
        <v>0.7</v>
      </c>
      <c r="L785" s="10">
        <v>0</v>
      </c>
      <c r="M785" s="13">
        <v>0</v>
      </c>
      <c r="N785" s="13"/>
      <c r="O785" s="10">
        <v>0.7</v>
      </c>
      <c r="P785" s="10">
        <v>0</v>
      </c>
      <c r="Q785" s="14">
        <v>0</v>
      </c>
      <c r="R785" s="14">
        <v>0</v>
      </c>
      <c r="S785" s="10">
        <v>0</v>
      </c>
      <c r="T785" s="10">
        <v>0</v>
      </c>
      <c r="U785" s="14">
        <v>0</v>
      </c>
      <c r="V785" s="10"/>
      <c r="W785" s="11">
        <v>1</v>
      </c>
      <c r="X785" s="11">
        <v>1</v>
      </c>
      <c r="Y785" s="11">
        <v>0</v>
      </c>
      <c r="Z785" s="11">
        <v>0</v>
      </c>
      <c r="AA785" s="11">
        <f>MasterTable[[#This Row],[Landings
Night]]+MasterTable[[#This Row],[Landings
Day]]</f>
        <v>1</v>
      </c>
      <c r="AB785" s="10">
        <v>0</v>
      </c>
      <c r="AC785" s="10">
        <v>0</v>
      </c>
      <c r="AD785" s="11">
        <v>0</v>
      </c>
      <c r="AE785" s="21">
        <f>SUM(MasterTable[[#This Row],[ILS]:[PAR]])</f>
        <v>0</v>
      </c>
      <c r="AL785" s="11"/>
      <c r="AR785" s="140" t="str">
        <f>_xlfn.XLOOKUP(MasterTable[[#This Row],[Aircraft ID]],Aircraft!A:A,Aircraft!H:H)</f>
        <v>Airplane Single Engine Land</v>
      </c>
      <c r="AS785" s="8" t="b">
        <f>OR((SUM(MasterTable[[#This Row],[ILS]:[PAR]]) = MasterTable[[#This Row],[APPR]]))</f>
        <v>1</v>
      </c>
      <c r="AT785" s="8" t="b">
        <f>NOT(ISBLANK(MasterTable[[#This Row],[Total
Time]]))</f>
        <v>1</v>
      </c>
    </row>
    <row r="786" spans="4:46" ht="28.8" x14ac:dyDescent="0.3">
      <c r="D786" s="22">
        <v>43759</v>
      </c>
      <c r="E786" s="8" t="s">
        <v>60</v>
      </c>
      <c r="F786" s="8" t="s">
        <v>204</v>
      </c>
      <c r="G786" s="8" t="s">
        <v>204</v>
      </c>
      <c r="I786" s="10">
        <v>1.2</v>
      </c>
      <c r="J786" s="10">
        <v>1.2</v>
      </c>
      <c r="L786" s="10">
        <v>0</v>
      </c>
      <c r="M786" s="13">
        <v>0</v>
      </c>
      <c r="N786" s="13"/>
      <c r="O786" s="10">
        <v>1.2</v>
      </c>
      <c r="P786" s="10">
        <v>0</v>
      </c>
      <c r="Q786" s="14">
        <v>0</v>
      </c>
      <c r="R786" s="14">
        <v>0</v>
      </c>
      <c r="S786" s="10">
        <v>0</v>
      </c>
      <c r="T786" s="10">
        <v>0</v>
      </c>
      <c r="U786" s="14">
        <v>0</v>
      </c>
      <c r="V786" s="10"/>
      <c r="W786" s="11">
        <v>1</v>
      </c>
      <c r="X786" s="11">
        <v>1</v>
      </c>
      <c r="Y786" s="11">
        <v>0</v>
      </c>
      <c r="Z786" s="11">
        <v>0</v>
      </c>
      <c r="AA786" s="11">
        <f>MasterTable[[#This Row],[Landings
Night]]+MasterTable[[#This Row],[Landings
Day]]</f>
        <v>1</v>
      </c>
      <c r="AB786" s="10">
        <v>0</v>
      </c>
      <c r="AC786" s="10">
        <v>0</v>
      </c>
      <c r="AD786" s="11">
        <v>0</v>
      </c>
      <c r="AE786" s="21">
        <f>SUM(MasterTable[[#This Row],[ILS]:[PAR]])</f>
        <v>0</v>
      </c>
      <c r="AL786" s="11"/>
      <c r="AR786" s="140" t="str">
        <f>_xlfn.XLOOKUP(MasterTable[[#This Row],[Aircraft ID]],Aircraft!A:A,Aircraft!H:H)</f>
        <v>Airplane Single Engine Land</v>
      </c>
      <c r="AS786" s="8" t="b">
        <f>OR((SUM(MasterTable[[#This Row],[ILS]:[PAR]]) = MasterTable[[#This Row],[APPR]]))</f>
        <v>1</v>
      </c>
      <c r="AT786" s="8" t="b">
        <f>NOT(ISBLANK(MasterTable[[#This Row],[Total
Time]]))</f>
        <v>1</v>
      </c>
    </row>
    <row r="787" spans="4:46" ht="28.8" x14ac:dyDescent="0.3">
      <c r="D787" s="22">
        <v>43758</v>
      </c>
      <c r="E787" s="8" t="s">
        <v>75</v>
      </c>
      <c r="F787" s="8" t="s">
        <v>204</v>
      </c>
      <c r="G787" s="8" t="s">
        <v>204</v>
      </c>
      <c r="I787" s="10">
        <v>1</v>
      </c>
      <c r="J787" s="10">
        <v>1</v>
      </c>
      <c r="L787" s="10">
        <v>0</v>
      </c>
      <c r="M787" s="13">
        <v>0</v>
      </c>
      <c r="N787" s="13"/>
      <c r="O787" s="10">
        <v>1</v>
      </c>
      <c r="P787" s="10">
        <v>0</v>
      </c>
      <c r="Q787" s="14">
        <v>0</v>
      </c>
      <c r="R787" s="14">
        <v>0</v>
      </c>
      <c r="S787" s="10">
        <v>0</v>
      </c>
      <c r="T787" s="10">
        <v>0</v>
      </c>
      <c r="U787" s="14">
        <v>0</v>
      </c>
      <c r="V787" s="10"/>
      <c r="W787" s="11">
        <v>3</v>
      </c>
      <c r="X787" s="11">
        <v>3</v>
      </c>
      <c r="Y787" s="11">
        <v>0</v>
      </c>
      <c r="Z787" s="11">
        <v>0</v>
      </c>
      <c r="AA787" s="11">
        <f>MasterTable[[#This Row],[Landings
Night]]+MasterTable[[#This Row],[Landings
Day]]</f>
        <v>3</v>
      </c>
      <c r="AB787" s="10">
        <v>0</v>
      </c>
      <c r="AC787" s="10">
        <v>0</v>
      </c>
      <c r="AD787" s="11">
        <v>0</v>
      </c>
      <c r="AE787" s="21">
        <f>SUM(MasterTable[[#This Row],[ILS]:[PAR]])</f>
        <v>0</v>
      </c>
      <c r="AL787" s="11"/>
      <c r="AR787" s="140" t="str">
        <f>_xlfn.XLOOKUP(MasterTable[[#This Row],[Aircraft ID]],Aircraft!A:A,Aircraft!H:H)</f>
        <v>Airplane Single Engine Land</v>
      </c>
      <c r="AS787" s="8" t="b">
        <f>OR((SUM(MasterTable[[#This Row],[ILS]:[PAR]]) = MasterTable[[#This Row],[APPR]]))</f>
        <v>1</v>
      </c>
      <c r="AT787" s="8" t="b">
        <f>NOT(ISBLANK(MasterTable[[#This Row],[Total
Time]]))</f>
        <v>1</v>
      </c>
    </row>
    <row r="788" spans="4:46" ht="28.8" x14ac:dyDescent="0.3">
      <c r="D788" s="22">
        <v>43758</v>
      </c>
      <c r="E788" s="8" t="s">
        <v>60</v>
      </c>
      <c r="F788" s="8" t="s">
        <v>204</v>
      </c>
      <c r="G788" s="8" t="s">
        <v>204</v>
      </c>
      <c r="I788" s="10">
        <v>1.1000000000000001</v>
      </c>
      <c r="J788" s="10">
        <v>1.1000000000000001</v>
      </c>
      <c r="L788" s="10">
        <v>0</v>
      </c>
      <c r="M788" s="13">
        <v>0</v>
      </c>
      <c r="N788" s="13"/>
      <c r="O788" s="10">
        <v>1.1000000000000001</v>
      </c>
      <c r="P788" s="10">
        <v>0</v>
      </c>
      <c r="Q788" s="14">
        <v>0</v>
      </c>
      <c r="R788" s="14">
        <v>0</v>
      </c>
      <c r="S788" s="10">
        <v>0</v>
      </c>
      <c r="T788" s="10">
        <v>0</v>
      </c>
      <c r="U788" s="14">
        <v>0</v>
      </c>
      <c r="V788" s="10"/>
      <c r="W788" s="11">
        <v>1</v>
      </c>
      <c r="X788" s="11">
        <v>1</v>
      </c>
      <c r="Y788" s="11">
        <v>0</v>
      </c>
      <c r="Z788" s="11">
        <v>0</v>
      </c>
      <c r="AA788" s="11">
        <f>MasterTable[[#This Row],[Landings
Night]]+MasterTable[[#This Row],[Landings
Day]]</f>
        <v>1</v>
      </c>
      <c r="AB788" s="10">
        <v>0</v>
      </c>
      <c r="AC788" s="10">
        <v>0</v>
      </c>
      <c r="AD788" s="11">
        <v>0</v>
      </c>
      <c r="AE788" s="21">
        <f>SUM(MasterTable[[#This Row],[ILS]:[PAR]])</f>
        <v>0</v>
      </c>
      <c r="AL788" s="11"/>
      <c r="AR788" s="140" t="str">
        <f>_xlfn.XLOOKUP(MasterTable[[#This Row],[Aircraft ID]],Aircraft!A:A,Aircraft!H:H)</f>
        <v>Airplane Single Engine Land</v>
      </c>
      <c r="AS788" s="8" t="b">
        <f>OR((SUM(MasterTable[[#This Row],[ILS]:[PAR]]) = MasterTable[[#This Row],[APPR]]))</f>
        <v>1</v>
      </c>
      <c r="AT788" s="8" t="b">
        <f>NOT(ISBLANK(MasterTable[[#This Row],[Total
Time]]))</f>
        <v>1</v>
      </c>
    </row>
    <row r="789" spans="4:46" ht="28.8" x14ac:dyDescent="0.3">
      <c r="D789" s="22">
        <v>43751</v>
      </c>
      <c r="E789" s="8" t="s">
        <v>60</v>
      </c>
      <c r="F789" s="8" t="s">
        <v>204</v>
      </c>
      <c r="G789" s="8" t="s">
        <v>204</v>
      </c>
      <c r="I789" s="10">
        <v>0.7</v>
      </c>
      <c r="J789" s="10">
        <v>0.7</v>
      </c>
      <c r="L789" s="10">
        <v>0</v>
      </c>
      <c r="M789" s="13">
        <v>0</v>
      </c>
      <c r="N789" s="13"/>
      <c r="O789" s="10">
        <v>0.7</v>
      </c>
      <c r="P789" s="10">
        <v>0</v>
      </c>
      <c r="Q789" s="14">
        <v>0</v>
      </c>
      <c r="R789" s="14">
        <v>0</v>
      </c>
      <c r="S789" s="10">
        <v>0</v>
      </c>
      <c r="T789" s="10">
        <v>0</v>
      </c>
      <c r="U789" s="14">
        <v>0</v>
      </c>
      <c r="V789" s="10"/>
      <c r="W789" s="11">
        <v>1</v>
      </c>
      <c r="X789" s="11">
        <v>1</v>
      </c>
      <c r="Y789" s="11">
        <v>0</v>
      </c>
      <c r="Z789" s="11">
        <v>0</v>
      </c>
      <c r="AA789" s="11">
        <f>MasterTable[[#This Row],[Landings
Night]]+MasterTable[[#This Row],[Landings
Day]]</f>
        <v>1</v>
      </c>
      <c r="AB789" s="10">
        <v>0</v>
      </c>
      <c r="AC789" s="10">
        <v>0</v>
      </c>
      <c r="AD789" s="11">
        <v>0</v>
      </c>
      <c r="AE789" s="21">
        <f>SUM(MasterTable[[#This Row],[ILS]:[PAR]])</f>
        <v>0</v>
      </c>
      <c r="AL789" s="11"/>
      <c r="AR789" s="140" t="str">
        <f>_xlfn.XLOOKUP(MasterTable[[#This Row],[Aircraft ID]],Aircraft!A:A,Aircraft!H:H)</f>
        <v>Airplane Single Engine Land</v>
      </c>
      <c r="AS789" s="8" t="b">
        <f>OR((SUM(MasterTable[[#This Row],[ILS]:[PAR]]) = MasterTable[[#This Row],[APPR]]))</f>
        <v>1</v>
      </c>
      <c r="AT789" s="8" t="b">
        <f>NOT(ISBLANK(MasterTable[[#This Row],[Total
Time]]))</f>
        <v>1</v>
      </c>
    </row>
    <row r="790" spans="4:46" ht="28.8" x14ac:dyDescent="0.3">
      <c r="D790" s="22">
        <v>43751</v>
      </c>
      <c r="E790" s="8" t="s">
        <v>60</v>
      </c>
      <c r="F790" s="8" t="s">
        <v>204</v>
      </c>
      <c r="G790" s="8" t="s">
        <v>204</v>
      </c>
      <c r="I790" s="10">
        <v>1.2</v>
      </c>
      <c r="J790" s="10">
        <v>1.2</v>
      </c>
      <c r="L790" s="10">
        <v>0</v>
      </c>
      <c r="M790" s="13">
        <v>0</v>
      </c>
      <c r="N790" s="13"/>
      <c r="O790" s="10">
        <v>1.2</v>
      </c>
      <c r="P790" s="10">
        <v>0</v>
      </c>
      <c r="Q790" s="14">
        <v>0</v>
      </c>
      <c r="R790" s="14">
        <v>0</v>
      </c>
      <c r="S790" s="10">
        <v>0</v>
      </c>
      <c r="T790" s="10">
        <v>0</v>
      </c>
      <c r="U790" s="14">
        <v>0</v>
      </c>
      <c r="V790" s="10"/>
      <c r="W790" s="11">
        <v>3</v>
      </c>
      <c r="X790" s="11">
        <v>3</v>
      </c>
      <c r="Y790" s="11">
        <v>0</v>
      </c>
      <c r="Z790" s="11">
        <v>0</v>
      </c>
      <c r="AA790" s="11">
        <f>MasterTable[[#This Row],[Landings
Night]]+MasterTable[[#This Row],[Landings
Day]]</f>
        <v>3</v>
      </c>
      <c r="AB790" s="10">
        <v>0</v>
      </c>
      <c r="AC790" s="10">
        <v>0</v>
      </c>
      <c r="AD790" s="11">
        <v>0</v>
      </c>
      <c r="AE790" s="21">
        <f>SUM(MasterTable[[#This Row],[ILS]:[PAR]])</f>
        <v>0</v>
      </c>
      <c r="AL790" s="11"/>
      <c r="AR790" s="140" t="str">
        <f>_xlfn.XLOOKUP(MasterTable[[#This Row],[Aircraft ID]],Aircraft!A:A,Aircraft!H:H)</f>
        <v>Airplane Single Engine Land</v>
      </c>
      <c r="AS790" s="8" t="b">
        <f>OR((SUM(MasterTable[[#This Row],[ILS]:[PAR]]) = MasterTable[[#This Row],[APPR]]))</f>
        <v>1</v>
      </c>
      <c r="AT790" s="8" t="b">
        <f>NOT(ISBLANK(MasterTable[[#This Row],[Total
Time]]))</f>
        <v>1</v>
      </c>
    </row>
    <row r="791" spans="4:46" ht="28.8" x14ac:dyDescent="0.3">
      <c r="D791" s="22">
        <v>43751</v>
      </c>
      <c r="E791" s="8" t="s">
        <v>75</v>
      </c>
      <c r="F791" s="8" t="s">
        <v>204</v>
      </c>
      <c r="G791" s="8" t="s">
        <v>204</v>
      </c>
      <c r="I791" s="10">
        <v>0.6</v>
      </c>
      <c r="J791" s="10">
        <v>0.6</v>
      </c>
      <c r="L791" s="10">
        <v>0</v>
      </c>
      <c r="M791" s="13">
        <v>0</v>
      </c>
      <c r="N791" s="13"/>
      <c r="O791" s="10">
        <v>0.6</v>
      </c>
      <c r="P791" s="10">
        <v>0</v>
      </c>
      <c r="Q791" s="14">
        <v>0</v>
      </c>
      <c r="R791" s="14">
        <v>0</v>
      </c>
      <c r="S791" s="10">
        <v>0</v>
      </c>
      <c r="T791" s="10">
        <v>0</v>
      </c>
      <c r="U791" s="14">
        <v>0</v>
      </c>
      <c r="V791" s="10"/>
      <c r="W791" s="11">
        <v>1</v>
      </c>
      <c r="X791" s="11">
        <v>1</v>
      </c>
      <c r="Y791" s="11">
        <v>0</v>
      </c>
      <c r="Z791" s="11">
        <v>0</v>
      </c>
      <c r="AA791" s="11">
        <f>MasterTable[[#This Row],[Landings
Night]]+MasterTable[[#This Row],[Landings
Day]]</f>
        <v>1</v>
      </c>
      <c r="AB791" s="10">
        <v>0</v>
      </c>
      <c r="AC791" s="10">
        <v>0</v>
      </c>
      <c r="AD791" s="11">
        <v>0</v>
      </c>
      <c r="AE791" s="21">
        <f>SUM(MasterTable[[#This Row],[ILS]:[PAR]])</f>
        <v>0</v>
      </c>
      <c r="AL791" s="11"/>
      <c r="AR791" s="140" t="str">
        <f>_xlfn.XLOOKUP(MasterTable[[#This Row],[Aircraft ID]],Aircraft!A:A,Aircraft!H:H)</f>
        <v>Airplane Single Engine Land</v>
      </c>
      <c r="AS791" s="8" t="b">
        <f>OR((SUM(MasterTable[[#This Row],[ILS]:[PAR]]) = MasterTable[[#This Row],[APPR]]))</f>
        <v>1</v>
      </c>
      <c r="AT791" s="8" t="b">
        <f>NOT(ISBLANK(MasterTable[[#This Row],[Total
Time]]))</f>
        <v>1</v>
      </c>
    </row>
    <row r="792" spans="4:46" ht="28.8" x14ac:dyDescent="0.3">
      <c r="D792" s="22">
        <v>43750</v>
      </c>
      <c r="E792" s="8" t="s">
        <v>75</v>
      </c>
      <c r="F792" s="8" t="s">
        <v>204</v>
      </c>
      <c r="G792" s="8" t="s">
        <v>204</v>
      </c>
      <c r="I792" s="10">
        <v>1.2</v>
      </c>
      <c r="J792" s="10">
        <v>1.2</v>
      </c>
      <c r="L792" s="10">
        <v>0</v>
      </c>
      <c r="M792" s="13">
        <v>0</v>
      </c>
      <c r="N792" s="13"/>
      <c r="O792" s="10">
        <v>1.2</v>
      </c>
      <c r="P792" s="10">
        <v>0</v>
      </c>
      <c r="Q792" s="14">
        <v>0</v>
      </c>
      <c r="R792" s="14">
        <v>0</v>
      </c>
      <c r="S792" s="10">
        <v>0</v>
      </c>
      <c r="T792" s="10">
        <v>0</v>
      </c>
      <c r="U792" s="14">
        <v>0</v>
      </c>
      <c r="V792" s="10"/>
      <c r="W792" s="11">
        <v>3</v>
      </c>
      <c r="X792" s="11">
        <v>3</v>
      </c>
      <c r="Y792" s="11">
        <v>0</v>
      </c>
      <c r="Z792" s="11">
        <v>0</v>
      </c>
      <c r="AA792" s="11">
        <f>MasterTable[[#This Row],[Landings
Night]]+MasterTable[[#This Row],[Landings
Day]]</f>
        <v>3</v>
      </c>
      <c r="AB792" s="10">
        <v>0</v>
      </c>
      <c r="AC792" s="10">
        <v>0</v>
      </c>
      <c r="AD792" s="11">
        <v>0</v>
      </c>
      <c r="AE792" s="21">
        <f>SUM(MasterTable[[#This Row],[ILS]:[PAR]])</f>
        <v>0</v>
      </c>
      <c r="AL792" s="11"/>
      <c r="AR792" s="140" t="str">
        <f>_xlfn.XLOOKUP(MasterTable[[#This Row],[Aircraft ID]],Aircraft!A:A,Aircraft!H:H)</f>
        <v>Airplane Single Engine Land</v>
      </c>
      <c r="AS792" s="8" t="b">
        <f>OR((SUM(MasterTable[[#This Row],[ILS]:[PAR]]) = MasterTable[[#This Row],[APPR]]))</f>
        <v>1</v>
      </c>
      <c r="AT792" s="8" t="b">
        <f>NOT(ISBLANK(MasterTable[[#This Row],[Total
Time]]))</f>
        <v>1</v>
      </c>
    </row>
    <row r="793" spans="4:46" ht="28.8" x14ac:dyDescent="0.3">
      <c r="D793" s="22">
        <v>43750</v>
      </c>
      <c r="E793" s="8" t="s">
        <v>75</v>
      </c>
      <c r="F793" s="8" t="s">
        <v>204</v>
      </c>
      <c r="G793" s="8" t="s">
        <v>204</v>
      </c>
      <c r="I793" s="10">
        <v>1.1000000000000001</v>
      </c>
      <c r="J793" s="10">
        <v>1.1000000000000001</v>
      </c>
      <c r="L793" s="10">
        <v>0</v>
      </c>
      <c r="M793" s="13">
        <v>0</v>
      </c>
      <c r="N793" s="13"/>
      <c r="O793" s="10">
        <v>1.1000000000000001</v>
      </c>
      <c r="P793" s="10">
        <v>0</v>
      </c>
      <c r="Q793" s="14">
        <v>0</v>
      </c>
      <c r="R793" s="14">
        <v>0</v>
      </c>
      <c r="S793" s="10">
        <v>0</v>
      </c>
      <c r="T793" s="10">
        <v>0</v>
      </c>
      <c r="U793" s="14">
        <v>0</v>
      </c>
      <c r="V793" s="10"/>
      <c r="W793" s="11">
        <v>3</v>
      </c>
      <c r="X793" s="11">
        <v>3</v>
      </c>
      <c r="Y793" s="11">
        <v>0</v>
      </c>
      <c r="Z793" s="11">
        <v>0</v>
      </c>
      <c r="AA793" s="11">
        <f>MasterTable[[#This Row],[Landings
Night]]+MasterTable[[#This Row],[Landings
Day]]</f>
        <v>3</v>
      </c>
      <c r="AB793" s="10">
        <v>0</v>
      </c>
      <c r="AC793" s="10">
        <v>0</v>
      </c>
      <c r="AD793" s="11">
        <v>0</v>
      </c>
      <c r="AE793" s="21">
        <f>SUM(MasterTable[[#This Row],[ILS]:[PAR]])</f>
        <v>0</v>
      </c>
      <c r="AL793" s="11"/>
      <c r="AR793" s="140" t="str">
        <f>_xlfn.XLOOKUP(MasterTable[[#This Row],[Aircraft ID]],Aircraft!A:A,Aircraft!H:H)</f>
        <v>Airplane Single Engine Land</v>
      </c>
      <c r="AS793" s="8" t="b">
        <f>OR((SUM(MasterTable[[#This Row],[ILS]:[PAR]]) = MasterTable[[#This Row],[APPR]]))</f>
        <v>1</v>
      </c>
      <c r="AT793" s="8" t="b">
        <f>NOT(ISBLANK(MasterTable[[#This Row],[Total
Time]]))</f>
        <v>1</v>
      </c>
    </row>
    <row r="794" spans="4:46" ht="28.8" x14ac:dyDescent="0.3">
      <c r="D794" s="22">
        <v>43750</v>
      </c>
      <c r="E794" s="8" t="s">
        <v>174</v>
      </c>
      <c r="F794" s="8" t="s">
        <v>204</v>
      </c>
      <c r="G794" s="8" t="s">
        <v>204</v>
      </c>
      <c r="I794" s="10">
        <v>1.4</v>
      </c>
      <c r="J794" s="10">
        <v>1.4</v>
      </c>
      <c r="L794" s="10">
        <v>0</v>
      </c>
      <c r="M794" s="13">
        <v>0</v>
      </c>
      <c r="N794" s="13"/>
      <c r="O794" s="10">
        <v>0</v>
      </c>
      <c r="P794" s="10">
        <v>0</v>
      </c>
      <c r="Q794" s="14">
        <v>0</v>
      </c>
      <c r="R794" s="14">
        <v>0</v>
      </c>
      <c r="S794" s="10">
        <v>0.2</v>
      </c>
      <c r="T794" s="10">
        <v>0</v>
      </c>
      <c r="U794" s="14">
        <v>0</v>
      </c>
      <c r="V794" s="10">
        <v>1.2</v>
      </c>
      <c r="W794" s="11">
        <v>1</v>
      </c>
      <c r="X794" s="11">
        <v>0</v>
      </c>
      <c r="Y794" s="11">
        <v>0</v>
      </c>
      <c r="Z794" s="11">
        <v>1</v>
      </c>
      <c r="AA794" s="11">
        <f>MasterTable[[#This Row],[Landings
Night]]+MasterTable[[#This Row],[Landings
Day]]</f>
        <v>1</v>
      </c>
      <c r="AB794" s="10">
        <v>0</v>
      </c>
      <c r="AC794" s="10">
        <v>0</v>
      </c>
      <c r="AD794" s="11">
        <v>0</v>
      </c>
      <c r="AE794" s="21">
        <f>SUM(MasterTable[[#This Row],[ILS]:[PAR]])</f>
        <v>0</v>
      </c>
      <c r="AL794" s="11"/>
      <c r="AR794" s="140" t="str">
        <f>_xlfn.XLOOKUP(MasterTable[[#This Row],[Aircraft ID]],Aircraft!A:A,Aircraft!H:H)</f>
        <v>Airplane Single Engine Land</v>
      </c>
      <c r="AS794" s="8" t="b">
        <f>OR((SUM(MasterTable[[#This Row],[ILS]:[PAR]]) = MasterTable[[#This Row],[APPR]]))</f>
        <v>1</v>
      </c>
      <c r="AT794" s="8" t="b">
        <f>NOT(ISBLANK(MasterTable[[#This Row],[Total
Time]]))</f>
        <v>1</v>
      </c>
    </row>
    <row r="795" spans="4:46" ht="28.8" x14ac:dyDescent="0.3">
      <c r="D795" s="22">
        <v>43744</v>
      </c>
      <c r="E795" s="8" t="s">
        <v>174</v>
      </c>
      <c r="F795" s="8" t="s">
        <v>202</v>
      </c>
      <c r="G795" s="8" t="s">
        <v>204</v>
      </c>
      <c r="I795" s="10">
        <v>1.2</v>
      </c>
      <c r="J795" s="10">
        <v>1.2</v>
      </c>
      <c r="L795" s="10">
        <v>0</v>
      </c>
      <c r="M795" s="13">
        <v>0</v>
      </c>
      <c r="N795" s="13"/>
      <c r="O795" s="10">
        <v>0</v>
      </c>
      <c r="P795" s="10">
        <v>0</v>
      </c>
      <c r="Q795" s="14">
        <v>0</v>
      </c>
      <c r="R795" s="14">
        <v>0</v>
      </c>
      <c r="S795" s="10">
        <v>0</v>
      </c>
      <c r="T795" s="10">
        <v>1.2</v>
      </c>
      <c r="U795" s="14">
        <v>0</v>
      </c>
      <c r="V795" s="10"/>
      <c r="W795" s="11">
        <v>1</v>
      </c>
      <c r="X795" s="11">
        <v>1</v>
      </c>
      <c r="Y795" s="11">
        <v>0</v>
      </c>
      <c r="Z795" s="11">
        <v>0</v>
      </c>
      <c r="AA795" s="11">
        <f>MasterTable[[#This Row],[Landings
Night]]+MasterTable[[#This Row],[Landings
Day]]</f>
        <v>1</v>
      </c>
      <c r="AB795" s="10">
        <v>0</v>
      </c>
      <c r="AC795" s="10">
        <v>0</v>
      </c>
      <c r="AD795" s="11">
        <v>0</v>
      </c>
      <c r="AE795" s="21">
        <f>SUM(MasterTable[[#This Row],[ILS]:[PAR]])</f>
        <v>0</v>
      </c>
      <c r="AL795" s="11"/>
      <c r="AR795" s="140" t="str">
        <f>_xlfn.XLOOKUP(MasterTable[[#This Row],[Aircraft ID]],Aircraft!A:A,Aircraft!H:H)</f>
        <v>Airplane Single Engine Land</v>
      </c>
      <c r="AS795" s="8" t="b">
        <f>OR((SUM(MasterTable[[#This Row],[ILS]:[PAR]]) = MasterTable[[#This Row],[APPR]]))</f>
        <v>1</v>
      </c>
      <c r="AT795" s="8" t="b">
        <f>NOT(ISBLANK(MasterTable[[#This Row],[Total
Time]]))</f>
        <v>1</v>
      </c>
    </row>
    <row r="796" spans="4:46" ht="28.8" x14ac:dyDescent="0.3">
      <c r="D796" s="22">
        <v>43743</v>
      </c>
      <c r="E796" s="8" t="s">
        <v>174</v>
      </c>
      <c r="F796" s="8" t="s">
        <v>202</v>
      </c>
      <c r="G796" s="8" t="s">
        <v>202</v>
      </c>
      <c r="I796" s="10">
        <v>1</v>
      </c>
      <c r="J796" s="10">
        <v>1</v>
      </c>
      <c r="L796" s="10">
        <v>0</v>
      </c>
      <c r="M796" s="13">
        <v>0</v>
      </c>
      <c r="N796" s="13"/>
      <c r="O796" s="10">
        <v>0</v>
      </c>
      <c r="P796" s="10">
        <v>0</v>
      </c>
      <c r="Q796" s="14">
        <v>0</v>
      </c>
      <c r="R796" s="14">
        <v>0</v>
      </c>
      <c r="S796" s="10">
        <v>0</v>
      </c>
      <c r="T796" s="10">
        <v>0</v>
      </c>
      <c r="U796" s="14">
        <v>0</v>
      </c>
      <c r="V796" s="10"/>
      <c r="W796" s="11">
        <v>1</v>
      </c>
      <c r="X796" s="11">
        <v>1</v>
      </c>
      <c r="Y796" s="11">
        <v>0</v>
      </c>
      <c r="Z796" s="11">
        <v>0</v>
      </c>
      <c r="AA796" s="11">
        <f>MasterTable[[#This Row],[Landings
Night]]+MasterTable[[#This Row],[Landings
Day]]</f>
        <v>1</v>
      </c>
      <c r="AB796" s="10">
        <v>0</v>
      </c>
      <c r="AC796" s="10">
        <v>0</v>
      </c>
      <c r="AD796" s="11">
        <v>0</v>
      </c>
      <c r="AE796" s="21">
        <f>SUM(MasterTable[[#This Row],[ILS]:[PAR]])</f>
        <v>0</v>
      </c>
      <c r="AL796" s="11"/>
      <c r="AR796" s="140" t="str">
        <f>_xlfn.XLOOKUP(MasterTable[[#This Row],[Aircraft ID]],Aircraft!A:A,Aircraft!H:H)</f>
        <v>Airplane Single Engine Land</v>
      </c>
      <c r="AS796" s="8" t="b">
        <f>OR((SUM(MasterTable[[#This Row],[ILS]:[PAR]]) = MasterTable[[#This Row],[APPR]]))</f>
        <v>1</v>
      </c>
      <c r="AT796" s="8" t="b">
        <f>NOT(ISBLANK(MasterTable[[#This Row],[Total
Time]]))</f>
        <v>1</v>
      </c>
    </row>
    <row r="797" spans="4:46" ht="28.8" x14ac:dyDescent="0.3">
      <c r="D797" s="22">
        <v>43743</v>
      </c>
      <c r="E797" s="8" t="s">
        <v>174</v>
      </c>
      <c r="F797" s="8" t="s">
        <v>204</v>
      </c>
      <c r="G797" s="8" t="s">
        <v>202</v>
      </c>
      <c r="I797" s="10">
        <v>1.1000000000000001</v>
      </c>
      <c r="J797" s="10">
        <v>1.1000000000000001</v>
      </c>
      <c r="L797" s="10">
        <v>0</v>
      </c>
      <c r="M797" s="13">
        <v>0</v>
      </c>
      <c r="N797" s="13"/>
      <c r="O797" s="10">
        <v>0</v>
      </c>
      <c r="P797" s="10">
        <v>0</v>
      </c>
      <c r="Q797" s="14">
        <v>0</v>
      </c>
      <c r="R797" s="14">
        <v>0</v>
      </c>
      <c r="S797" s="10">
        <v>0</v>
      </c>
      <c r="T797" s="10">
        <v>1.1000000000000001</v>
      </c>
      <c r="U797" s="14">
        <v>0</v>
      </c>
      <c r="V797" s="10"/>
      <c r="W797" s="11">
        <v>1</v>
      </c>
      <c r="X797" s="11">
        <v>1</v>
      </c>
      <c r="Y797" s="11">
        <v>0</v>
      </c>
      <c r="Z797" s="11">
        <v>0</v>
      </c>
      <c r="AA797" s="11">
        <f>MasterTable[[#This Row],[Landings
Night]]+MasterTable[[#This Row],[Landings
Day]]</f>
        <v>1</v>
      </c>
      <c r="AB797" s="10">
        <v>0</v>
      </c>
      <c r="AC797" s="10">
        <v>0.4</v>
      </c>
      <c r="AD797" s="11">
        <v>0</v>
      </c>
      <c r="AE797" s="21">
        <f>SUM(MasterTable[[#This Row],[ILS]:[PAR]])</f>
        <v>1</v>
      </c>
      <c r="AF797" s="11">
        <v>1</v>
      </c>
      <c r="AL797" s="11">
        <v>1</v>
      </c>
      <c r="AR797" s="140" t="str">
        <f>_xlfn.XLOOKUP(MasterTable[[#This Row],[Aircraft ID]],Aircraft!A:A,Aircraft!H:H)</f>
        <v>Airplane Single Engine Land</v>
      </c>
      <c r="AS797" s="8" t="b">
        <f>OR((SUM(MasterTable[[#This Row],[ILS]:[PAR]]) = MasterTable[[#This Row],[APPR]]))</f>
        <v>1</v>
      </c>
      <c r="AT797" s="8" t="b">
        <f>NOT(ISBLANK(MasterTable[[#This Row],[Total
Time]]))</f>
        <v>1</v>
      </c>
    </row>
    <row r="798" spans="4:46" ht="28.8" x14ac:dyDescent="0.3">
      <c r="D798" s="22">
        <v>43739</v>
      </c>
      <c r="E798" s="8" t="s">
        <v>174</v>
      </c>
      <c r="F798" s="8" t="s">
        <v>204</v>
      </c>
      <c r="G798" s="8" t="s">
        <v>204</v>
      </c>
      <c r="I798" s="10">
        <v>1.3</v>
      </c>
      <c r="J798" s="10">
        <v>1.3</v>
      </c>
      <c r="L798" s="10">
        <v>0</v>
      </c>
      <c r="M798" s="13">
        <v>0</v>
      </c>
      <c r="N798" s="13"/>
      <c r="O798" s="10">
        <v>0</v>
      </c>
      <c r="P798" s="10">
        <v>0</v>
      </c>
      <c r="Q798" s="14">
        <v>0</v>
      </c>
      <c r="R798" s="14">
        <v>0</v>
      </c>
      <c r="S798" s="10">
        <v>0</v>
      </c>
      <c r="T798" s="10">
        <v>0</v>
      </c>
      <c r="U798" s="14">
        <v>0</v>
      </c>
      <c r="V798" s="10"/>
      <c r="W798" s="11">
        <v>1</v>
      </c>
      <c r="X798" s="11">
        <v>1</v>
      </c>
      <c r="Y798" s="11">
        <v>0</v>
      </c>
      <c r="Z798" s="11">
        <v>0</v>
      </c>
      <c r="AA798" s="11">
        <f>MasterTable[[#This Row],[Landings
Night]]+MasterTable[[#This Row],[Landings
Day]]</f>
        <v>1</v>
      </c>
      <c r="AB798" s="10">
        <v>0</v>
      </c>
      <c r="AC798" s="10">
        <v>0.5</v>
      </c>
      <c r="AD798" s="11">
        <v>0</v>
      </c>
      <c r="AE798" s="21">
        <f>SUM(MasterTable[[#This Row],[ILS]:[PAR]])</f>
        <v>1</v>
      </c>
      <c r="AF798" s="11">
        <v>1</v>
      </c>
      <c r="AL798" s="11"/>
      <c r="AR798" s="140" t="str">
        <f>_xlfn.XLOOKUP(MasterTable[[#This Row],[Aircraft ID]],Aircraft!A:A,Aircraft!H:H)</f>
        <v>Airplane Single Engine Land</v>
      </c>
      <c r="AS798" s="8" t="b">
        <f>OR((SUM(MasterTable[[#This Row],[ILS]:[PAR]]) = MasterTable[[#This Row],[APPR]]))</f>
        <v>1</v>
      </c>
      <c r="AT798" s="8" t="b">
        <f>NOT(ISBLANK(MasterTable[[#This Row],[Total
Time]]))</f>
        <v>1</v>
      </c>
    </row>
    <row r="799" spans="4:46" ht="28.8" x14ac:dyDescent="0.3">
      <c r="D799" s="22">
        <v>43724</v>
      </c>
      <c r="E799" s="8" t="s">
        <v>174</v>
      </c>
      <c r="F799" s="8" t="s">
        <v>202</v>
      </c>
      <c r="G799" s="8" t="s">
        <v>204</v>
      </c>
      <c r="I799" s="10">
        <v>1.7</v>
      </c>
      <c r="J799" s="10">
        <v>1.7</v>
      </c>
      <c r="L799" s="10">
        <v>0</v>
      </c>
      <c r="M799" s="13">
        <v>0</v>
      </c>
      <c r="N799" s="13"/>
      <c r="O799" s="10">
        <v>0</v>
      </c>
      <c r="P799" s="10">
        <v>0</v>
      </c>
      <c r="Q799" s="14">
        <v>0</v>
      </c>
      <c r="R799" s="14">
        <v>0</v>
      </c>
      <c r="S799" s="10">
        <v>0</v>
      </c>
      <c r="T799" s="10">
        <v>1.7</v>
      </c>
      <c r="U799" s="14">
        <v>0</v>
      </c>
      <c r="V799" s="10"/>
      <c r="W799" s="11">
        <v>1</v>
      </c>
      <c r="X799" s="11">
        <v>1</v>
      </c>
      <c r="Y799" s="11">
        <v>0</v>
      </c>
      <c r="Z799" s="11">
        <v>0</v>
      </c>
      <c r="AA799" s="11">
        <f>MasterTable[[#This Row],[Landings
Night]]+MasterTable[[#This Row],[Landings
Day]]</f>
        <v>1</v>
      </c>
      <c r="AB799" s="10">
        <v>0</v>
      </c>
      <c r="AC799" s="10">
        <v>0</v>
      </c>
      <c r="AD799" s="11">
        <v>0</v>
      </c>
      <c r="AE799" s="21">
        <f>SUM(MasterTable[[#This Row],[ILS]:[PAR]])</f>
        <v>0</v>
      </c>
      <c r="AL799" s="11"/>
      <c r="AR799" s="140" t="str">
        <f>_xlfn.XLOOKUP(MasterTable[[#This Row],[Aircraft ID]],Aircraft!A:A,Aircraft!H:H)</f>
        <v>Airplane Single Engine Land</v>
      </c>
      <c r="AS799" s="8" t="b">
        <f>OR((SUM(MasterTable[[#This Row],[ILS]:[PAR]]) = MasterTable[[#This Row],[APPR]]))</f>
        <v>1</v>
      </c>
      <c r="AT799" s="8" t="b">
        <f>NOT(ISBLANK(MasterTable[[#This Row],[Total
Time]]))</f>
        <v>1</v>
      </c>
    </row>
    <row r="800" spans="4:46" ht="28.8" x14ac:dyDescent="0.3">
      <c r="D800" s="22">
        <v>43723</v>
      </c>
      <c r="E800" s="8" t="s">
        <v>174</v>
      </c>
      <c r="F800" s="8" t="s">
        <v>202</v>
      </c>
      <c r="G800" s="8" t="s">
        <v>202</v>
      </c>
      <c r="I800" s="10">
        <v>0.9</v>
      </c>
      <c r="J800" s="10">
        <v>0.9</v>
      </c>
      <c r="L800" s="10">
        <v>0</v>
      </c>
      <c r="M800" s="13">
        <v>0</v>
      </c>
      <c r="N800" s="13"/>
      <c r="O800" s="10">
        <v>0.9</v>
      </c>
      <c r="P800" s="10">
        <v>0</v>
      </c>
      <c r="Q800" s="14">
        <v>0</v>
      </c>
      <c r="R800" s="14">
        <v>0</v>
      </c>
      <c r="S800" s="10">
        <v>0</v>
      </c>
      <c r="T800" s="10">
        <v>0</v>
      </c>
      <c r="U800" s="14">
        <v>0</v>
      </c>
      <c r="V800" s="10"/>
      <c r="W800" s="11">
        <v>1</v>
      </c>
      <c r="X800" s="11">
        <v>1</v>
      </c>
      <c r="Y800" s="11">
        <v>0</v>
      </c>
      <c r="Z800" s="11">
        <v>0</v>
      </c>
      <c r="AA800" s="11">
        <f>MasterTable[[#This Row],[Landings
Night]]+MasterTable[[#This Row],[Landings
Day]]</f>
        <v>1</v>
      </c>
      <c r="AB800" s="10">
        <v>0</v>
      </c>
      <c r="AC800" s="10">
        <v>0</v>
      </c>
      <c r="AD800" s="11">
        <v>0</v>
      </c>
      <c r="AE800" s="21">
        <f>SUM(MasterTable[[#This Row],[ILS]:[PAR]])</f>
        <v>0</v>
      </c>
      <c r="AL800" s="11"/>
      <c r="AR800" s="140" t="str">
        <f>_xlfn.XLOOKUP(MasterTable[[#This Row],[Aircraft ID]],Aircraft!A:A,Aircraft!H:H)</f>
        <v>Airplane Single Engine Land</v>
      </c>
      <c r="AS800" s="8" t="b">
        <f>OR((SUM(MasterTable[[#This Row],[ILS]:[PAR]]) = MasterTable[[#This Row],[APPR]]))</f>
        <v>1</v>
      </c>
      <c r="AT800" s="8" t="b">
        <f>NOT(ISBLANK(MasterTable[[#This Row],[Total
Time]]))</f>
        <v>1</v>
      </c>
    </row>
    <row r="801" spans="4:46" ht="28.8" x14ac:dyDescent="0.3">
      <c r="D801" s="22">
        <v>43723</v>
      </c>
      <c r="E801" s="8" t="s">
        <v>174</v>
      </c>
      <c r="F801" s="8" t="s">
        <v>204</v>
      </c>
      <c r="G801" s="8" t="s">
        <v>202</v>
      </c>
      <c r="H801" s="8" t="s">
        <v>276</v>
      </c>
      <c r="I801" s="10">
        <v>2.1</v>
      </c>
      <c r="J801" s="10">
        <v>2.1</v>
      </c>
      <c r="L801" s="10">
        <v>0</v>
      </c>
      <c r="M801" s="13">
        <v>0</v>
      </c>
      <c r="N801" s="13"/>
      <c r="O801" s="10">
        <v>0</v>
      </c>
      <c r="P801" s="10">
        <v>0</v>
      </c>
      <c r="Q801" s="14">
        <v>0</v>
      </c>
      <c r="R801" s="14">
        <v>0</v>
      </c>
      <c r="S801" s="10">
        <v>0</v>
      </c>
      <c r="T801" s="10">
        <v>2.1</v>
      </c>
      <c r="U801" s="14">
        <v>0</v>
      </c>
      <c r="V801" s="10"/>
      <c r="W801" s="11">
        <v>4</v>
      </c>
      <c r="X801" s="11">
        <v>4</v>
      </c>
      <c r="Y801" s="11">
        <v>0</v>
      </c>
      <c r="Z801" s="11">
        <v>0</v>
      </c>
      <c r="AA801" s="11">
        <f>MasterTable[[#This Row],[Landings
Night]]+MasterTable[[#This Row],[Landings
Day]]</f>
        <v>4</v>
      </c>
      <c r="AB801" s="10">
        <v>0</v>
      </c>
      <c r="AC801" s="10">
        <v>0</v>
      </c>
      <c r="AD801" s="11">
        <v>0</v>
      </c>
      <c r="AE801" s="21">
        <f>SUM(MasterTable[[#This Row],[ILS]:[PAR]])</f>
        <v>0</v>
      </c>
      <c r="AL801" s="11"/>
      <c r="AR801" s="140" t="str">
        <f>_xlfn.XLOOKUP(MasterTable[[#This Row],[Aircraft ID]],Aircraft!A:A,Aircraft!H:H)</f>
        <v>Airplane Single Engine Land</v>
      </c>
      <c r="AS801" s="8" t="b">
        <f>OR((SUM(MasterTable[[#This Row],[ILS]:[PAR]]) = MasterTable[[#This Row],[APPR]]))</f>
        <v>1</v>
      </c>
      <c r="AT801" s="8" t="b">
        <f>NOT(ISBLANK(MasterTable[[#This Row],[Total
Time]]))</f>
        <v>1</v>
      </c>
    </row>
    <row r="802" spans="4:46" ht="28.8" x14ac:dyDescent="0.3">
      <c r="D802" s="22">
        <v>43721</v>
      </c>
      <c r="E802" s="8" t="s">
        <v>174</v>
      </c>
      <c r="F802" s="8" t="s">
        <v>202</v>
      </c>
      <c r="G802" s="8" t="s">
        <v>220</v>
      </c>
      <c r="H802" s="8" t="s">
        <v>277</v>
      </c>
      <c r="I802" s="10">
        <v>2.2999999999999998</v>
      </c>
      <c r="J802" s="10">
        <v>2.2999999999999998</v>
      </c>
      <c r="L802" s="10">
        <v>0</v>
      </c>
      <c r="M802" s="13">
        <v>0</v>
      </c>
      <c r="N802" s="13"/>
      <c r="O802" s="10">
        <v>0</v>
      </c>
      <c r="P802" s="10">
        <v>0</v>
      </c>
      <c r="Q802" s="14">
        <v>0</v>
      </c>
      <c r="R802" s="14">
        <v>0</v>
      </c>
      <c r="S802" s="10">
        <v>0</v>
      </c>
      <c r="T802" s="10">
        <v>0</v>
      </c>
      <c r="U802" s="14">
        <v>0</v>
      </c>
      <c r="V802" s="10"/>
      <c r="W802" s="11">
        <v>5</v>
      </c>
      <c r="X802" s="11">
        <v>5</v>
      </c>
      <c r="Y802" s="11">
        <v>0</v>
      </c>
      <c r="Z802" s="11">
        <v>0</v>
      </c>
      <c r="AA802" s="11">
        <f>MasterTable[[#This Row],[Landings
Night]]+MasterTable[[#This Row],[Landings
Day]]</f>
        <v>5</v>
      </c>
      <c r="AB802" s="10">
        <v>0</v>
      </c>
      <c r="AC802" s="10">
        <v>0</v>
      </c>
      <c r="AD802" s="11">
        <v>0</v>
      </c>
      <c r="AE802" s="21">
        <f>SUM(MasterTable[[#This Row],[ILS]:[PAR]])</f>
        <v>0</v>
      </c>
      <c r="AL802" s="11"/>
      <c r="AR802" s="140" t="str">
        <f>_xlfn.XLOOKUP(MasterTable[[#This Row],[Aircraft ID]],Aircraft!A:A,Aircraft!H:H)</f>
        <v>Airplane Single Engine Land</v>
      </c>
      <c r="AS802" s="8" t="b">
        <f>OR((SUM(MasterTable[[#This Row],[ILS]:[PAR]]) = MasterTable[[#This Row],[APPR]]))</f>
        <v>1</v>
      </c>
      <c r="AT802" s="8" t="b">
        <f>NOT(ISBLANK(MasterTable[[#This Row],[Total
Time]]))</f>
        <v>1</v>
      </c>
    </row>
    <row r="803" spans="4:46" ht="28.8" x14ac:dyDescent="0.3">
      <c r="D803" s="22">
        <v>43685</v>
      </c>
      <c r="E803" s="8" t="s">
        <v>50</v>
      </c>
      <c r="F803" s="8" t="s">
        <v>202</v>
      </c>
      <c r="G803" s="8" t="s">
        <v>278</v>
      </c>
      <c r="I803" s="10">
        <v>4.4000000000000004</v>
      </c>
      <c r="J803" s="10">
        <v>0</v>
      </c>
      <c r="L803" s="10">
        <v>4.4000000000000004</v>
      </c>
      <c r="M803" s="13">
        <v>0</v>
      </c>
      <c r="N803" s="13"/>
      <c r="O803" s="10">
        <v>0</v>
      </c>
      <c r="P803" s="10">
        <v>0</v>
      </c>
      <c r="Q803" s="14">
        <v>0</v>
      </c>
      <c r="R803" s="14">
        <v>0</v>
      </c>
      <c r="S803" s="10">
        <v>0</v>
      </c>
      <c r="T803" s="10">
        <v>4.4000000000000004</v>
      </c>
      <c r="U803" s="14">
        <v>0</v>
      </c>
      <c r="V803" s="10"/>
      <c r="W803" s="11">
        <v>2</v>
      </c>
      <c r="X803" s="11">
        <v>2</v>
      </c>
      <c r="Y803" s="11">
        <v>0</v>
      </c>
      <c r="Z803" s="11">
        <v>0</v>
      </c>
      <c r="AA803" s="11">
        <f>MasterTable[[#This Row],[Landings
Night]]+MasterTable[[#This Row],[Landings
Day]]</f>
        <v>2</v>
      </c>
      <c r="AB803" s="10">
        <v>3</v>
      </c>
      <c r="AC803" s="10">
        <v>0</v>
      </c>
      <c r="AD803" s="11">
        <v>0</v>
      </c>
      <c r="AE803" s="21">
        <f>SUM(MasterTable[[#This Row],[ILS]:[PAR]])</f>
        <v>1</v>
      </c>
      <c r="AI803" s="11">
        <v>1</v>
      </c>
      <c r="AL803" s="11"/>
      <c r="AR803" s="140" t="str">
        <f>_xlfn.XLOOKUP(MasterTable[[#This Row],[Aircraft ID]],Aircraft!A:A,Aircraft!H:H)</f>
        <v>Airplane Multi Engine Land</v>
      </c>
      <c r="AS803" s="8" t="b">
        <f>OR((SUM(MasterTable[[#This Row],[ILS]:[PAR]]) = MasterTable[[#This Row],[APPR]]))</f>
        <v>1</v>
      </c>
      <c r="AT803" s="8" t="b">
        <f>NOT(ISBLANK(MasterTable[[#This Row],[Total
Time]]))</f>
        <v>1</v>
      </c>
    </row>
    <row r="804" spans="4:46" ht="28.8" x14ac:dyDescent="0.3">
      <c r="D804" s="22">
        <v>43682</v>
      </c>
      <c r="E804" s="8" t="s">
        <v>36</v>
      </c>
      <c r="F804" s="8" t="s">
        <v>204</v>
      </c>
      <c r="G804" s="8" t="s">
        <v>202</v>
      </c>
      <c r="I804" s="10">
        <v>1</v>
      </c>
      <c r="J804" s="10">
        <v>1</v>
      </c>
      <c r="L804" s="10">
        <v>0</v>
      </c>
      <c r="M804" s="13">
        <v>0</v>
      </c>
      <c r="N804" s="13"/>
      <c r="O804" s="10">
        <v>0</v>
      </c>
      <c r="P804" s="10">
        <v>0</v>
      </c>
      <c r="Q804" s="14">
        <v>0</v>
      </c>
      <c r="R804" s="14">
        <v>0</v>
      </c>
      <c r="S804" s="10">
        <v>0</v>
      </c>
      <c r="T804" s="10">
        <v>1</v>
      </c>
      <c r="U804" s="14">
        <v>0</v>
      </c>
      <c r="V804" s="10"/>
      <c r="W804" s="11">
        <v>1</v>
      </c>
      <c r="X804" s="11">
        <v>1</v>
      </c>
      <c r="Y804" s="11">
        <v>0</v>
      </c>
      <c r="Z804" s="11">
        <v>0</v>
      </c>
      <c r="AA804" s="11">
        <f>MasterTable[[#This Row],[Landings
Night]]+MasterTable[[#This Row],[Landings
Day]]</f>
        <v>1</v>
      </c>
      <c r="AB804" s="10">
        <v>0</v>
      </c>
      <c r="AC804" s="10">
        <v>0</v>
      </c>
      <c r="AD804" s="11">
        <v>0</v>
      </c>
      <c r="AE804" s="21">
        <f>SUM(MasterTable[[#This Row],[ILS]:[PAR]])</f>
        <v>1</v>
      </c>
      <c r="AF804" s="11">
        <v>1</v>
      </c>
      <c r="AL804" s="11"/>
      <c r="AR804" s="140" t="str">
        <f>_xlfn.XLOOKUP(MasterTable[[#This Row],[Aircraft ID]],Aircraft!A:A,Aircraft!H:H)</f>
        <v>Airplane Single Engine Land</v>
      </c>
      <c r="AS804" s="8" t="b">
        <f>OR((SUM(MasterTable[[#This Row],[ILS]:[PAR]]) = MasterTable[[#This Row],[APPR]]))</f>
        <v>1</v>
      </c>
      <c r="AT804" s="8" t="b">
        <f>NOT(ISBLANK(MasterTable[[#This Row],[Total
Time]]))</f>
        <v>1</v>
      </c>
    </row>
    <row r="805" spans="4:46" ht="28.8" x14ac:dyDescent="0.3">
      <c r="D805" s="22">
        <v>43681</v>
      </c>
      <c r="E805" s="8" t="s">
        <v>36</v>
      </c>
      <c r="F805" s="8" t="s">
        <v>244</v>
      </c>
      <c r="G805" s="8" t="s">
        <v>204</v>
      </c>
      <c r="H805" s="8" t="s">
        <v>279</v>
      </c>
      <c r="I805" s="10">
        <v>2.2000000000000002</v>
      </c>
      <c r="J805" s="10">
        <v>2.2000000000000002</v>
      </c>
      <c r="L805" s="10">
        <v>0</v>
      </c>
      <c r="M805" s="13">
        <v>0</v>
      </c>
      <c r="N805" s="13"/>
      <c r="O805" s="10">
        <v>0</v>
      </c>
      <c r="P805" s="10">
        <v>0</v>
      </c>
      <c r="Q805" s="14">
        <v>0</v>
      </c>
      <c r="R805" s="14">
        <v>0</v>
      </c>
      <c r="S805" s="10">
        <v>0</v>
      </c>
      <c r="T805" s="10">
        <v>2.2000000000000002</v>
      </c>
      <c r="U805" s="14">
        <v>0</v>
      </c>
      <c r="V805" s="10"/>
      <c r="W805" s="11">
        <v>2</v>
      </c>
      <c r="X805" s="11">
        <v>2</v>
      </c>
      <c r="Y805" s="11">
        <v>0</v>
      </c>
      <c r="Z805" s="11">
        <v>0</v>
      </c>
      <c r="AA805" s="11">
        <f>MasterTable[[#This Row],[Landings
Night]]+MasterTable[[#This Row],[Landings
Day]]</f>
        <v>2</v>
      </c>
      <c r="AB805" s="10">
        <v>0</v>
      </c>
      <c r="AC805" s="10">
        <v>0</v>
      </c>
      <c r="AD805" s="11">
        <v>0</v>
      </c>
      <c r="AE805" s="21">
        <f>SUM(MasterTable[[#This Row],[ILS]:[PAR]])</f>
        <v>2</v>
      </c>
      <c r="AF805" s="11">
        <v>1</v>
      </c>
      <c r="AG805" s="11">
        <v>1</v>
      </c>
      <c r="AL805" s="11"/>
      <c r="AR805" s="140" t="str">
        <f>_xlfn.XLOOKUP(MasterTable[[#This Row],[Aircraft ID]],Aircraft!A:A,Aircraft!H:H)</f>
        <v>Airplane Single Engine Land</v>
      </c>
      <c r="AS805" s="8" t="b">
        <f>OR((SUM(MasterTable[[#This Row],[ILS]:[PAR]]) = MasterTable[[#This Row],[APPR]]))</f>
        <v>1</v>
      </c>
      <c r="AT805" s="8" t="b">
        <f>NOT(ISBLANK(MasterTable[[#This Row],[Total
Time]]))</f>
        <v>1</v>
      </c>
    </row>
    <row r="806" spans="4:46" ht="28.8" x14ac:dyDescent="0.3">
      <c r="D806" s="22">
        <v>43681</v>
      </c>
      <c r="E806" s="8" t="s">
        <v>22</v>
      </c>
      <c r="F806" s="8" t="s">
        <v>204</v>
      </c>
      <c r="G806" s="8" t="s">
        <v>204</v>
      </c>
      <c r="I806" s="10">
        <v>1.2</v>
      </c>
      <c r="J806" s="10">
        <v>1.2</v>
      </c>
      <c r="L806" s="10">
        <v>0</v>
      </c>
      <c r="M806" s="13">
        <v>0</v>
      </c>
      <c r="N806" s="13"/>
      <c r="O806" s="10">
        <v>1.2</v>
      </c>
      <c r="P806" s="10">
        <v>0</v>
      </c>
      <c r="Q806" s="14">
        <v>0</v>
      </c>
      <c r="R806" s="14">
        <v>0</v>
      </c>
      <c r="S806" s="10">
        <v>0</v>
      </c>
      <c r="T806" s="10">
        <v>0</v>
      </c>
      <c r="U806" s="14">
        <v>0</v>
      </c>
      <c r="V806" s="10"/>
      <c r="W806" s="11">
        <v>1</v>
      </c>
      <c r="X806" s="11">
        <v>1</v>
      </c>
      <c r="Y806" s="11">
        <v>0</v>
      </c>
      <c r="Z806" s="11">
        <v>0</v>
      </c>
      <c r="AA806" s="11">
        <f>MasterTable[[#This Row],[Landings
Night]]+MasterTable[[#This Row],[Landings
Day]]</f>
        <v>1</v>
      </c>
      <c r="AB806" s="10">
        <v>0</v>
      </c>
      <c r="AC806" s="10">
        <v>0</v>
      </c>
      <c r="AD806" s="11">
        <v>0</v>
      </c>
      <c r="AE806" s="21">
        <f>SUM(MasterTable[[#This Row],[ILS]:[PAR]])</f>
        <v>0</v>
      </c>
      <c r="AL806" s="11"/>
      <c r="AR806" s="140" t="str">
        <f>_xlfn.XLOOKUP(MasterTable[[#This Row],[Aircraft ID]],Aircraft!A:A,Aircraft!H:H)</f>
        <v>Airplane Single Engine Land</v>
      </c>
      <c r="AS806" s="8" t="b">
        <f>OR((SUM(MasterTable[[#This Row],[ILS]:[PAR]]) = MasterTable[[#This Row],[APPR]]))</f>
        <v>1</v>
      </c>
      <c r="AT806" s="8" t="b">
        <f>NOT(ISBLANK(MasterTable[[#This Row],[Total
Time]]))</f>
        <v>1</v>
      </c>
    </row>
    <row r="807" spans="4:46" ht="28.8" x14ac:dyDescent="0.3">
      <c r="D807" s="22">
        <v>43680</v>
      </c>
      <c r="E807" s="8" t="s">
        <v>36</v>
      </c>
      <c r="F807" s="8" t="s">
        <v>202</v>
      </c>
      <c r="G807" s="8" t="s">
        <v>244</v>
      </c>
      <c r="H807" s="8" t="s">
        <v>280</v>
      </c>
      <c r="I807" s="10">
        <v>3.6</v>
      </c>
      <c r="J807" s="10">
        <v>3.6</v>
      </c>
      <c r="L807" s="10">
        <v>0</v>
      </c>
      <c r="M807" s="13">
        <v>0</v>
      </c>
      <c r="N807" s="13"/>
      <c r="O807" s="10">
        <v>0</v>
      </c>
      <c r="P807" s="10">
        <v>0</v>
      </c>
      <c r="Q807" s="14">
        <v>0</v>
      </c>
      <c r="R807" s="14">
        <v>0</v>
      </c>
      <c r="S807" s="10">
        <v>0</v>
      </c>
      <c r="T807" s="10">
        <v>3.6</v>
      </c>
      <c r="U807" s="14">
        <v>0</v>
      </c>
      <c r="V807" s="10"/>
      <c r="W807" s="11">
        <v>3</v>
      </c>
      <c r="X807" s="11">
        <v>3</v>
      </c>
      <c r="Y807" s="11">
        <v>0</v>
      </c>
      <c r="Z807" s="11">
        <v>0</v>
      </c>
      <c r="AA807" s="11">
        <f>MasterTable[[#This Row],[Landings
Night]]+MasterTable[[#This Row],[Landings
Day]]</f>
        <v>3</v>
      </c>
      <c r="AB807" s="10">
        <v>0.4</v>
      </c>
      <c r="AC807" s="10">
        <v>0</v>
      </c>
      <c r="AD807" s="11">
        <v>0</v>
      </c>
      <c r="AE807" s="21">
        <f>SUM(MasterTable[[#This Row],[ILS]:[PAR]])</f>
        <v>3</v>
      </c>
      <c r="AF807" s="11">
        <v>2</v>
      </c>
      <c r="AI807" s="11">
        <v>1</v>
      </c>
      <c r="AL807" s="11"/>
      <c r="AR807" s="140" t="str">
        <f>_xlfn.XLOOKUP(MasterTable[[#This Row],[Aircraft ID]],Aircraft!A:A,Aircraft!H:H)</f>
        <v>Airplane Single Engine Land</v>
      </c>
      <c r="AS807" s="8" t="b">
        <f>OR((SUM(MasterTable[[#This Row],[ILS]:[PAR]]) = MasterTable[[#This Row],[APPR]]))</f>
        <v>1</v>
      </c>
      <c r="AT807" s="8" t="b">
        <f>NOT(ISBLANK(MasterTable[[#This Row],[Total
Time]]))</f>
        <v>1</v>
      </c>
    </row>
    <row r="808" spans="4:46" ht="28.8" x14ac:dyDescent="0.3">
      <c r="D808" s="22">
        <v>43679</v>
      </c>
      <c r="E808" s="8" t="s">
        <v>174</v>
      </c>
      <c r="F808" s="8" t="s">
        <v>202</v>
      </c>
      <c r="G808" s="8" t="s">
        <v>281</v>
      </c>
      <c r="H808" s="8" t="s">
        <v>282</v>
      </c>
      <c r="I808" s="10">
        <v>3.2</v>
      </c>
      <c r="J808" s="10">
        <v>3.2</v>
      </c>
      <c r="L808" s="10">
        <v>0</v>
      </c>
      <c r="M808" s="13">
        <v>0</v>
      </c>
      <c r="N808" s="13"/>
      <c r="O808" s="10">
        <v>0</v>
      </c>
      <c r="P808" s="10">
        <v>0</v>
      </c>
      <c r="Q808" s="14">
        <v>0</v>
      </c>
      <c r="R808" s="14">
        <v>0</v>
      </c>
      <c r="S808" s="10">
        <v>0</v>
      </c>
      <c r="T808" s="10">
        <v>3.2</v>
      </c>
      <c r="U808" s="14">
        <v>0</v>
      </c>
      <c r="V808" s="10"/>
      <c r="W808" s="11">
        <v>4</v>
      </c>
      <c r="X808" s="11">
        <v>4</v>
      </c>
      <c r="Y808" s="11">
        <v>0</v>
      </c>
      <c r="Z808" s="11">
        <v>0</v>
      </c>
      <c r="AA808" s="11">
        <f>MasterTable[[#This Row],[Landings
Night]]+MasterTable[[#This Row],[Landings
Day]]</f>
        <v>4</v>
      </c>
      <c r="AB808" s="10">
        <v>0</v>
      </c>
      <c r="AC808" s="10">
        <v>0</v>
      </c>
      <c r="AD808" s="11">
        <v>0</v>
      </c>
      <c r="AE808" s="21">
        <f>SUM(MasterTable[[#This Row],[ILS]:[PAR]])</f>
        <v>0</v>
      </c>
      <c r="AL808" s="11"/>
      <c r="AR808" s="140" t="str">
        <f>_xlfn.XLOOKUP(MasterTable[[#This Row],[Aircraft ID]],Aircraft!A:A,Aircraft!H:H)</f>
        <v>Airplane Single Engine Land</v>
      </c>
      <c r="AS808" s="8" t="b">
        <f>OR((SUM(MasterTable[[#This Row],[ILS]:[PAR]]) = MasterTable[[#This Row],[APPR]]))</f>
        <v>1</v>
      </c>
      <c r="AT808" s="8" t="b">
        <f>NOT(ISBLANK(MasterTable[[#This Row],[Total
Time]]))</f>
        <v>1</v>
      </c>
    </row>
    <row r="809" spans="4:46" ht="28.8" x14ac:dyDescent="0.3">
      <c r="D809" s="22">
        <v>43676</v>
      </c>
      <c r="E809" s="8" t="s">
        <v>174</v>
      </c>
      <c r="F809" s="8" t="s">
        <v>202</v>
      </c>
      <c r="G809" s="8" t="s">
        <v>220</v>
      </c>
      <c r="I809" s="10">
        <v>1.2</v>
      </c>
      <c r="J809" s="10">
        <v>1.2</v>
      </c>
      <c r="L809" s="10">
        <v>0</v>
      </c>
      <c r="M809" s="13">
        <v>0</v>
      </c>
      <c r="N809" s="13"/>
      <c r="O809" s="10">
        <v>0</v>
      </c>
      <c r="P809" s="10">
        <v>0</v>
      </c>
      <c r="Q809" s="14">
        <v>0</v>
      </c>
      <c r="R809" s="14">
        <v>0</v>
      </c>
      <c r="S809" s="10">
        <v>0</v>
      </c>
      <c r="T809" s="10">
        <v>0</v>
      </c>
      <c r="U809" s="14">
        <v>0</v>
      </c>
      <c r="V809" s="10"/>
      <c r="W809" s="11">
        <v>2</v>
      </c>
      <c r="X809" s="11">
        <v>2</v>
      </c>
      <c r="Y809" s="11">
        <v>0</v>
      </c>
      <c r="Z809" s="11">
        <v>0</v>
      </c>
      <c r="AA809" s="11">
        <f>MasterTable[[#This Row],[Landings
Night]]+MasterTable[[#This Row],[Landings
Day]]</f>
        <v>2</v>
      </c>
      <c r="AB809" s="10">
        <v>0</v>
      </c>
      <c r="AC809" s="10">
        <v>0</v>
      </c>
      <c r="AD809" s="11">
        <v>0</v>
      </c>
      <c r="AE809" s="21">
        <f>SUM(MasterTable[[#This Row],[ILS]:[PAR]])</f>
        <v>0</v>
      </c>
      <c r="AL809" s="11"/>
      <c r="AR809" s="140" t="str">
        <f>_xlfn.XLOOKUP(MasterTable[[#This Row],[Aircraft ID]],Aircraft!A:A,Aircraft!H:H)</f>
        <v>Airplane Single Engine Land</v>
      </c>
      <c r="AS809" s="8" t="b">
        <f>OR((SUM(MasterTable[[#This Row],[ILS]:[PAR]]) = MasterTable[[#This Row],[APPR]]))</f>
        <v>1</v>
      </c>
      <c r="AT809" s="8" t="b">
        <f>NOT(ISBLANK(MasterTable[[#This Row],[Total
Time]]))</f>
        <v>1</v>
      </c>
    </row>
    <row r="810" spans="4:46" ht="28.8" x14ac:dyDescent="0.3">
      <c r="D810" s="22">
        <v>43664</v>
      </c>
      <c r="E810" s="8" t="s">
        <v>174</v>
      </c>
      <c r="F810" s="8" t="s">
        <v>213</v>
      </c>
      <c r="G810" s="8" t="s">
        <v>202</v>
      </c>
      <c r="I810" s="10">
        <v>1.6</v>
      </c>
      <c r="J810" s="10">
        <v>1.6</v>
      </c>
      <c r="L810" s="10">
        <v>0</v>
      </c>
      <c r="M810" s="13">
        <v>0</v>
      </c>
      <c r="N810" s="13"/>
      <c r="O810" s="10">
        <v>0</v>
      </c>
      <c r="P810" s="10">
        <v>0</v>
      </c>
      <c r="Q810" s="14">
        <v>0</v>
      </c>
      <c r="R810" s="14">
        <v>0</v>
      </c>
      <c r="S810" s="10">
        <v>0</v>
      </c>
      <c r="T810" s="10">
        <v>1.6</v>
      </c>
      <c r="U810" s="14">
        <v>0</v>
      </c>
      <c r="V810" s="10"/>
      <c r="W810" s="11">
        <v>1</v>
      </c>
      <c r="X810" s="11">
        <v>1</v>
      </c>
      <c r="Y810" s="11">
        <v>0</v>
      </c>
      <c r="Z810" s="11">
        <v>0</v>
      </c>
      <c r="AA810" s="11">
        <f>MasterTable[[#This Row],[Landings
Night]]+MasterTable[[#This Row],[Landings
Day]]</f>
        <v>1</v>
      </c>
      <c r="AB810" s="10">
        <v>0</v>
      </c>
      <c r="AC810" s="10">
        <v>0</v>
      </c>
      <c r="AD810" s="11">
        <v>0</v>
      </c>
      <c r="AE810" s="21">
        <f>SUM(MasterTable[[#This Row],[ILS]:[PAR]])</f>
        <v>0</v>
      </c>
      <c r="AL810" s="11"/>
      <c r="AR810" s="140" t="str">
        <f>_xlfn.XLOOKUP(MasterTable[[#This Row],[Aircraft ID]],Aircraft!A:A,Aircraft!H:H)</f>
        <v>Airplane Single Engine Land</v>
      </c>
      <c r="AS810" s="8" t="b">
        <f>OR((SUM(MasterTable[[#This Row],[ILS]:[PAR]]) = MasterTable[[#This Row],[APPR]]))</f>
        <v>1</v>
      </c>
      <c r="AT810" s="8" t="b">
        <f>NOT(ISBLANK(MasterTable[[#This Row],[Total
Time]]))</f>
        <v>1</v>
      </c>
    </row>
    <row r="811" spans="4:46" ht="28.8" x14ac:dyDescent="0.3">
      <c r="D811" s="22">
        <v>43664</v>
      </c>
      <c r="E811" s="8" t="s">
        <v>174</v>
      </c>
      <c r="F811" s="8" t="s">
        <v>213</v>
      </c>
      <c r="G811" s="8" t="s">
        <v>213</v>
      </c>
      <c r="I811" s="10">
        <v>1.9</v>
      </c>
      <c r="J811" s="10">
        <v>1.9</v>
      </c>
      <c r="L811" s="10">
        <v>0</v>
      </c>
      <c r="M811" s="13">
        <v>0</v>
      </c>
      <c r="N811" s="13"/>
      <c r="O811" s="10">
        <v>0</v>
      </c>
      <c r="P811" s="10">
        <v>0</v>
      </c>
      <c r="Q811" s="14">
        <v>0</v>
      </c>
      <c r="R811" s="14">
        <v>0</v>
      </c>
      <c r="S811" s="10">
        <v>0</v>
      </c>
      <c r="T811" s="10">
        <v>0</v>
      </c>
      <c r="U811" s="14">
        <v>0</v>
      </c>
      <c r="V811" s="10"/>
      <c r="W811" s="11">
        <v>2</v>
      </c>
      <c r="X811" s="11">
        <v>2</v>
      </c>
      <c r="Y811" s="11">
        <v>0</v>
      </c>
      <c r="Z811" s="11">
        <v>0</v>
      </c>
      <c r="AA811" s="11">
        <f>MasterTable[[#This Row],[Landings
Night]]+MasterTable[[#This Row],[Landings
Day]]</f>
        <v>2</v>
      </c>
      <c r="AB811" s="10">
        <v>0</v>
      </c>
      <c r="AC811" s="10">
        <v>0</v>
      </c>
      <c r="AD811" s="11">
        <v>0</v>
      </c>
      <c r="AE811" s="21">
        <f>SUM(MasterTable[[#This Row],[ILS]:[PAR]])</f>
        <v>0</v>
      </c>
      <c r="AL811" s="11"/>
      <c r="AN811" s="27" t="b">
        <v>1</v>
      </c>
      <c r="AP811" s="27" t="b">
        <v>1</v>
      </c>
      <c r="AR811" s="140" t="str">
        <f>_xlfn.XLOOKUP(MasterTable[[#This Row],[Aircraft ID]],Aircraft!A:A,Aircraft!H:H)</f>
        <v>Airplane Single Engine Land</v>
      </c>
      <c r="AS811" s="8" t="b">
        <f>OR((SUM(MasterTable[[#This Row],[ILS]:[PAR]]) = MasterTable[[#This Row],[APPR]]))</f>
        <v>1</v>
      </c>
      <c r="AT811" s="8" t="b">
        <f>NOT(ISBLANK(MasterTable[[#This Row],[Total
Time]]))</f>
        <v>1</v>
      </c>
    </row>
    <row r="812" spans="4:46" ht="28.8" x14ac:dyDescent="0.3">
      <c r="D812" s="22">
        <v>43663</v>
      </c>
      <c r="E812" s="8" t="s">
        <v>174</v>
      </c>
      <c r="F812" s="8" t="s">
        <v>213</v>
      </c>
      <c r="G812" s="8" t="s">
        <v>213</v>
      </c>
      <c r="I812" s="10">
        <v>0.6</v>
      </c>
      <c r="J812" s="10">
        <v>0.6</v>
      </c>
      <c r="L812" s="10">
        <v>0</v>
      </c>
      <c r="M812" s="13">
        <v>0</v>
      </c>
      <c r="N812" s="13"/>
      <c r="O812" s="10">
        <v>0</v>
      </c>
      <c r="P812" s="10">
        <v>0</v>
      </c>
      <c r="Q812" s="14">
        <v>0</v>
      </c>
      <c r="R812" s="14">
        <v>0</v>
      </c>
      <c r="S812" s="10">
        <v>0</v>
      </c>
      <c r="T812" s="10">
        <v>0</v>
      </c>
      <c r="U812" s="14">
        <v>0</v>
      </c>
      <c r="V812" s="10"/>
      <c r="W812" s="11">
        <v>6</v>
      </c>
      <c r="X812" s="11">
        <v>6</v>
      </c>
      <c r="Y812" s="11">
        <v>0</v>
      </c>
      <c r="Z812" s="11">
        <v>0</v>
      </c>
      <c r="AA812" s="11">
        <f>MasterTable[[#This Row],[Landings
Night]]+MasterTable[[#This Row],[Landings
Day]]</f>
        <v>6</v>
      </c>
      <c r="AB812" s="10">
        <v>0</v>
      </c>
      <c r="AC812" s="10">
        <v>0</v>
      </c>
      <c r="AD812" s="11">
        <v>0</v>
      </c>
      <c r="AE812" s="21">
        <f>SUM(MasterTable[[#This Row],[ILS]:[PAR]])</f>
        <v>0</v>
      </c>
      <c r="AL812" s="11"/>
      <c r="AR812" s="140" t="str">
        <f>_xlfn.XLOOKUP(MasterTable[[#This Row],[Aircraft ID]],Aircraft!A:A,Aircraft!H:H)</f>
        <v>Airplane Single Engine Land</v>
      </c>
      <c r="AS812" s="8" t="b">
        <f>OR((SUM(MasterTable[[#This Row],[ILS]:[PAR]]) = MasterTable[[#This Row],[APPR]]))</f>
        <v>1</v>
      </c>
      <c r="AT812" s="8" t="b">
        <f>NOT(ISBLANK(MasterTable[[#This Row],[Total
Time]]))</f>
        <v>1</v>
      </c>
    </row>
    <row r="813" spans="4:46" ht="28.8" x14ac:dyDescent="0.3">
      <c r="D813" s="22">
        <v>43663</v>
      </c>
      <c r="E813" s="8" t="s">
        <v>174</v>
      </c>
      <c r="F813" s="8" t="s">
        <v>202</v>
      </c>
      <c r="G813" s="8" t="s">
        <v>213</v>
      </c>
      <c r="I813" s="10">
        <v>2.4</v>
      </c>
      <c r="J813" s="10">
        <v>2.4</v>
      </c>
      <c r="L813" s="10">
        <v>0</v>
      </c>
      <c r="M813" s="13">
        <v>0</v>
      </c>
      <c r="N813" s="13"/>
      <c r="O813" s="10">
        <v>0</v>
      </c>
      <c r="P813" s="10">
        <v>2.4</v>
      </c>
      <c r="Q813" s="14">
        <v>0</v>
      </c>
      <c r="R813" s="14">
        <v>0</v>
      </c>
      <c r="S813" s="10">
        <v>0</v>
      </c>
      <c r="T813" s="10">
        <v>1.6</v>
      </c>
      <c r="U813" s="14">
        <v>0</v>
      </c>
      <c r="V813" s="10"/>
      <c r="W813" s="11">
        <v>5</v>
      </c>
      <c r="X813" s="11">
        <v>5</v>
      </c>
      <c r="Y813" s="11">
        <v>0</v>
      </c>
      <c r="Z813" s="11">
        <v>0</v>
      </c>
      <c r="AA813" s="11">
        <f>MasterTable[[#This Row],[Landings
Night]]+MasterTable[[#This Row],[Landings
Day]]</f>
        <v>5</v>
      </c>
      <c r="AB813" s="10">
        <v>0</v>
      </c>
      <c r="AC813" s="10">
        <v>0</v>
      </c>
      <c r="AD813" s="11">
        <v>0</v>
      </c>
      <c r="AE813" s="21">
        <f>SUM(MasterTable[[#This Row],[ILS]:[PAR]])</f>
        <v>0</v>
      </c>
      <c r="AL813" s="11"/>
      <c r="AR813" s="140" t="str">
        <f>_xlfn.XLOOKUP(MasterTable[[#This Row],[Aircraft ID]],Aircraft!A:A,Aircraft!H:H)</f>
        <v>Airplane Single Engine Land</v>
      </c>
      <c r="AS813" s="8" t="b">
        <f>OR((SUM(MasterTable[[#This Row],[ILS]:[PAR]]) = MasterTable[[#This Row],[APPR]]))</f>
        <v>1</v>
      </c>
      <c r="AT813" s="8" t="b">
        <f>NOT(ISBLANK(MasterTable[[#This Row],[Total
Time]]))</f>
        <v>1</v>
      </c>
    </row>
    <row r="814" spans="4:46" ht="28.8" x14ac:dyDescent="0.3">
      <c r="D814" s="22">
        <v>43662</v>
      </c>
      <c r="E814" s="8" t="s">
        <v>174</v>
      </c>
      <c r="F814" s="8" t="s">
        <v>202</v>
      </c>
      <c r="G814" s="8" t="s">
        <v>202</v>
      </c>
      <c r="I814" s="10">
        <v>1</v>
      </c>
      <c r="J814" s="10">
        <v>1</v>
      </c>
      <c r="L814" s="10">
        <v>0</v>
      </c>
      <c r="M814" s="13">
        <v>0</v>
      </c>
      <c r="N814" s="13"/>
      <c r="O814" s="10">
        <v>0</v>
      </c>
      <c r="P814" s="10">
        <v>1</v>
      </c>
      <c r="Q814" s="14">
        <v>0</v>
      </c>
      <c r="R814" s="14">
        <v>0</v>
      </c>
      <c r="S814" s="10">
        <v>0</v>
      </c>
      <c r="T814" s="10">
        <v>0</v>
      </c>
      <c r="U814" s="14">
        <v>0</v>
      </c>
      <c r="V814" s="10"/>
      <c r="W814" s="11">
        <v>2</v>
      </c>
      <c r="X814" s="11">
        <v>2</v>
      </c>
      <c r="Y814" s="11">
        <v>0</v>
      </c>
      <c r="Z814" s="11">
        <v>0</v>
      </c>
      <c r="AA814" s="11">
        <f>MasterTable[[#This Row],[Landings
Night]]+MasterTable[[#This Row],[Landings
Day]]</f>
        <v>2</v>
      </c>
      <c r="AB814" s="10">
        <v>0</v>
      </c>
      <c r="AC814" s="10">
        <v>0</v>
      </c>
      <c r="AD814" s="11">
        <v>0</v>
      </c>
      <c r="AE814" s="21">
        <f>SUM(MasterTable[[#This Row],[ILS]:[PAR]])</f>
        <v>0</v>
      </c>
      <c r="AL814" s="11"/>
      <c r="AR814" s="140" t="str">
        <f>_xlfn.XLOOKUP(MasterTable[[#This Row],[Aircraft ID]],Aircraft!A:A,Aircraft!H:H)</f>
        <v>Airplane Single Engine Land</v>
      </c>
      <c r="AS814" s="8" t="b">
        <f>OR((SUM(MasterTable[[#This Row],[ILS]:[PAR]]) = MasterTable[[#This Row],[APPR]]))</f>
        <v>1</v>
      </c>
      <c r="AT814" s="8" t="b">
        <f>NOT(ISBLANK(MasterTable[[#This Row],[Total
Time]]))</f>
        <v>1</v>
      </c>
    </row>
    <row r="815" spans="4:46" ht="28.8" x14ac:dyDescent="0.3">
      <c r="D815" s="22">
        <v>43661</v>
      </c>
      <c r="E815" s="8" t="s">
        <v>174</v>
      </c>
      <c r="F815" s="8" t="s">
        <v>202</v>
      </c>
      <c r="G815" s="8" t="s">
        <v>202</v>
      </c>
      <c r="I815" s="10">
        <v>1.3</v>
      </c>
      <c r="J815" s="10">
        <v>1.3</v>
      </c>
      <c r="L815" s="10">
        <v>0</v>
      </c>
      <c r="M815" s="13">
        <v>0</v>
      </c>
      <c r="N815" s="13"/>
      <c r="O815" s="10">
        <v>0</v>
      </c>
      <c r="P815" s="10">
        <v>1.3</v>
      </c>
      <c r="Q815" s="14">
        <v>0</v>
      </c>
      <c r="R815" s="14">
        <v>0</v>
      </c>
      <c r="S815" s="10">
        <v>0</v>
      </c>
      <c r="T815" s="10">
        <v>0</v>
      </c>
      <c r="U815" s="14">
        <v>0</v>
      </c>
      <c r="V815" s="10"/>
      <c r="W815" s="11">
        <v>3</v>
      </c>
      <c r="X815" s="11">
        <v>3</v>
      </c>
      <c r="Y815" s="11">
        <v>0</v>
      </c>
      <c r="Z815" s="11">
        <v>0</v>
      </c>
      <c r="AA815" s="11">
        <f>MasterTable[[#This Row],[Landings
Night]]+MasterTable[[#This Row],[Landings
Day]]</f>
        <v>3</v>
      </c>
      <c r="AB815" s="10">
        <v>0</v>
      </c>
      <c r="AC815" s="10">
        <v>0</v>
      </c>
      <c r="AD815" s="11">
        <v>0</v>
      </c>
      <c r="AE815" s="21">
        <f>SUM(MasterTable[[#This Row],[ILS]:[PAR]])</f>
        <v>0</v>
      </c>
      <c r="AL815" s="11"/>
      <c r="AR815" s="140" t="str">
        <f>_xlfn.XLOOKUP(MasterTable[[#This Row],[Aircraft ID]],Aircraft!A:A,Aircraft!H:H)</f>
        <v>Airplane Single Engine Land</v>
      </c>
      <c r="AS815" s="8" t="b">
        <f>OR((SUM(MasterTable[[#This Row],[ILS]:[PAR]]) = MasterTable[[#This Row],[APPR]]))</f>
        <v>1</v>
      </c>
      <c r="AT815" s="8" t="b">
        <f>NOT(ISBLANK(MasterTable[[#This Row],[Total
Time]]))</f>
        <v>1</v>
      </c>
    </row>
    <row r="816" spans="4:46" ht="28.8" x14ac:dyDescent="0.3">
      <c r="D816" s="22">
        <v>43660</v>
      </c>
      <c r="E816" s="8" t="s">
        <v>174</v>
      </c>
      <c r="F816" s="8" t="s">
        <v>202</v>
      </c>
      <c r="G816" s="8" t="s">
        <v>202</v>
      </c>
      <c r="I816" s="10">
        <v>1.9</v>
      </c>
      <c r="J816" s="10">
        <v>1.9</v>
      </c>
      <c r="L816" s="10">
        <v>0</v>
      </c>
      <c r="M816" s="13">
        <v>0</v>
      </c>
      <c r="N816" s="13"/>
      <c r="O816" s="10">
        <v>0</v>
      </c>
      <c r="P816" s="10">
        <v>0</v>
      </c>
      <c r="Q816" s="14">
        <v>0</v>
      </c>
      <c r="R816" s="14">
        <v>0</v>
      </c>
      <c r="S816" s="10">
        <v>0</v>
      </c>
      <c r="T816" s="10">
        <v>0</v>
      </c>
      <c r="U816" s="14">
        <v>0</v>
      </c>
      <c r="V816" s="10"/>
      <c r="W816" s="11">
        <v>1</v>
      </c>
      <c r="X816" s="11">
        <v>1</v>
      </c>
      <c r="Y816" s="11">
        <v>0</v>
      </c>
      <c r="Z816" s="11">
        <v>0</v>
      </c>
      <c r="AA816" s="11">
        <f>MasterTable[[#This Row],[Landings
Night]]+MasterTable[[#This Row],[Landings
Day]]</f>
        <v>1</v>
      </c>
      <c r="AB816" s="10">
        <v>0</v>
      </c>
      <c r="AC816" s="10">
        <v>0</v>
      </c>
      <c r="AD816" s="11">
        <v>0</v>
      </c>
      <c r="AE816" s="21">
        <f>SUM(MasterTable[[#This Row],[ILS]:[PAR]])</f>
        <v>0</v>
      </c>
      <c r="AL816" s="11"/>
      <c r="AR816" s="140" t="str">
        <f>_xlfn.XLOOKUP(MasterTable[[#This Row],[Aircraft ID]],Aircraft!A:A,Aircraft!H:H)</f>
        <v>Airplane Single Engine Land</v>
      </c>
      <c r="AS816" s="8" t="b">
        <f>OR((SUM(MasterTable[[#This Row],[ILS]:[PAR]]) = MasterTable[[#This Row],[APPR]]))</f>
        <v>1</v>
      </c>
      <c r="AT816" s="8" t="b">
        <f>NOT(ISBLANK(MasterTable[[#This Row],[Total
Time]]))</f>
        <v>1</v>
      </c>
    </row>
    <row r="817" spans="4:46" ht="28.8" x14ac:dyDescent="0.3">
      <c r="D817" s="22">
        <v>43658</v>
      </c>
      <c r="E817" s="8" t="s">
        <v>174</v>
      </c>
      <c r="F817" s="8" t="s">
        <v>202</v>
      </c>
      <c r="G817" s="8" t="s">
        <v>202</v>
      </c>
      <c r="I817" s="10">
        <v>1.8</v>
      </c>
      <c r="J817" s="10">
        <v>1.8</v>
      </c>
      <c r="L817" s="10">
        <v>0</v>
      </c>
      <c r="M817" s="13">
        <v>0</v>
      </c>
      <c r="N817" s="13"/>
      <c r="O817" s="10">
        <v>0</v>
      </c>
      <c r="P817" s="10">
        <v>0</v>
      </c>
      <c r="Q817" s="14">
        <v>0</v>
      </c>
      <c r="R817" s="14">
        <v>0</v>
      </c>
      <c r="S817" s="10">
        <v>0</v>
      </c>
      <c r="T817" s="10">
        <v>0</v>
      </c>
      <c r="U817" s="14">
        <v>0</v>
      </c>
      <c r="V817" s="10"/>
      <c r="W817" s="11">
        <v>6</v>
      </c>
      <c r="X817" s="11">
        <v>6</v>
      </c>
      <c r="Y817" s="11">
        <v>0</v>
      </c>
      <c r="Z817" s="11">
        <v>0</v>
      </c>
      <c r="AA817" s="11">
        <f>MasterTable[[#This Row],[Landings
Night]]+MasterTable[[#This Row],[Landings
Day]]</f>
        <v>6</v>
      </c>
      <c r="AB817" s="10">
        <v>0</v>
      </c>
      <c r="AC817" s="10">
        <v>0</v>
      </c>
      <c r="AD817" s="11">
        <v>0</v>
      </c>
      <c r="AE817" s="21">
        <f>SUM(MasterTable[[#This Row],[ILS]:[PAR]])</f>
        <v>0</v>
      </c>
      <c r="AL817" s="11"/>
      <c r="AR817" s="140" t="str">
        <f>_xlfn.XLOOKUP(MasterTable[[#This Row],[Aircraft ID]],Aircraft!A:A,Aircraft!H:H)</f>
        <v>Airplane Single Engine Land</v>
      </c>
      <c r="AS817" s="8" t="b">
        <f>OR((SUM(MasterTable[[#This Row],[ILS]:[PAR]]) = MasterTable[[#This Row],[APPR]]))</f>
        <v>1</v>
      </c>
      <c r="AT817" s="8" t="b">
        <f>NOT(ISBLANK(MasterTable[[#This Row],[Total
Time]]))</f>
        <v>1</v>
      </c>
    </row>
    <row r="818" spans="4:46" ht="28.8" x14ac:dyDescent="0.3">
      <c r="D818" s="22">
        <v>43657</v>
      </c>
      <c r="E818" s="8" t="s">
        <v>174</v>
      </c>
      <c r="F818" s="8" t="s">
        <v>202</v>
      </c>
      <c r="G818" s="8" t="s">
        <v>202</v>
      </c>
      <c r="I818" s="10">
        <v>1.8</v>
      </c>
      <c r="J818" s="10">
        <v>1.8</v>
      </c>
      <c r="L818" s="10">
        <v>0</v>
      </c>
      <c r="M818" s="13">
        <v>0</v>
      </c>
      <c r="N818" s="13"/>
      <c r="O818" s="10">
        <v>0</v>
      </c>
      <c r="P818" s="10">
        <v>1</v>
      </c>
      <c r="Q818" s="14">
        <v>0</v>
      </c>
      <c r="R818" s="14">
        <v>0</v>
      </c>
      <c r="S818" s="10">
        <v>0</v>
      </c>
      <c r="T818" s="10">
        <v>0</v>
      </c>
      <c r="U818" s="14">
        <v>0</v>
      </c>
      <c r="V818" s="10"/>
      <c r="W818" s="11">
        <v>12</v>
      </c>
      <c r="X818" s="11">
        <v>12</v>
      </c>
      <c r="Y818" s="11">
        <v>0</v>
      </c>
      <c r="Z818" s="11">
        <v>0</v>
      </c>
      <c r="AA818" s="11">
        <f>MasterTable[[#This Row],[Landings
Night]]+MasterTable[[#This Row],[Landings
Day]]</f>
        <v>12</v>
      </c>
      <c r="AB818" s="10">
        <v>0</v>
      </c>
      <c r="AC818" s="10">
        <v>0</v>
      </c>
      <c r="AD818" s="11">
        <v>0</v>
      </c>
      <c r="AE818" s="21">
        <f>SUM(MasterTable[[#This Row],[ILS]:[PAR]])</f>
        <v>0</v>
      </c>
      <c r="AL818" s="11"/>
      <c r="AR818" s="140" t="str">
        <f>_xlfn.XLOOKUP(MasterTable[[#This Row],[Aircraft ID]],Aircraft!A:A,Aircraft!H:H)</f>
        <v>Airplane Single Engine Land</v>
      </c>
      <c r="AS818" s="8" t="b">
        <f>OR((SUM(MasterTable[[#This Row],[ILS]:[PAR]]) = MasterTable[[#This Row],[APPR]]))</f>
        <v>1</v>
      </c>
      <c r="AT818" s="8" t="b">
        <f>NOT(ISBLANK(MasterTable[[#This Row],[Total
Time]]))</f>
        <v>1</v>
      </c>
    </row>
    <row r="819" spans="4:46" ht="28.8" x14ac:dyDescent="0.3">
      <c r="D819" s="22">
        <v>43656</v>
      </c>
      <c r="E819" s="8" t="s">
        <v>174</v>
      </c>
      <c r="F819" s="8" t="s">
        <v>202</v>
      </c>
      <c r="G819" s="8" t="s">
        <v>202</v>
      </c>
      <c r="I819" s="10">
        <v>1.7</v>
      </c>
      <c r="J819" s="10">
        <v>1.7</v>
      </c>
      <c r="L819" s="10">
        <v>0</v>
      </c>
      <c r="M819" s="13">
        <v>0</v>
      </c>
      <c r="N819" s="13"/>
      <c r="O819" s="10">
        <v>0</v>
      </c>
      <c r="P819" s="10">
        <v>0</v>
      </c>
      <c r="Q819" s="14">
        <v>0</v>
      </c>
      <c r="R819" s="14">
        <v>0</v>
      </c>
      <c r="S819" s="10">
        <v>0</v>
      </c>
      <c r="T819" s="10">
        <v>0</v>
      </c>
      <c r="U819" s="14">
        <v>0</v>
      </c>
      <c r="V819" s="10"/>
      <c r="W819" s="11">
        <v>6</v>
      </c>
      <c r="X819" s="11">
        <v>6</v>
      </c>
      <c r="Y819" s="11">
        <v>0</v>
      </c>
      <c r="Z819" s="11">
        <v>0</v>
      </c>
      <c r="AA819" s="11">
        <f>MasterTable[[#This Row],[Landings
Night]]+MasterTable[[#This Row],[Landings
Day]]</f>
        <v>6</v>
      </c>
      <c r="AB819" s="10">
        <v>0</v>
      </c>
      <c r="AC819" s="10">
        <v>0</v>
      </c>
      <c r="AD819" s="11">
        <v>0</v>
      </c>
      <c r="AE819" s="21">
        <f>SUM(MasterTable[[#This Row],[ILS]:[PAR]])</f>
        <v>0</v>
      </c>
      <c r="AL819" s="11"/>
      <c r="AR819" s="140" t="str">
        <f>_xlfn.XLOOKUP(MasterTable[[#This Row],[Aircraft ID]],Aircraft!A:A,Aircraft!H:H)</f>
        <v>Airplane Single Engine Land</v>
      </c>
      <c r="AS819" s="8" t="b">
        <f>OR((SUM(MasterTable[[#This Row],[ILS]:[PAR]]) = MasterTable[[#This Row],[APPR]]))</f>
        <v>1</v>
      </c>
      <c r="AT819" s="8" t="b">
        <f>NOT(ISBLANK(MasterTable[[#This Row],[Total
Time]]))</f>
        <v>1</v>
      </c>
    </row>
    <row r="820" spans="4:46" ht="28.8" x14ac:dyDescent="0.3">
      <c r="D820" s="22">
        <v>43654</v>
      </c>
      <c r="E820" s="8" t="s">
        <v>174</v>
      </c>
      <c r="F820" s="8" t="s">
        <v>202</v>
      </c>
      <c r="G820" s="8" t="s">
        <v>202</v>
      </c>
      <c r="I820" s="10">
        <v>1</v>
      </c>
      <c r="J820" s="10">
        <v>1</v>
      </c>
      <c r="L820" s="10">
        <v>0</v>
      </c>
      <c r="M820" s="13">
        <v>0</v>
      </c>
      <c r="N820" s="13"/>
      <c r="O820" s="10">
        <v>0</v>
      </c>
      <c r="P820" s="10">
        <v>1</v>
      </c>
      <c r="Q820" s="14">
        <v>0</v>
      </c>
      <c r="R820" s="14">
        <v>0</v>
      </c>
      <c r="S820" s="10">
        <v>0</v>
      </c>
      <c r="T820" s="10">
        <v>0</v>
      </c>
      <c r="U820" s="14">
        <v>0</v>
      </c>
      <c r="V820" s="10"/>
      <c r="W820" s="11">
        <v>4</v>
      </c>
      <c r="X820" s="11">
        <v>4</v>
      </c>
      <c r="Y820" s="11">
        <v>0</v>
      </c>
      <c r="Z820" s="11">
        <v>0</v>
      </c>
      <c r="AA820" s="11">
        <f>MasterTable[[#This Row],[Landings
Night]]+MasterTable[[#This Row],[Landings
Day]]</f>
        <v>4</v>
      </c>
      <c r="AB820" s="10">
        <v>0</v>
      </c>
      <c r="AC820" s="10">
        <v>0</v>
      </c>
      <c r="AD820" s="11">
        <v>0</v>
      </c>
      <c r="AE820" s="21">
        <f>SUM(MasterTable[[#This Row],[ILS]:[PAR]])</f>
        <v>0</v>
      </c>
      <c r="AL820" s="11"/>
      <c r="AR820" s="140" t="str">
        <f>_xlfn.XLOOKUP(MasterTable[[#This Row],[Aircraft ID]],Aircraft!A:A,Aircraft!H:H)</f>
        <v>Airplane Single Engine Land</v>
      </c>
      <c r="AS820" s="8" t="b">
        <f>OR((SUM(MasterTable[[#This Row],[ILS]:[PAR]]) = MasterTable[[#This Row],[APPR]]))</f>
        <v>1</v>
      </c>
      <c r="AT820" s="8" t="b">
        <f>NOT(ISBLANK(MasterTable[[#This Row],[Total
Time]]))</f>
        <v>1</v>
      </c>
    </row>
    <row r="821" spans="4:46" ht="28.8" x14ac:dyDescent="0.3">
      <c r="D821" s="22">
        <v>43653</v>
      </c>
      <c r="E821" s="8" t="s">
        <v>50</v>
      </c>
      <c r="F821" s="8" t="s">
        <v>202</v>
      </c>
      <c r="G821" s="8" t="s">
        <v>270</v>
      </c>
      <c r="I821" s="10">
        <v>1.6</v>
      </c>
      <c r="J821" s="10">
        <v>0</v>
      </c>
      <c r="L821" s="10">
        <v>1.6</v>
      </c>
      <c r="M821" s="13">
        <v>0</v>
      </c>
      <c r="N821" s="13"/>
      <c r="O821" s="10">
        <v>0</v>
      </c>
      <c r="P821" s="10">
        <v>0</v>
      </c>
      <c r="Q821" s="14">
        <v>0</v>
      </c>
      <c r="R821" s="14">
        <v>0</v>
      </c>
      <c r="T821" s="10">
        <v>0</v>
      </c>
      <c r="U821" s="14">
        <v>0</v>
      </c>
      <c r="V821" s="10"/>
      <c r="W821" s="11">
        <v>2</v>
      </c>
      <c r="X821" s="11">
        <v>2</v>
      </c>
      <c r="Y821" s="11">
        <v>0</v>
      </c>
      <c r="Z821" s="11">
        <v>0</v>
      </c>
      <c r="AA821" s="11">
        <f>MasterTable[[#This Row],[Landings
Night]]+MasterTable[[#This Row],[Landings
Day]]</f>
        <v>2</v>
      </c>
      <c r="AB821" s="10">
        <v>0</v>
      </c>
      <c r="AC821" s="10">
        <v>0</v>
      </c>
      <c r="AD821" s="11">
        <v>0</v>
      </c>
      <c r="AE821" s="21">
        <f>SUM(MasterTable[[#This Row],[ILS]:[PAR]])</f>
        <v>0</v>
      </c>
      <c r="AL821" s="11"/>
      <c r="AR821" s="140" t="str">
        <f>_xlfn.XLOOKUP(MasterTable[[#This Row],[Aircraft ID]],Aircraft!A:A,Aircraft!H:H)</f>
        <v>Airplane Multi Engine Land</v>
      </c>
      <c r="AS821" s="8" t="b">
        <f>OR((SUM(MasterTable[[#This Row],[ILS]:[PAR]]) = MasterTable[[#This Row],[APPR]]))</f>
        <v>1</v>
      </c>
      <c r="AT821" s="8" t="b">
        <f>NOT(ISBLANK(MasterTable[[#This Row],[Total
Time]]))</f>
        <v>1</v>
      </c>
    </row>
    <row r="822" spans="4:46" ht="28.8" x14ac:dyDescent="0.3">
      <c r="D822" s="22">
        <v>43652</v>
      </c>
      <c r="E822" s="8" t="s">
        <v>174</v>
      </c>
      <c r="F822" s="8" t="s">
        <v>202</v>
      </c>
      <c r="G822" s="8" t="s">
        <v>202</v>
      </c>
      <c r="I822" s="10">
        <v>1</v>
      </c>
      <c r="J822" s="10">
        <v>1</v>
      </c>
      <c r="L822" s="10">
        <v>0</v>
      </c>
      <c r="M822" s="13">
        <v>0</v>
      </c>
      <c r="N822" s="13"/>
      <c r="O822" s="10">
        <v>0</v>
      </c>
      <c r="P822" s="10">
        <v>0</v>
      </c>
      <c r="Q822" s="14">
        <v>0</v>
      </c>
      <c r="R822" s="14">
        <v>0</v>
      </c>
      <c r="S822" s="10">
        <v>0</v>
      </c>
      <c r="T822" s="10">
        <v>0</v>
      </c>
      <c r="U822" s="14">
        <v>0</v>
      </c>
      <c r="V822" s="10"/>
      <c r="W822" s="11">
        <v>1</v>
      </c>
      <c r="X822" s="11">
        <v>1</v>
      </c>
      <c r="Y822" s="11">
        <v>0</v>
      </c>
      <c r="Z822" s="11">
        <v>0</v>
      </c>
      <c r="AA822" s="11">
        <f>MasterTable[[#This Row],[Landings
Night]]+MasterTable[[#This Row],[Landings
Day]]</f>
        <v>1</v>
      </c>
      <c r="AB822" s="10">
        <v>0</v>
      </c>
      <c r="AC822" s="10">
        <v>0</v>
      </c>
      <c r="AD822" s="11">
        <v>0</v>
      </c>
      <c r="AE822" s="21">
        <f>SUM(MasterTable[[#This Row],[ILS]:[PAR]])</f>
        <v>0</v>
      </c>
      <c r="AL822" s="11"/>
      <c r="AR822" s="140" t="str">
        <f>_xlfn.XLOOKUP(MasterTable[[#This Row],[Aircraft ID]],Aircraft!A:A,Aircraft!H:H)</f>
        <v>Airplane Single Engine Land</v>
      </c>
      <c r="AS822" s="8" t="b">
        <f>OR((SUM(MasterTable[[#This Row],[ILS]:[PAR]]) = MasterTable[[#This Row],[APPR]]))</f>
        <v>1</v>
      </c>
      <c r="AT822" s="8" t="b">
        <f>NOT(ISBLANK(MasterTable[[#This Row],[Total
Time]]))</f>
        <v>1</v>
      </c>
    </row>
    <row r="823" spans="4:46" ht="28.8" x14ac:dyDescent="0.3">
      <c r="D823" s="22">
        <v>43646</v>
      </c>
      <c r="E823" s="8" t="s">
        <v>174</v>
      </c>
      <c r="F823" s="8" t="s">
        <v>202</v>
      </c>
      <c r="G823" s="8" t="s">
        <v>283</v>
      </c>
      <c r="I823" s="10">
        <v>1.7</v>
      </c>
      <c r="J823" s="10">
        <v>1.7</v>
      </c>
      <c r="L823" s="10">
        <v>0</v>
      </c>
      <c r="M823" s="13">
        <v>0</v>
      </c>
      <c r="N823" s="13"/>
      <c r="O823" s="10">
        <v>0</v>
      </c>
      <c r="P823" s="10">
        <v>0</v>
      </c>
      <c r="Q823" s="14">
        <v>0</v>
      </c>
      <c r="R823" s="14">
        <v>0</v>
      </c>
      <c r="S823" s="10">
        <v>0</v>
      </c>
      <c r="T823" s="10">
        <v>0</v>
      </c>
      <c r="U823" s="14">
        <v>0</v>
      </c>
      <c r="V823" s="10"/>
      <c r="W823" s="11">
        <v>2</v>
      </c>
      <c r="X823" s="11">
        <v>2</v>
      </c>
      <c r="Y823" s="11">
        <v>0</v>
      </c>
      <c r="Z823" s="11">
        <v>0</v>
      </c>
      <c r="AA823" s="11">
        <f>MasterTable[[#This Row],[Landings
Night]]+MasterTable[[#This Row],[Landings
Day]]</f>
        <v>2</v>
      </c>
      <c r="AB823" s="10">
        <v>0</v>
      </c>
      <c r="AC823" s="10">
        <v>0</v>
      </c>
      <c r="AD823" s="11">
        <v>0</v>
      </c>
      <c r="AE823" s="21">
        <f>SUM(MasterTable[[#This Row],[ILS]:[PAR]])</f>
        <v>0</v>
      </c>
      <c r="AL823" s="11"/>
      <c r="AR823" s="140" t="str">
        <f>_xlfn.XLOOKUP(MasterTable[[#This Row],[Aircraft ID]],Aircraft!A:A,Aircraft!H:H)</f>
        <v>Airplane Single Engine Land</v>
      </c>
      <c r="AS823" s="8" t="b">
        <f>OR((SUM(MasterTable[[#This Row],[ILS]:[PAR]]) = MasterTable[[#This Row],[APPR]]))</f>
        <v>1</v>
      </c>
      <c r="AT823" s="8" t="b">
        <f>NOT(ISBLANK(MasterTable[[#This Row],[Total
Time]]))</f>
        <v>1</v>
      </c>
    </row>
    <row r="824" spans="4:46" ht="28.8" x14ac:dyDescent="0.3">
      <c r="D824" s="22">
        <v>43646</v>
      </c>
      <c r="E824" s="8" t="s">
        <v>50</v>
      </c>
      <c r="F824" s="8" t="s">
        <v>202</v>
      </c>
      <c r="G824" s="8" t="s">
        <v>284</v>
      </c>
      <c r="I824" s="10">
        <v>2.4</v>
      </c>
      <c r="J824" s="10">
        <v>0</v>
      </c>
      <c r="L824" s="10">
        <v>2.4</v>
      </c>
      <c r="M824" s="13">
        <v>0</v>
      </c>
      <c r="N824" s="13"/>
      <c r="O824" s="10">
        <v>0</v>
      </c>
      <c r="P824" s="10">
        <v>0</v>
      </c>
      <c r="Q824" s="14">
        <v>0</v>
      </c>
      <c r="R824" s="14">
        <v>0</v>
      </c>
      <c r="S824" s="10">
        <v>0</v>
      </c>
      <c r="T824" s="10">
        <v>0</v>
      </c>
      <c r="U824" s="14">
        <v>0</v>
      </c>
      <c r="V824" s="10"/>
      <c r="W824" s="11">
        <v>2</v>
      </c>
      <c r="X824" s="11">
        <v>2</v>
      </c>
      <c r="Y824" s="11">
        <v>0</v>
      </c>
      <c r="Z824" s="11">
        <v>0</v>
      </c>
      <c r="AA824" s="11">
        <f>MasterTable[[#This Row],[Landings
Night]]+MasterTable[[#This Row],[Landings
Day]]</f>
        <v>2</v>
      </c>
      <c r="AB824" s="10">
        <v>0</v>
      </c>
      <c r="AC824" s="10">
        <v>0</v>
      </c>
      <c r="AD824" s="11">
        <v>0</v>
      </c>
      <c r="AE824" s="21">
        <f>SUM(MasterTable[[#This Row],[ILS]:[PAR]])</f>
        <v>1</v>
      </c>
      <c r="AF824" s="11">
        <v>1</v>
      </c>
      <c r="AL824" s="11"/>
      <c r="AR824" s="140" t="str">
        <f>_xlfn.XLOOKUP(MasterTable[[#This Row],[Aircraft ID]],Aircraft!A:A,Aircraft!H:H)</f>
        <v>Airplane Multi Engine Land</v>
      </c>
      <c r="AS824" s="8" t="b">
        <f>OR((SUM(MasterTable[[#This Row],[ILS]:[PAR]]) = MasterTable[[#This Row],[APPR]]))</f>
        <v>1</v>
      </c>
      <c r="AT824" s="8" t="b">
        <f>NOT(ISBLANK(MasterTable[[#This Row],[Total
Time]]))</f>
        <v>1</v>
      </c>
    </row>
    <row r="825" spans="4:46" ht="28.8" x14ac:dyDescent="0.3">
      <c r="D825" s="22">
        <v>43645</v>
      </c>
      <c r="E825" s="8" t="s">
        <v>174</v>
      </c>
      <c r="F825" s="8" t="s">
        <v>202</v>
      </c>
      <c r="G825" s="8" t="s">
        <v>202</v>
      </c>
      <c r="I825" s="10">
        <v>1.2</v>
      </c>
      <c r="J825" s="10">
        <v>1.2</v>
      </c>
      <c r="L825" s="10">
        <v>0</v>
      </c>
      <c r="M825" s="13">
        <v>0</v>
      </c>
      <c r="N825" s="13"/>
      <c r="O825" s="10">
        <v>0</v>
      </c>
      <c r="P825" s="10">
        <v>0</v>
      </c>
      <c r="Q825" s="14">
        <v>0</v>
      </c>
      <c r="R825" s="14">
        <v>0</v>
      </c>
      <c r="S825" s="10">
        <v>0</v>
      </c>
      <c r="T825" s="10">
        <v>0</v>
      </c>
      <c r="U825" s="14">
        <v>0</v>
      </c>
      <c r="V825" s="10"/>
      <c r="W825" s="11">
        <v>4</v>
      </c>
      <c r="X825" s="11">
        <v>4</v>
      </c>
      <c r="Y825" s="11">
        <v>0</v>
      </c>
      <c r="Z825" s="11">
        <v>0</v>
      </c>
      <c r="AA825" s="11">
        <f>MasterTable[[#This Row],[Landings
Night]]+MasterTable[[#This Row],[Landings
Day]]</f>
        <v>4</v>
      </c>
      <c r="AB825" s="10">
        <v>0</v>
      </c>
      <c r="AC825" s="10">
        <v>0</v>
      </c>
      <c r="AD825" s="11">
        <v>0</v>
      </c>
      <c r="AE825" s="21">
        <f>SUM(MasterTable[[#This Row],[ILS]:[PAR]])</f>
        <v>0</v>
      </c>
      <c r="AL825" s="11"/>
      <c r="AR825" s="140" t="str">
        <f>_xlfn.XLOOKUP(MasterTable[[#This Row],[Aircraft ID]],Aircraft!A:A,Aircraft!H:H)</f>
        <v>Airplane Single Engine Land</v>
      </c>
      <c r="AS825" s="8" t="b">
        <f>OR((SUM(MasterTable[[#This Row],[ILS]:[PAR]]) = MasterTable[[#This Row],[APPR]]))</f>
        <v>1</v>
      </c>
      <c r="AT825" s="8" t="b">
        <f>NOT(ISBLANK(MasterTable[[#This Row],[Total
Time]]))</f>
        <v>1</v>
      </c>
    </row>
    <row r="826" spans="4:46" ht="28.8" x14ac:dyDescent="0.3">
      <c r="D826" s="22">
        <v>43644</v>
      </c>
      <c r="E826" s="8" t="s">
        <v>174</v>
      </c>
      <c r="F826" s="8" t="s">
        <v>202</v>
      </c>
      <c r="G826" s="8" t="s">
        <v>202</v>
      </c>
      <c r="I826" s="10">
        <v>1</v>
      </c>
      <c r="J826" s="10">
        <v>1</v>
      </c>
      <c r="L826" s="10">
        <v>0</v>
      </c>
      <c r="M826" s="13">
        <v>0</v>
      </c>
      <c r="N826" s="13"/>
      <c r="O826" s="10">
        <v>0</v>
      </c>
      <c r="P826" s="10">
        <v>0</v>
      </c>
      <c r="Q826" s="14">
        <v>0</v>
      </c>
      <c r="R826" s="14">
        <v>0</v>
      </c>
      <c r="S826" s="10">
        <v>0</v>
      </c>
      <c r="T826" s="10">
        <v>0</v>
      </c>
      <c r="U826" s="14">
        <v>0</v>
      </c>
      <c r="V826" s="10"/>
      <c r="W826" s="11">
        <v>1</v>
      </c>
      <c r="X826" s="11">
        <v>1</v>
      </c>
      <c r="Y826" s="11">
        <v>0</v>
      </c>
      <c r="Z826" s="11">
        <v>0</v>
      </c>
      <c r="AA826" s="11">
        <f>MasterTable[[#This Row],[Landings
Night]]+MasterTable[[#This Row],[Landings
Day]]</f>
        <v>1</v>
      </c>
      <c r="AB826" s="10">
        <v>0</v>
      </c>
      <c r="AC826" s="10">
        <v>0</v>
      </c>
      <c r="AD826" s="11">
        <v>0</v>
      </c>
      <c r="AE826" s="21">
        <f>SUM(MasterTable[[#This Row],[ILS]:[PAR]])</f>
        <v>0</v>
      </c>
      <c r="AL826" s="11"/>
      <c r="AR826" s="140" t="str">
        <f>_xlfn.XLOOKUP(MasterTable[[#This Row],[Aircraft ID]],Aircraft!A:A,Aircraft!H:H)</f>
        <v>Airplane Single Engine Land</v>
      </c>
      <c r="AS826" s="8" t="b">
        <f>OR((SUM(MasterTable[[#This Row],[ILS]:[PAR]]) = MasterTable[[#This Row],[APPR]]))</f>
        <v>1</v>
      </c>
      <c r="AT826" s="8" t="b">
        <f>NOT(ISBLANK(MasterTable[[#This Row],[Total
Time]]))</f>
        <v>1</v>
      </c>
    </row>
    <row r="827" spans="4:46" ht="28.8" x14ac:dyDescent="0.3">
      <c r="D827" s="22">
        <v>43643</v>
      </c>
      <c r="E827" s="8" t="s">
        <v>174</v>
      </c>
      <c r="F827" s="8" t="s">
        <v>202</v>
      </c>
      <c r="G827" s="8" t="s">
        <v>283</v>
      </c>
      <c r="I827" s="10">
        <v>1.6</v>
      </c>
      <c r="J827" s="10">
        <v>1.6</v>
      </c>
      <c r="L827" s="10">
        <v>0</v>
      </c>
      <c r="M827" s="13">
        <v>0</v>
      </c>
      <c r="N827" s="13"/>
      <c r="O827" s="10">
        <v>0</v>
      </c>
      <c r="P827" s="10">
        <v>0</v>
      </c>
      <c r="Q827" s="14">
        <v>0</v>
      </c>
      <c r="R827" s="14">
        <v>0</v>
      </c>
      <c r="S827" s="10">
        <v>0</v>
      </c>
      <c r="T827" s="10">
        <v>1.6</v>
      </c>
      <c r="U827" s="14">
        <v>0</v>
      </c>
      <c r="V827" s="10"/>
      <c r="W827" s="11">
        <v>2</v>
      </c>
      <c r="X827" s="11">
        <v>2</v>
      </c>
      <c r="Y827" s="11">
        <v>0</v>
      </c>
      <c r="Z827" s="11">
        <v>0</v>
      </c>
      <c r="AA827" s="11">
        <f>MasterTable[[#This Row],[Landings
Night]]+MasterTable[[#This Row],[Landings
Day]]</f>
        <v>2</v>
      </c>
      <c r="AB827" s="10">
        <v>0</v>
      </c>
      <c r="AC827" s="10">
        <v>0</v>
      </c>
      <c r="AD827" s="11">
        <v>0</v>
      </c>
      <c r="AE827" s="21">
        <f>SUM(MasterTable[[#This Row],[ILS]:[PAR]])</f>
        <v>0</v>
      </c>
      <c r="AL827" s="11"/>
      <c r="AR827" s="140" t="str">
        <f>_xlfn.XLOOKUP(MasterTable[[#This Row],[Aircraft ID]],Aircraft!A:A,Aircraft!H:H)</f>
        <v>Airplane Single Engine Land</v>
      </c>
      <c r="AS827" s="8" t="b">
        <f>OR((SUM(MasterTable[[#This Row],[ILS]:[PAR]]) = MasterTable[[#This Row],[APPR]]))</f>
        <v>1</v>
      </c>
      <c r="AT827" s="8" t="b">
        <f>NOT(ISBLANK(MasterTable[[#This Row],[Total
Time]]))</f>
        <v>1</v>
      </c>
    </row>
    <row r="828" spans="4:46" ht="28.8" x14ac:dyDescent="0.3">
      <c r="D828" s="22">
        <v>43642</v>
      </c>
      <c r="E828" s="8" t="s">
        <v>174</v>
      </c>
      <c r="F828" s="8" t="s">
        <v>202</v>
      </c>
      <c r="G828" s="8" t="s">
        <v>204</v>
      </c>
      <c r="I828" s="10">
        <v>4.0999999999999996</v>
      </c>
      <c r="J828" s="10">
        <v>4.0999999999999996</v>
      </c>
      <c r="L828" s="10">
        <v>0</v>
      </c>
      <c r="M828" s="13">
        <v>0</v>
      </c>
      <c r="N828" s="13"/>
      <c r="O828" s="10">
        <v>0</v>
      </c>
      <c r="P828" s="10">
        <v>1.6</v>
      </c>
      <c r="Q828" s="14">
        <v>0</v>
      </c>
      <c r="R828" s="14">
        <v>0</v>
      </c>
      <c r="S828" s="10">
        <v>0</v>
      </c>
      <c r="T828" s="10">
        <v>0</v>
      </c>
      <c r="U828" s="14">
        <v>0</v>
      </c>
      <c r="V828" s="10"/>
      <c r="W828" s="11">
        <v>4</v>
      </c>
      <c r="X828" s="11">
        <v>4</v>
      </c>
      <c r="Y828" s="11">
        <v>0</v>
      </c>
      <c r="Z828" s="11">
        <v>0</v>
      </c>
      <c r="AA828" s="11">
        <f>MasterTable[[#This Row],[Landings
Night]]+MasterTable[[#This Row],[Landings
Day]]</f>
        <v>4</v>
      </c>
      <c r="AB828" s="10">
        <v>0</v>
      </c>
      <c r="AC828" s="10">
        <v>0</v>
      </c>
      <c r="AD828" s="11">
        <v>0</v>
      </c>
      <c r="AE828" s="21">
        <f>SUM(MasterTable[[#This Row],[ILS]:[PAR]])</f>
        <v>0</v>
      </c>
      <c r="AL828" s="11"/>
      <c r="AR828" s="140" t="str">
        <f>_xlfn.XLOOKUP(MasterTable[[#This Row],[Aircraft ID]],Aircraft!A:A,Aircraft!H:H)</f>
        <v>Airplane Single Engine Land</v>
      </c>
      <c r="AS828" s="8" t="b">
        <f>OR((SUM(MasterTable[[#This Row],[ILS]:[PAR]]) = MasterTable[[#This Row],[APPR]]))</f>
        <v>1</v>
      </c>
      <c r="AT828" s="8" t="b">
        <f>NOT(ISBLANK(MasterTable[[#This Row],[Total
Time]]))</f>
        <v>1</v>
      </c>
    </row>
    <row r="829" spans="4:46" ht="28.8" x14ac:dyDescent="0.3">
      <c r="D829" s="22">
        <v>43641</v>
      </c>
      <c r="E829" s="8" t="s">
        <v>156</v>
      </c>
      <c r="F829" s="8" t="s">
        <v>220</v>
      </c>
      <c r="G829" s="8" t="s">
        <v>220</v>
      </c>
      <c r="I829" s="10">
        <v>1.4</v>
      </c>
      <c r="J829" s="10">
        <v>1.4</v>
      </c>
      <c r="L829" s="10">
        <v>0</v>
      </c>
      <c r="M829" s="13">
        <v>0</v>
      </c>
      <c r="N829" s="13"/>
      <c r="O829" s="10">
        <v>0</v>
      </c>
      <c r="P829" s="10">
        <v>1.4</v>
      </c>
      <c r="Q829" s="14">
        <v>0</v>
      </c>
      <c r="R829" s="14">
        <v>0</v>
      </c>
      <c r="S829" s="10">
        <v>0</v>
      </c>
      <c r="T829" s="10">
        <v>0</v>
      </c>
      <c r="U829" s="14">
        <v>0</v>
      </c>
      <c r="V829" s="10"/>
      <c r="W829" s="11">
        <v>1</v>
      </c>
      <c r="X829" s="11">
        <v>1</v>
      </c>
      <c r="Y829" s="11">
        <v>0</v>
      </c>
      <c r="Z829" s="11">
        <v>0</v>
      </c>
      <c r="AA829" s="11">
        <f>MasterTable[[#This Row],[Landings
Night]]+MasterTable[[#This Row],[Landings
Day]]</f>
        <v>1</v>
      </c>
      <c r="AB829" s="10">
        <v>0</v>
      </c>
      <c r="AC829" s="10">
        <v>0</v>
      </c>
      <c r="AD829" s="11">
        <v>0</v>
      </c>
      <c r="AE829" s="21">
        <f>SUM(MasterTable[[#This Row],[ILS]:[PAR]])</f>
        <v>0</v>
      </c>
      <c r="AL829" s="11"/>
      <c r="AR829" s="140" t="str">
        <f>_xlfn.XLOOKUP(MasterTable[[#This Row],[Aircraft ID]],Aircraft!A:A,Aircraft!H:H)</f>
        <v>Airplane Single Engine Land</v>
      </c>
      <c r="AS829" s="8" t="b">
        <f>OR((SUM(MasterTable[[#This Row],[ILS]:[PAR]]) = MasterTable[[#This Row],[APPR]]))</f>
        <v>1</v>
      </c>
      <c r="AT829" s="8" t="b">
        <f>NOT(ISBLANK(MasterTable[[#This Row],[Total
Time]]))</f>
        <v>1</v>
      </c>
    </row>
    <row r="830" spans="4:46" ht="28.8" x14ac:dyDescent="0.3">
      <c r="D830" s="22">
        <v>43641</v>
      </c>
      <c r="E830" s="8" t="s">
        <v>174</v>
      </c>
      <c r="F830" s="8" t="s">
        <v>202</v>
      </c>
      <c r="G830" s="8" t="s">
        <v>220</v>
      </c>
      <c r="I830" s="10">
        <v>1.6</v>
      </c>
      <c r="J830" s="10">
        <v>1.6</v>
      </c>
      <c r="L830" s="10">
        <v>0</v>
      </c>
      <c r="M830" s="13">
        <v>0</v>
      </c>
      <c r="N830" s="13"/>
      <c r="O830" s="10">
        <v>0</v>
      </c>
      <c r="P830" s="10">
        <v>0</v>
      </c>
      <c r="Q830" s="14">
        <v>0</v>
      </c>
      <c r="R830" s="14">
        <v>0</v>
      </c>
      <c r="S830" s="10">
        <v>0</v>
      </c>
      <c r="T830" s="10">
        <v>0</v>
      </c>
      <c r="U830" s="14">
        <v>0</v>
      </c>
      <c r="V830" s="10"/>
      <c r="W830" s="11">
        <v>2</v>
      </c>
      <c r="X830" s="11">
        <v>2</v>
      </c>
      <c r="Y830" s="11">
        <v>0</v>
      </c>
      <c r="Z830" s="11">
        <v>0</v>
      </c>
      <c r="AA830" s="11">
        <f>MasterTable[[#This Row],[Landings
Night]]+MasterTable[[#This Row],[Landings
Day]]</f>
        <v>2</v>
      </c>
      <c r="AB830" s="10">
        <v>0</v>
      </c>
      <c r="AC830" s="10">
        <v>0</v>
      </c>
      <c r="AD830" s="11">
        <v>0</v>
      </c>
      <c r="AE830" s="21">
        <f>SUM(MasterTable[[#This Row],[ILS]:[PAR]])</f>
        <v>0</v>
      </c>
      <c r="AL830" s="11"/>
      <c r="AR830" s="140" t="str">
        <f>_xlfn.XLOOKUP(MasterTable[[#This Row],[Aircraft ID]],Aircraft!A:A,Aircraft!H:H)</f>
        <v>Airplane Single Engine Land</v>
      </c>
      <c r="AS830" s="8" t="b">
        <f>OR((SUM(MasterTable[[#This Row],[ILS]:[PAR]]) = MasterTable[[#This Row],[APPR]]))</f>
        <v>1</v>
      </c>
      <c r="AT830" s="8" t="b">
        <f>NOT(ISBLANK(MasterTable[[#This Row],[Total
Time]]))</f>
        <v>1</v>
      </c>
    </row>
    <row r="831" spans="4:46" ht="28.8" x14ac:dyDescent="0.3">
      <c r="D831" s="22">
        <v>43636</v>
      </c>
      <c r="E831" s="8" t="s">
        <v>36</v>
      </c>
      <c r="F831" s="8" t="s">
        <v>275</v>
      </c>
      <c r="G831" s="8" t="s">
        <v>285</v>
      </c>
      <c r="I831" s="10">
        <v>3.2</v>
      </c>
      <c r="J831" s="10">
        <v>3.2</v>
      </c>
      <c r="L831" s="10">
        <v>0</v>
      </c>
      <c r="M831" s="13">
        <v>0</v>
      </c>
      <c r="N831" s="13"/>
      <c r="O831" s="10">
        <v>0</v>
      </c>
      <c r="P831" s="10">
        <v>0</v>
      </c>
      <c r="Q831" s="14">
        <v>0</v>
      </c>
      <c r="R831" s="14">
        <v>0</v>
      </c>
      <c r="S831" s="10">
        <v>0</v>
      </c>
      <c r="T831" s="10">
        <v>0</v>
      </c>
      <c r="U831" s="14">
        <v>0</v>
      </c>
      <c r="V831" s="10"/>
      <c r="W831" s="11">
        <v>2</v>
      </c>
      <c r="X831" s="11">
        <v>2</v>
      </c>
      <c r="Y831" s="11">
        <v>0</v>
      </c>
      <c r="Z831" s="11">
        <v>0</v>
      </c>
      <c r="AA831" s="11">
        <f>MasterTable[[#This Row],[Landings
Night]]+MasterTable[[#This Row],[Landings
Day]]</f>
        <v>2</v>
      </c>
      <c r="AB831" s="10">
        <v>0</v>
      </c>
      <c r="AC831" s="10">
        <v>2.8</v>
      </c>
      <c r="AD831" s="11">
        <v>2</v>
      </c>
      <c r="AE831" s="21">
        <f>SUM(MasterTable[[#This Row],[ILS]:[PAR]])</f>
        <v>6</v>
      </c>
      <c r="AF831" s="11">
        <v>2</v>
      </c>
      <c r="AH831" s="11">
        <v>1</v>
      </c>
      <c r="AI831" s="11">
        <v>3</v>
      </c>
      <c r="AL831" s="11"/>
      <c r="AR831" s="140" t="str">
        <f>_xlfn.XLOOKUP(MasterTable[[#This Row],[Aircraft ID]],Aircraft!A:A,Aircraft!H:H)</f>
        <v>Airplane Single Engine Land</v>
      </c>
      <c r="AS831" s="8" t="b">
        <f>OR((SUM(MasterTable[[#This Row],[ILS]:[PAR]]) = MasterTable[[#This Row],[APPR]]))</f>
        <v>1</v>
      </c>
      <c r="AT831" s="8" t="b">
        <f>NOT(ISBLANK(MasterTable[[#This Row],[Total
Time]]))</f>
        <v>1</v>
      </c>
    </row>
    <row r="832" spans="4:46" ht="28.8" x14ac:dyDescent="0.3">
      <c r="D832" s="22">
        <v>43636</v>
      </c>
      <c r="E832" s="8" t="s">
        <v>174</v>
      </c>
      <c r="F832" s="8" t="s">
        <v>202</v>
      </c>
      <c r="G832" s="8" t="s">
        <v>275</v>
      </c>
      <c r="I832" s="10">
        <v>3.2</v>
      </c>
      <c r="J832" s="10">
        <v>3.2</v>
      </c>
      <c r="L832" s="10">
        <v>0</v>
      </c>
      <c r="M832" s="13">
        <v>0</v>
      </c>
      <c r="N832" s="13"/>
      <c r="O832" s="10">
        <v>0</v>
      </c>
      <c r="P832" s="10">
        <v>0</v>
      </c>
      <c r="Q832" s="14">
        <v>0</v>
      </c>
      <c r="R832" s="14">
        <v>0</v>
      </c>
      <c r="S832" s="10">
        <v>0</v>
      </c>
      <c r="T832" s="10">
        <v>3.2</v>
      </c>
      <c r="U832" s="14">
        <v>0</v>
      </c>
      <c r="V832" s="10"/>
      <c r="W832" s="11">
        <v>2</v>
      </c>
      <c r="X832" s="11">
        <v>2</v>
      </c>
      <c r="Y832" s="11">
        <v>0</v>
      </c>
      <c r="Z832" s="11">
        <v>0</v>
      </c>
      <c r="AA832" s="11">
        <f>MasterTable[[#This Row],[Landings
Night]]+MasterTable[[#This Row],[Landings
Day]]</f>
        <v>2</v>
      </c>
      <c r="AB832" s="10">
        <v>0</v>
      </c>
      <c r="AC832" s="10">
        <v>0</v>
      </c>
      <c r="AD832" s="11">
        <v>0</v>
      </c>
      <c r="AE832" s="21">
        <f>SUM(MasterTable[[#This Row],[ILS]:[PAR]])</f>
        <v>0</v>
      </c>
      <c r="AL832" s="11"/>
      <c r="AR832" s="140" t="str">
        <f>_xlfn.XLOOKUP(MasterTable[[#This Row],[Aircraft ID]],Aircraft!A:A,Aircraft!H:H)</f>
        <v>Airplane Single Engine Land</v>
      </c>
      <c r="AS832" s="8" t="b">
        <f>OR((SUM(MasterTable[[#This Row],[ILS]:[PAR]]) = MasterTable[[#This Row],[APPR]]))</f>
        <v>1</v>
      </c>
      <c r="AT832" s="8" t="b">
        <f>NOT(ISBLANK(MasterTable[[#This Row],[Total
Time]]))</f>
        <v>1</v>
      </c>
    </row>
    <row r="833" spans="4:46" ht="28.8" x14ac:dyDescent="0.3">
      <c r="D833" s="22">
        <v>43634</v>
      </c>
      <c r="E833" s="8" t="s">
        <v>174</v>
      </c>
      <c r="F833" s="8" t="s">
        <v>202</v>
      </c>
      <c r="G833" s="8" t="s">
        <v>202</v>
      </c>
      <c r="I833" s="10">
        <v>1.3</v>
      </c>
      <c r="J833" s="10">
        <v>1.3</v>
      </c>
      <c r="L833" s="10">
        <v>0</v>
      </c>
      <c r="M833" s="13">
        <v>0</v>
      </c>
      <c r="N833" s="13"/>
      <c r="O833" s="10">
        <v>0</v>
      </c>
      <c r="P833" s="10">
        <v>0</v>
      </c>
      <c r="Q833" s="14">
        <v>0</v>
      </c>
      <c r="R833" s="14">
        <v>0</v>
      </c>
      <c r="S833" s="10">
        <v>0</v>
      </c>
      <c r="T833" s="10">
        <v>0</v>
      </c>
      <c r="U833" s="14">
        <v>0</v>
      </c>
      <c r="V833" s="10"/>
      <c r="W833" s="11">
        <v>1</v>
      </c>
      <c r="X833" s="11">
        <v>1</v>
      </c>
      <c r="Y833" s="11">
        <v>0</v>
      </c>
      <c r="Z833" s="11">
        <v>0</v>
      </c>
      <c r="AA833" s="11">
        <f>MasterTable[[#This Row],[Landings
Night]]+MasterTable[[#This Row],[Landings
Day]]</f>
        <v>1</v>
      </c>
      <c r="AB833" s="10">
        <v>0</v>
      </c>
      <c r="AC833" s="10">
        <v>0</v>
      </c>
      <c r="AD833" s="11">
        <v>0</v>
      </c>
      <c r="AE833" s="21">
        <f>SUM(MasterTable[[#This Row],[ILS]:[PAR]])</f>
        <v>0</v>
      </c>
      <c r="AL833" s="11"/>
      <c r="AR833" s="140" t="str">
        <f>_xlfn.XLOOKUP(MasterTable[[#This Row],[Aircraft ID]],Aircraft!A:A,Aircraft!H:H)</f>
        <v>Airplane Single Engine Land</v>
      </c>
      <c r="AS833" s="8" t="b">
        <f>OR((SUM(MasterTable[[#This Row],[ILS]:[PAR]]) = MasterTable[[#This Row],[APPR]]))</f>
        <v>1</v>
      </c>
      <c r="AT833" s="8" t="b">
        <f>NOT(ISBLANK(MasterTable[[#This Row],[Total
Time]]))</f>
        <v>1</v>
      </c>
    </row>
    <row r="834" spans="4:46" ht="28.8" x14ac:dyDescent="0.3">
      <c r="D834" s="22">
        <v>43633</v>
      </c>
      <c r="E834" s="8" t="s">
        <v>174</v>
      </c>
      <c r="F834" s="8" t="s">
        <v>202</v>
      </c>
      <c r="G834" s="8" t="s">
        <v>202</v>
      </c>
      <c r="I834" s="10">
        <v>1.6</v>
      </c>
      <c r="J834" s="10">
        <v>1.6</v>
      </c>
      <c r="L834" s="10">
        <v>0</v>
      </c>
      <c r="M834" s="13">
        <v>0</v>
      </c>
      <c r="N834" s="13"/>
      <c r="O834" s="10">
        <v>0</v>
      </c>
      <c r="P834" s="10">
        <v>0</v>
      </c>
      <c r="Q834" s="14">
        <v>0</v>
      </c>
      <c r="R834" s="14">
        <v>0</v>
      </c>
      <c r="S834" s="10">
        <v>0</v>
      </c>
      <c r="T834" s="10">
        <v>0</v>
      </c>
      <c r="U834" s="14">
        <v>0</v>
      </c>
      <c r="V834" s="10"/>
      <c r="W834" s="11">
        <v>10</v>
      </c>
      <c r="X834" s="11">
        <v>10</v>
      </c>
      <c r="Y834" s="11">
        <v>0</v>
      </c>
      <c r="Z834" s="11">
        <v>0</v>
      </c>
      <c r="AA834" s="11">
        <f>MasterTable[[#This Row],[Landings
Night]]+MasterTable[[#This Row],[Landings
Day]]</f>
        <v>10</v>
      </c>
      <c r="AB834" s="10">
        <v>0</v>
      </c>
      <c r="AC834" s="10">
        <v>0</v>
      </c>
      <c r="AD834" s="11">
        <v>0</v>
      </c>
      <c r="AE834" s="21">
        <f>SUM(MasterTable[[#This Row],[ILS]:[PAR]])</f>
        <v>0</v>
      </c>
      <c r="AL834" s="11"/>
      <c r="AR834" s="140" t="str">
        <f>_xlfn.XLOOKUP(MasterTable[[#This Row],[Aircraft ID]],Aircraft!A:A,Aircraft!H:H)</f>
        <v>Airplane Single Engine Land</v>
      </c>
      <c r="AS834" s="8" t="b">
        <f>OR((SUM(MasterTable[[#This Row],[ILS]:[PAR]]) = MasterTable[[#This Row],[APPR]]))</f>
        <v>1</v>
      </c>
      <c r="AT834" s="8" t="b">
        <f>NOT(ISBLANK(MasterTable[[#This Row],[Total
Time]]))</f>
        <v>1</v>
      </c>
    </row>
    <row r="835" spans="4:46" ht="28.8" x14ac:dyDescent="0.3">
      <c r="D835" s="22">
        <v>43561</v>
      </c>
      <c r="E835" s="8" t="s">
        <v>174</v>
      </c>
      <c r="F835" s="8" t="s">
        <v>273</v>
      </c>
      <c r="G835" s="8" t="s">
        <v>202</v>
      </c>
      <c r="H835" s="8" t="s">
        <v>265</v>
      </c>
      <c r="I835" s="10">
        <v>1.5</v>
      </c>
      <c r="J835" s="10">
        <v>1.5</v>
      </c>
      <c r="L835" s="10">
        <v>0</v>
      </c>
      <c r="M835" s="13">
        <v>0</v>
      </c>
      <c r="N835" s="13"/>
      <c r="O835" s="10">
        <v>0</v>
      </c>
      <c r="P835" s="10">
        <v>0</v>
      </c>
      <c r="Q835" s="14">
        <v>0</v>
      </c>
      <c r="R835" s="14">
        <v>0</v>
      </c>
      <c r="S835" s="10">
        <v>0</v>
      </c>
      <c r="T835" s="10">
        <v>0</v>
      </c>
      <c r="U835" s="14">
        <v>0</v>
      </c>
      <c r="V835" s="10"/>
      <c r="W835" s="11">
        <v>2</v>
      </c>
      <c r="X835" s="11">
        <v>2</v>
      </c>
      <c r="Y835" s="11">
        <v>0</v>
      </c>
      <c r="Z835" s="11">
        <v>0</v>
      </c>
      <c r="AA835" s="11">
        <f>MasterTable[[#This Row],[Landings
Night]]+MasterTable[[#This Row],[Landings
Day]]</f>
        <v>2</v>
      </c>
      <c r="AB835" s="10">
        <v>0</v>
      </c>
      <c r="AC835" s="10">
        <v>0</v>
      </c>
      <c r="AD835" s="11">
        <v>0</v>
      </c>
      <c r="AE835" s="21">
        <f>SUM(MasterTable[[#This Row],[ILS]:[PAR]])</f>
        <v>0</v>
      </c>
      <c r="AL835" s="11"/>
      <c r="AR835" s="140" t="str">
        <f>_xlfn.XLOOKUP(MasterTable[[#This Row],[Aircraft ID]],Aircraft!A:A,Aircraft!H:H)</f>
        <v>Airplane Single Engine Land</v>
      </c>
      <c r="AS835" s="8" t="b">
        <f>OR((SUM(MasterTable[[#This Row],[ILS]:[PAR]]) = MasterTable[[#This Row],[APPR]]))</f>
        <v>1</v>
      </c>
      <c r="AT835" s="8" t="b">
        <f>NOT(ISBLANK(MasterTable[[#This Row],[Total
Time]]))</f>
        <v>1</v>
      </c>
    </row>
    <row r="836" spans="4:46" ht="28.8" x14ac:dyDescent="0.3">
      <c r="D836" s="22">
        <v>43556</v>
      </c>
      <c r="E836" s="8" t="s">
        <v>50</v>
      </c>
      <c r="F836" s="8" t="s">
        <v>202</v>
      </c>
      <c r="G836" s="8" t="s">
        <v>286</v>
      </c>
      <c r="H836" s="8" t="s">
        <v>287</v>
      </c>
      <c r="I836" s="10">
        <v>3.9</v>
      </c>
      <c r="J836" s="10">
        <v>0</v>
      </c>
      <c r="L836" s="10">
        <v>3.9</v>
      </c>
      <c r="M836" s="13">
        <v>0</v>
      </c>
      <c r="N836" s="13"/>
      <c r="O836" s="10">
        <v>0</v>
      </c>
      <c r="P836" s="10">
        <v>0</v>
      </c>
      <c r="Q836" s="14">
        <v>0</v>
      </c>
      <c r="R836" s="14">
        <v>0</v>
      </c>
      <c r="S836" s="10">
        <v>0.3</v>
      </c>
      <c r="T836" s="10">
        <v>0</v>
      </c>
      <c r="U836" s="14">
        <v>0</v>
      </c>
      <c r="V836" s="10">
        <v>0</v>
      </c>
      <c r="W836" s="11">
        <v>3</v>
      </c>
      <c r="X836" s="11">
        <v>3</v>
      </c>
      <c r="Y836" s="11">
        <v>0</v>
      </c>
      <c r="Z836" s="11">
        <v>0</v>
      </c>
      <c r="AA836" s="11">
        <f>MasterTable[[#This Row],[Landings
Night]]+MasterTable[[#This Row],[Landings
Day]]</f>
        <v>3</v>
      </c>
      <c r="AB836" s="10">
        <v>1.4</v>
      </c>
      <c r="AC836" s="10">
        <v>0</v>
      </c>
      <c r="AD836" s="11">
        <v>0</v>
      </c>
      <c r="AE836" s="21">
        <f>SUM(MasterTable[[#This Row],[ILS]:[PAR]])</f>
        <v>1</v>
      </c>
      <c r="AF836" s="11">
        <v>1</v>
      </c>
      <c r="AL836" s="11">
        <v>1</v>
      </c>
      <c r="AR836" s="140" t="str">
        <f>_xlfn.XLOOKUP(MasterTable[[#This Row],[Aircraft ID]],Aircraft!A:A,Aircraft!H:H)</f>
        <v>Airplane Multi Engine Land</v>
      </c>
      <c r="AS836" s="8" t="b">
        <f>OR((SUM(MasterTable[[#This Row],[ILS]:[PAR]]) = MasterTable[[#This Row],[APPR]]))</f>
        <v>1</v>
      </c>
      <c r="AT836" s="8" t="b">
        <f>NOT(ISBLANK(MasterTable[[#This Row],[Total
Time]]))</f>
        <v>1</v>
      </c>
    </row>
    <row r="837" spans="4:46" ht="28.8" x14ac:dyDescent="0.3">
      <c r="D837" s="22">
        <v>43555</v>
      </c>
      <c r="E837" s="8" t="s">
        <v>39</v>
      </c>
      <c r="F837" s="8" t="s">
        <v>273</v>
      </c>
      <c r="G837" s="8" t="s">
        <v>202</v>
      </c>
      <c r="I837" s="10">
        <v>0.8</v>
      </c>
      <c r="J837" s="10">
        <v>0.8</v>
      </c>
      <c r="L837" s="10">
        <v>0</v>
      </c>
      <c r="M837" s="13">
        <v>0</v>
      </c>
      <c r="N837" s="13"/>
      <c r="O837" s="10">
        <v>0</v>
      </c>
      <c r="P837" s="10">
        <v>0</v>
      </c>
      <c r="Q837" s="14">
        <v>0</v>
      </c>
      <c r="R837" s="14">
        <v>0</v>
      </c>
      <c r="S837" s="10">
        <v>0</v>
      </c>
      <c r="T837" s="10">
        <v>0</v>
      </c>
      <c r="U837" s="14">
        <v>0</v>
      </c>
      <c r="V837" s="10"/>
      <c r="W837" s="11">
        <v>1</v>
      </c>
      <c r="X837" s="11">
        <v>1</v>
      </c>
      <c r="Y837" s="11">
        <v>0</v>
      </c>
      <c r="Z837" s="11">
        <v>0</v>
      </c>
      <c r="AA837" s="11">
        <f>MasterTable[[#This Row],[Landings
Night]]+MasterTable[[#This Row],[Landings
Day]]</f>
        <v>1</v>
      </c>
      <c r="AB837" s="10">
        <v>0</v>
      </c>
      <c r="AC837" s="10">
        <v>0</v>
      </c>
      <c r="AD837" s="11">
        <v>0</v>
      </c>
      <c r="AE837" s="21">
        <f>SUM(MasterTable[[#This Row],[ILS]:[PAR]])</f>
        <v>0</v>
      </c>
      <c r="AL837" s="11"/>
      <c r="AR837" s="140" t="str">
        <f>_xlfn.XLOOKUP(MasterTable[[#This Row],[Aircraft ID]],Aircraft!A:A,Aircraft!H:H)</f>
        <v>Airplane Single Engine Land</v>
      </c>
      <c r="AS837" s="8" t="b">
        <f>OR((SUM(MasterTable[[#This Row],[ILS]:[PAR]]) = MasterTable[[#This Row],[APPR]]))</f>
        <v>1</v>
      </c>
      <c r="AT837" s="8" t="b">
        <f>NOT(ISBLANK(MasterTable[[#This Row],[Total
Time]]))</f>
        <v>1</v>
      </c>
    </row>
    <row r="838" spans="4:46" ht="28.8" x14ac:dyDescent="0.3">
      <c r="D838" s="22">
        <v>43555</v>
      </c>
      <c r="E838" s="8" t="s">
        <v>174</v>
      </c>
      <c r="F838" s="8" t="s">
        <v>202</v>
      </c>
      <c r="G838" s="8" t="s">
        <v>273</v>
      </c>
      <c r="I838" s="10">
        <v>2.2000000000000002</v>
      </c>
      <c r="J838" s="10">
        <v>2.2000000000000002</v>
      </c>
      <c r="L838" s="10">
        <v>0</v>
      </c>
      <c r="M838" s="13">
        <v>0</v>
      </c>
      <c r="N838" s="13"/>
      <c r="O838" s="10">
        <v>0</v>
      </c>
      <c r="P838" s="10">
        <v>0</v>
      </c>
      <c r="Q838" s="14">
        <v>0</v>
      </c>
      <c r="R838" s="14">
        <v>0</v>
      </c>
      <c r="S838" s="10">
        <v>0</v>
      </c>
      <c r="T838" s="10">
        <v>2.2000000000000002</v>
      </c>
      <c r="U838" s="14">
        <v>0</v>
      </c>
      <c r="V838" s="10"/>
      <c r="W838" s="11">
        <v>1</v>
      </c>
      <c r="X838" s="11">
        <v>1</v>
      </c>
      <c r="Y838" s="11">
        <v>0</v>
      </c>
      <c r="Z838" s="11">
        <v>0</v>
      </c>
      <c r="AA838" s="11">
        <f>MasterTable[[#This Row],[Landings
Night]]+MasterTable[[#This Row],[Landings
Day]]</f>
        <v>1</v>
      </c>
      <c r="AB838" s="10">
        <v>0</v>
      </c>
      <c r="AC838" s="10">
        <v>0</v>
      </c>
      <c r="AD838" s="11">
        <v>0</v>
      </c>
      <c r="AE838" s="21">
        <f>SUM(MasterTable[[#This Row],[ILS]:[PAR]])</f>
        <v>0</v>
      </c>
      <c r="AL838" s="11"/>
      <c r="AR838" s="140" t="str">
        <f>_xlfn.XLOOKUP(MasterTable[[#This Row],[Aircraft ID]],Aircraft!A:A,Aircraft!H:H)</f>
        <v>Airplane Single Engine Land</v>
      </c>
      <c r="AS838" s="8" t="b">
        <f>OR((SUM(MasterTable[[#This Row],[ILS]:[PAR]]) = MasterTable[[#This Row],[APPR]]))</f>
        <v>1</v>
      </c>
      <c r="AT838" s="8" t="b">
        <f>NOT(ISBLANK(MasterTable[[#This Row],[Total
Time]]))</f>
        <v>1</v>
      </c>
    </row>
    <row r="839" spans="4:46" ht="28.8" x14ac:dyDescent="0.3">
      <c r="D839" s="22">
        <v>43553</v>
      </c>
      <c r="E839" s="8" t="s">
        <v>174</v>
      </c>
      <c r="F839" s="8" t="s">
        <v>202</v>
      </c>
      <c r="G839" s="8" t="s">
        <v>224</v>
      </c>
      <c r="H839" s="8" t="s">
        <v>288</v>
      </c>
      <c r="I839" s="10">
        <v>4.8</v>
      </c>
      <c r="J839" s="10">
        <v>4.8</v>
      </c>
      <c r="L839" s="10">
        <v>0</v>
      </c>
      <c r="M839" s="13">
        <v>0</v>
      </c>
      <c r="N839" s="13"/>
      <c r="O839" s="10">
        <v>0</v>
      </c>
      <c r="P839" s="10">
        <v>0</v>
      </c>
      <c r="Q839" s="14">
        <v>0</v>
      </c>
      <c r="R839" s="14">
        <v>0</v>
      </c>
      <c r="S839" s="10">
        <v>0</v>
      </c>
      <c r="T839" s="10">
        <v>4.8</v>
      </c>
      <c r="U839" s="14">
        <v>0</v>
      </c>
      <c r="V839" s="10"/>
      <c r="W839" s="11">
        <v>3</v>
      </c>
      <c r="X839" s="11">
        <v>3</v>
      </c>
      <c r="Y839" s="11">
        <v>0</v>
      </c>
      <c r="Z839" s="11">
        <v>0</v>
      </c>
      <c r="AA839" s="11">
        <f>MasterTable[[#This Row],[Landings
Night]]+MasterTable[[#This Row],[Landings
Day]]</f>
        <v>3</v>
      </c>
      <c r="AB839" s="10">
        <v>0</v>
      </c>
      <c r="AC839" s="10">
        <v>0</v>
      </c>
      <c r="AD839" s="11">
        <v>0</v>
      </c>
      <c r="AE839" s="21">
        <f>SUM(MasterTable[[#This Row],[ILS]:[PAR]])</f>
        <v>0</v>
      </c>
      <c r="AL839" s="11"/>
      <c r="AR839" s="140" t="str">
        <f>_xlfn.XLOOKUP(MasterTable[[#This Row],[Aircraft ID]],Aircraft!A:A,Aircraft!H:H)</f>
        <v>Airplane Single Engine Land</v>
      </c>
      <c r="AS839" s="8" t="b">
        <f>OR((SUM(MasterTable[[#This Row],[ILS]:[PAR]]) = MasterTable[[#This Row],[APPR]]))</f>
        <v>1</v>
      </c>
      <c r="AT839" s="8" t="b">
        <f>NOT(ISBLANK(MasterTable[[#This Row],[Total
Time]]))</f>
        <v>1</v>
      </c>
    </row>
    <row r="840" spans="4:46" ht="28.8" x14ac:dyDescent="0.3">
      <c r="D840" s="22">
        <v>43551</v>
      </c>
      <c r="E840" s="8" t="s">
        <v>50</v>
      </c>
      <c r="F840" s="8" t="s">
        <v>202</v>
      </c>
      <c r="G840" s="8" t="s">
        <v>289</v>
      </c>
      <c r="I840" s="10">
        <v>3.5</v>
      </c>
      <c r="J840" s="10">
        <v>0</v>
      </c>
      <c r="L840" s="10">
        <v>3.5</v>
      </c>
      <c r="M840" s="13">
        <v>0</v>
      </c>
      <c r="N840" s="13"/>
      <c r="O840" s="10">
        <v>0</v>
      </c>
      <c r="P840" s="10">
        <v>0</v>
      </c>
      <c r="Q840" s="14">
        <v>0</v>
      </c>
      <c r="R840" s="14">
        <v>0</v>
      </c>
      <c r="S840" s="10">
        <v>0.5</v>
      </c>
      <c r="T840" s="10">
        <v>3.5</v>
      </c>
      <c r="U840" s="14">
        <v>0</v>
      </c>
      <c r="V840" s="10"/>
      <c r="W840" s="11">
        <v>2</v>
      </c>
      <c r="X840" s="11">
        <v>2</v>
      </c>
      <c r="Y840" s="11">
        <v>0</v>
      </c>
      <c r="Z840" s="11">
        <v>0</v>
      </c>
      <c r="AA840" s="11">
        <f>MasterTable[[#This Row],[Landings
Night]]+MasterTable[[#This Row],[Landings
Day]]</f>
        <v>2</v>
      </c>
      <c r="AB840" s="10">
        <v>0.8</v>
      </c>
      <c r="AC840" s="10">
        <v>0</v>
      </c>
      <c r="AD840" s="11">
        <v>0</v>
      </c>
      <c r="AE840" s="21">
        <f>SUM(MasterTable[[#This Row],[ILS]:[PAR]])</f>
        <v>1</v>
      </c>
      <c r="AI840" s="11">
        <v>1</v>
      </c>
      <c r="AL840" s="11">
        <v>1</v>
      </c>
      <c r="AR840" s="140" t="str">
        <f>_xlfn.XLOOKUP(MasterTable[[#This Row],[Aircraft ID]],Aircraft!A:A,Aircraft!H:H)</f>
        <v>Airplane Multi Engine Land</v>
      </c>
      <c r="AS840" s="8" t="b">
        <f>OR((SUM(MasterTable[[#This Row],[ILS]:[PAR]]) = MasterTable[[#This Row],[APPR]]))</f>
        <v>1</v>
      </c>
      <c r="AT840" s="8" t="b">
        <f>NOT(ISBLANK(MasterTable[[#This Row],[Total
Time]]))</f>
        <v>1</v>
      </c>
    </row>
    <row r="841" spans="4:46" ht="28.8" x14ac:dyDescent="0.3">
      <c r="D841" s="22">
        <v>43548</v>
      </c>
      <c r="E841" s="8" t="s">
        <v>174</v>
      </c>
      <c r="F841" s="8" t="s">
        <v>202</v>
      </c>
      <c r="G841" s="8" t="s">
        <v>290</v>
      </c>
      <c r="H841" s="8" t="s">
        <v>291</v>
      </c>
      <c r="I841" s="10">
        <v>3.6</v>
      </c>
      <c r="J841" s="10">
        <v>3.6</v>
      </c>
      <c r="L841" s="10">
        <v>0</v>
      </c>
      <c r="M841" s="13">
        <v>0</v>
      </c>
      <c r="N841" s="13"/>
      <c r="O841" s="10">
        <v>0</v>
      </c>
      <c r="P841" s="10">
        <v>0</v>
      </c>
      <c r="Q841" s="14">
        <v>0</v>
      </c>
      <c r="R841" s="14">
        <v>0</v>
      </c>
      <c r="S841" s="10">
        <v>2.4</v>
      </c>
      <c r="T841" s="10">
        <v>3.6</v>
      </c>
      <c r="U841" s="14">
        <v>0</v>
      </c>
      <c r="V841" s="10"/>
      <c r="W841" s="11">
        <v>0</v>
      </c>
      <c r="X841" s="11">
        <v>0</v>
      </c>
      <c r="Y841" s="11">
        <v>3</v>
      </c>
      <c r="Z841" s="11">
        <v>3</v>
      </c>
      <c r="AA841" s="11">
        <f>MasterTable[[#This Row],[Landings
Night]]+MasterTable[[#This Row],[Landings
Day]]</f>
        <v>3</v>
      </c>
      <c r="AB841" s="10">
        <v>0</v>
      </c>
      <c r="AC841" s="10">
        <v>0</v>
      </c>
      <c r="AD841" s="11">
        <v>0</v>
      </c>
      <c r="AE841" s="21">
        <f>SUM(MasterTable[[#This Row],[ILS]:[PAR]])</f>
        <v>0</v>
      </c>
      <c r="AL841" s="11"/>
      <c r="AR841" s="140" t="str">
        <f>_xlfn.XLOOKUP(MasterTable[[#This Row],[Aircraft ID]],Aircraft!A:A,Aircraft!H:H)</f>
        <v>Airplane Single Engine Land</v>
      </c>
      <c r="AS841" s="8" t="b">
        <f>OR((SUM(MasterTable[[#This Row],[ILS]:[PAR]]) = MasterTable[[#This Row],[APPR]]))</f>
        <v>1</v>
      </c>
      <c r="AT841" s="8" t="b">
        <f>NOT(ISBLANK(MasterTable[[#This Row],[Total
Time]]))</f>
        <v>1</v>
      </c>
    </row>
    <row r="842" spans="4:46" ht="28.8" x14ac:dyDescent="0.3">
      <c r="D842" s="22">
        <v>43534</v>
      </c>
      <c r="E842" s="8" t="s">
        <v>36</v>
      </c>
      <c r="F842" s="8" t="s">
        <v>202</v>
      </c>
      <c r="G842" s="8" t="s">
        <v>202</v>
      </c>
      <c r="I842" s="10">
        <v>0.8</v>
      </c>
      <c r="J842" s="10">
        <v>0.8</v>
      </c>
      <c r="L842" s="10">
        <v>0</v>
      </c>
      <c r="M842" s="13">
        <v>0</v>
      </c>
      <c r="N842" s="13"/>
      <c r="O842" s="10">
        <v>0</v>
      </c>
      <c r="P842" s="10">
        <v>0</v>
      </c>
      <c r="Q842" s="14">
        <v>0</v>
      </c>
      <c r="R842" s="14">
        <v>0</v>
      </c>
      <c r="S842" s="10">
        <v>0</v>
      </c>
      <c r="T842" s="10">
        <v>0</v>
      </c>
      <c r="U842" s="14">
        <v>0</v>
      </c>
      <c r="V842" s="10"/>
      <c r="W842" s="11">
        <v>1</v>
      </c>
      <c r="X842" s="11">
        <v>1</v>
      </c>
      <c r="Y842" s="11">
        <v>0</v>
      </c>
      <c r="Z842" s="11">
        <v>0</v>
      </c>
      <c r="AA842" s="11">
        <f>MasterTable[[#This Row],[Landings
Night]]+MasterTable[[#This Row],[Landings
Day]]</f>
        <v>1</v>
      </c>
      <c r="AB842" s="10">
        <v>0</v>
      </c>
      <c r="AC842" s="10">
        <v>0.6</v>
      </c>
      <c r="AD842" s="11">
        <v>0</v>
      </c>
      <c r="AE842" s="21">
        <f>SUM(MasterTable[[#This Row],[ILS]:[PAR]])</f>
        <v>1</v>
      </c>
      <c r="AF842" s="11">
        <v>1</v>
      </c>
      <c r="AL842" s="11"/>
      <c r="AR842" s="140" t="str">
        <f>_xlfn.XLOOKUP(MasterTable[[#This Row],[Aircraft ID]],Aircraft!A:A,Aircraft!H:H)</f>
        <v>Airplane Single Engine Land</v>
      </c>
      <c r="AS842" s="8" t="b">
        <f>OR((SUM(MasterTable[[#This Row],[ILS]:[PAR]]) = MasterTable[[#This Row],[APPR]]))</f>
        <v>1</v>
      </c>
      <c r="AT842" s="8" t="b">
        <f>NOT(ISBLANK(MasterTable[[#This Row],[Total
Time]]))</f>
        <v>1</v>
      </c>
    </row>
    <row r="843" spans="4:46" ht="28.8" x14ac:dyDescent="0.3">
      <c r="D843" s="22">
        <v>43534</v>
      </c>
      <c r="E843" s="8" t="s">
        <v>174</v>
      </c>
      <c r="F843" s="8" t="s">
        <v>248</v>
      </c>
      <c r="G843" s="8" t="s">
        <v>202</v>
      </c>
      <c r="H843" s="8" t="s">
        <v>292</v>
      </c>
      <c r="I843" s="10">
        <v>4.7</v>
      </c>
      <c r="J843" s="10">
        <v>4.7</v>
      </c>
      <c r="L843" s="10">
        <v>0</v>
      </c>
      <c r="M843" s="13">
        <v>0</v>
      </c>
      <c r="N843" s="13"/>
      <c r="O843" s="10">
        <v>0</v>
      </c>
      <c r="P843" s="10">
        <v>0</v>
      </c>
      <c r="Q843" s="14">
        <v>0</v>
      </c>
      <c r="R843" s="14">
        <v>0</v>
      </c>
      <c r="S843" s="10">
        <v>0</v>
      </c>
      <c r="T843" s="10">
        <v>4.7</v>
      </c>
      <c r="U843" s="14">
        <v>0</v>
      </c>
      <c r="V843" s="10"/>
      <c r="W843" s="11">
        <v>3</v>
      </c>
      <c r="X843" s="11">
        <v>3</v>
      </c>
      <c r="Y843" s="11">
        <v>0</v>
      </c>
      <c r="Z843" s="11">
        <v>0</v>
      </c>
      <c r="AA843" s="11">
        <f>MasterTable[[#This Row],[Landings
Night]]+MasterTable[[#This Row],[Landings
Day]]</f>
        <v>3</v>
      </c>
      <c r="AB843" s="10">
        <v>0</v>
      </c>
      <c r="AC843" s="10">
        <v>0</v>
      </c>
      <c r="AD843" s="11">
        <v>0</v>
      </c>
      <c r="AE843" s="21">
        <f>SUM(MasterTable[[#This Row],[ILS]:[PAR]])</f>
        <v>0</v>
      </c>
      <c r="AL843" s="11"/>
      <c r="AR843" s="140" t="str">
        <f>_xlfn.XLOOKUP(MasterTable[[#This Row],[Aircraft ID]],Aircraft!A:A,Aircraft!H:H)</f>
        <v>Airplane Single Engine Land</v>
      </c>
      <c r="AS843" s="8" t="b">
        <f>OR((SUM(MasterTable[[#This Row],[ILS]:[PAR]]) = MasterTable[[#This Row],[APPR]]))</f>
        <v>1</v>
      </c>
      <c r="AT843" s="8" t="b">
        <f>NOT(ISBLANK(MasterTable[[#This Row],[Total
Time]]))</f>
        <v>1</v>
      </c>
    </row>
    <row r="844" spans="4:46" ht="28.8" x14ac:dyDescent="0.3">
      <c r="D844" s="22">
        <v>43533</v>
      </c>
      <c r="E844" s="8" t="s">
        <v>174</v>
      </c>
      <c r="F844" s="8" t="s">
        <v>204</v>
      </c>
      <c r="G844" s="8" t="s">
        <v>248</v>
      </c>
      <c r="I844" s="10">
        <v>3</v>
      </c>
      <c r="J844" s="10">
        <v>3</v>
      </c>
      <c r="L844" s="10">
        <v>0</v>
      </c>
      <c r="M844" s="13">
        <v>0</v>
      </c>
      <c r="N844" s="13"/>
      <c r="O844" s="10">
        <v>0</v>
      </c>
      <c r="P844" s="10">
        <v>0</v>
      </c>
      <c r="Q844" s="14">
        <v>0</v>
      </c>
      <c r="R844" s="14">
        <v>0</v>
      </c>
      <c r="S844" s="10">
        <v>0</v>
      </c>
      <c r="T844" s="10">
        <v>3</v>
      </c>
      <c r="U844" s="14">
        <v>0</v>
      </c>
      <c r="V844" s="10"/>
      <c r="W844" s="11">
        <v>1</v>
      </c>
      <c r="X844" s="11">
        <v>1</v>
      </c>
      <c r="Y844" s="11">
        <v>0</v>
      </c>
      <c r="Z844" s="11">
        <v>0</v>
      </c>
      <c r="AA844" s="11">
        <f>MasterTable[[#This Row],[Landings
Night]]+MasterTable[[#This Row],[Landings
Day]]</f>
        <v>1</v>
      </c>
      <c r="AB844" s="10">
        <v>0</v>
      </c>
      <c r="AC844" s="10">
        <v>0</v>
      </c>
      <c r="AD844" s="11">
        <v>0</v>
      </c>
      <c r="AE844" s="21">
        <f>SUM(MasterTable[[#This Row],[ILS]:[PAR]])</f>
        <v>0</v>
      </c>
      <c r="AL844" s="11"/>
      <c r="AR844" s="140" t="str">
        <f>_xlfn.XLOOKUP(MasterTable[[#This Row],[Aircraft ID]],Aircraft!A:A,Aircraft!H:H)</f>
        <v>Airplane Single Engine Land</v>
      </c>
      <c r="AS844" s="8" t="b">
        <f>OR((SUM(MasterTable[[#This Row],[ILS]:[PAR]]) = MasterTable[[#This Row],[APPR]]))</f>
        <v>1</v>
      </c>
      <c r="AT844" s="8" t="b">
        <f>NOT(ISBLANK(MasterTable[[#This Row],[Total
Time]]))</f>
        <v>1</v>
      </c>
    </row>
    <row r="845" spans="4:46" ht="28.8" x14ac:dyDescent="0.3">
      <c r="D845" s="22">
        <v>43532</v>
      </c>
      <c r="E845" s="8" t="s">
        <v>174</v>
      </c>
      <c r="F845" s="8" t="s">
        <v>202</v>
      </c>
      <c r="G845" s="8" t="s">
        <v>204</v>
      </c>
      <c r="I845" s="10">
        <v>1.6</v>
      </c>
      <c r="J845" s="10">
        <v>1.6</v>
      </c>
      <c r="L845" s="10">
        <v>0</v>
      </c>
      <c r="M845" s="13">
        <v>0</v>
      </c>
      <c r="N845" s="13"/>
      <c r="O845" s="10">
        <v>0</v>
      </c>
      <c r="P845" s="10">
        <v>0</v>
      </c>
      <c r="Q845" s="14">
        <v>0</v>
      </c>
      <c r="R845" s="14">
        <v>0</v>
      </c>
      <c r="S845" s="10">
        <v>0.2</v>
      </c>
      <c r="T845" s="10">
        <v>1.6</v>
      </c>
      <c r="U845" s="14">
        <v>0</v>
      </c>
      <c r="V845" s="10"/>
      <c r="W845" s="11">
        <v>1</v>
      </c>
      <c r="X845" s="11">
        <v>0</v>
      </c>
      <c r="Y845" s="11">
        <v>0</v>
      </c>
      <c r="Z845" s="11">
        <v>1</v>
      </c>
      <c r="AA845" s="11">
        <f>MasterTable[[#This Row],[Landings
Night]]+MasterTable[[#This Row],[Landings
Day]]</f>
        <v>1</v>
      </c>
      <c r="AB845" s="10">
        <v>0</v>
      </c>
      <c r="AC845" s="10">
        <v>0</v>
      </c>
      <c r="AD845" s="11">
        <v>0</v>
      </c>
      <c r="AE845" s="21">
        <f>SUM(MasterTable[[#This Row],[ILS]:[PAR]])</f>
        <v>0</v>
      </c>
      <c r="AL845" s="11"/>
      <c r="AR845" s="140" t="str">
        <f>_xlfn.XLOOKUP(MasterTable[[#This Row],[Aircraft ID]],Aircraft!A:A,Aircraft!H:H)</f>
        <v>Airplane Single Engine Land</v>
      </c>
      <c r="AS845" s="8" t="b">
        <f>OR((SUM(MasterTable[[#This Row],[ILS]:[PAR]]) = MasterTable[[#This Row],[APPR]]))</f>
        <v>1</v>
      </c>
      <c r="AT845" s="8" t="b">
        <f>NOT(ISBLANK(MasterTable[[#This Row],[Total
Time]]))</f>
        <v>1</v>
      </c>
    </row>
    <row r="846" spans="4:46" ht="28.8" x14ac:dyDescent="0.3">
      <c r="D846" s="22">
        <v>43467</v>
      </c>
      <c r="E846" s="8" t="s">
        <v>72</v>
      </c>
      <c r="F846" s="8" t="s">
        <v>202</v>
      </c>
      <c r="G846" s="8" t="s">
        <v>293</v>
      </c>
      <c r="I846" s="10">
        <v>2.4</v>
      </c>
      <c r="J846" s="10">
        <v>2.4</v>
      </c>
      <c r="L846" s="10">
        <v>0</v>
      </c>
      <c r="M846" s="13">
        <v>0</v>
      </c>
      <c r="N846" s="13"/>
      <c r="O846" s="10">
        <v>0</v>
      </c>
      <c r="P846" s="10">
        <v>0</v>
      </c>
      <c r="Q846" s="14">
        <v>0</v>
      </c>
      <c r="R846" s="14">
        <v>0</v>
      </c>
      <c r="S846" s="10">
        <v>0</v>
      </c>
      <c r="T846" s="10">
        <v>0</v>
      </c>
      <c r="U846" s="14">
        <v>0</v>
      </c>
      <c r="V846" s="10"/>
      <c r="W846" s="11">
        <v>2</v>
      </c>
      <c r="X846" s="11">
        <v>2</v>
      </c>
      <c r="Y846" s="11">
        <v>0</v>
      </c>
      <c r="Z846" s="11">
        <v>0</v>
      </c>
      <c r="AA846" s="11">
        <f>MasterTable[[#This Row],[Landings
Night]]+MasterTable[[#This Row],[Landings
Day]]</f>
        <v>2</v>
      </c>
      <c r="AB846" s="10">
        <v>0</v>
      </c>
      <c r="AC846" s="10">
        <v>0.2</v>
      </c>
      <c r="AD846" s="11">
        <v>0</v>
      </c>
      <c r="AE846" s="21">
        <f>SUM(MasterTable[[#This Row],[ILS]:[PAR]])</f>
        <v>1</v>
      </c>
      <c r="AI846" s="11">
        <v>1</v>
      </c>
      <c r="AL846" s="11"/>
      <c r="AR846" s="140" t="str">
        <f>_xlfn.XLOOKUP(MasterTable[[#This Row],[Aircraft ID]],Aircraft!A:A,Aircraft!H:H)</f>
        <v>Airplane Multi Engine Land</v>
      </c>
      <c r="AS846" s="8" t="b">
        <f>OR((SUM(MasterTable[[#This Row],[ILS]:[PAR]]) = MasterTable[[#This Row],[APPR]]))</f>
        <v>1</v>
      </c>
      <c r="AT846" s="8" t="b">
        <f>NOT(ISBLANK(MasterTable[[#This Row],[Total
Time]]))</f>
        <v>1</v>
      </c>
    </row>
    <row r="847" spans="4:46" ht="28.8" x14ac:dyDescent="0.3">
      <c r="D847" s="22">
        <v>43467</v>
      </c>
      <c r="E847" s="8" t="s">
        <v>174</v>
      </c>
      <c r="F847" s="8" t="s">
        <v>202</v>
      </c>
      <c r="G847" s="8" t="s">
        <v>202</v>
      </c>
      <c r="I847" s="10">
        <v>1.2</v>
      </c>
      <c r="J847" s="10">
        <v>1.2</v>
      </c>
      <c r="L847" s="10">
        <v>0</v>
      </c>
      <c r="M847" s="13">
        <v>0</v>
      </c>
      <c r="N847" s="13"/>
      <c r="O847" s="10">
        <v>0</v>
      </c>
      <c r="P847" s="10">
        <v>0</v>
      </c>
      <c r="Q847" s="14">
        <v>0</v>
      </c>
      <c r="R847" s="14">
        <v>0</v>
      </c>
      <c r="S847" s="10">
        <v>0.4</v>
      </c>
      <c r="T847" s="10">
        <v>0</v>
      </c>
      <c r="U847" s="14">
        <v>0</v>
      </c>
      <c r="V847" s="10"/>
      <c r="W847" s="11">
        <v>1</v>
      </c>
      <c r="X847" s="11">
        <v>0</v>
      </c>
      <c r="Y847" s="11">
        <v>0</v>
      </c>
      <c r="Z847" s="11">
        <v>1</v>
      </c>
      <c r="AA847" s="11">
        <f>MasterTable[[#This Row],[Landings
Night]]+MasterTable[[#This Row],[Landings
Day]]</f>
        <v>1</v>
      </c>
      <c r="AB847" s="10">
        <v>0</v>
      </c>
      <c r="AC847" s="10">
        <v>0</v>
      </c>
      <c r="AD847" s="11">
        <v>0</v>
      </c>
      <c r="AE847" s="21">
        <f>SUM(MasterTable[[#This Row],[ILS]:[PAR]])</f>
        <v>0</v>
      </c>
      <c r="AL847" s="11"/>
      <c r="AR847" s="140" t="str">
        <f>_xlfn.XLOOKUP(MasterTable[[#This Row],[Aircraft ID]],Aircraft!A:A,Aircraft!H:H)</f>
        <v>Airplane Single Engine Land</v>
      </c>
      <c r="AS847" s="8" t="b">
        <f>OR((SUM(MasterTable[[#This Row],[ILS]:[PAR]]) = MasterTable[[#This Row],[APPR]]))</f>
        <v>1</v>
      </c>
      <c r="AT847" s="8" t="b">
        <f>NOT(ISBLANK(MasterTable[[#This Row],[Total
Time]]))</f>
        <v>1</v>
      </c>
    </row>
    <row r="848" spans="4:46" ht="28.8" x14ac:dyDescent="0.3">
      <c r="D848" s="22">
        <v>43462</v>
      </c>
      <c r="E848" s="8" t="s">
        <v>174</v>
      </c>
      <c r="F848" s="8" t="s">
        <v>202</v>
      </c>
      <c r="G848" s="8" t="s">
        <v>202</v>
      </c>
      <c r="I848" s="10">
        <v>1.3</v>
      </c>
      <c r="J848" s="10">
        <v>1.3</v>
      </c>
      <c r="L848" s="10">
        <v>0</v>
      </c>
      <c r="M848" s="13">
        <v>0</v>
      </c>
      <c r="N848" s="13"/>
      <c r="O848" s="10">
        <v>0</v>
      </c>
      <c r="P848" s="10">
        <v>0</v>
      </c>
      <c r="Q848" s="14">
        <v>0</v>
      </c>
      <c r="R848" s="14">
        <v>0</v>
      </c>
      <c r="S848" s="10">
        <v>0</v>
      </c>
      <c r="T848" s="10">
        <v>0</v>
      </c>
      <c r="U848" s="14">
        <v>0</v>
      </c>
      <c r="V848" s="10"/>
      <c r="W848" s="11">
        <v>1</v>
      </c>
      <c r="X848" s="11">
        <v>1</v>
      </c>
      <c r="Y848" s="11">
        <v>0</v>
      </c>
      <c r="Z848" s="11">
        <v>0</v>
      </c>
      <c r="AA848" s="11">
        <f>MasterTable[[#This Row],[Landings
Night]]+MasterTable[[#This Row],[Landings
Day]]</f>
        <v>1</v>
      </c>
      <c r="AB848" s="10">
        <v>0</v>
      </c>
      <c r="AC848" s="10">
        <v>0</v>
      </c>
      <c r="AD848" s="11">
        <v>0</v>
      </c>
      <c r="AE848" s="21">
        <f>SUM(MasterTable[[#This Row],[ILS]:[PAR]])</f>
        <v>0</v>
      </c>
      <c r="AL848" s="11"/>
      <c r="AR848" s="140" t="str">
        <f>_xlfn.XLOOKUP(MasterTable[[#This Row],[Aircraft ID]],Aircraft!A:A,Aircraft!H:H)</f>
        <v>Airplane Single Engine Land</v>
      </c>
      <c r="AS848" s="8" t="b">
        <f>OR((SUM(MasterTable[[#This Row],[ILS]:[PAR]]) = MasterTable[[#This Row],[APPR]]))</f>
        <v>1</v>
      </c>
      <c r="AT848" s="8" t="b">
        <f>NOT(ISBLANK(MasterTable[[#This Row],[Total
Time]]))</f>
        <v>1</v>
      </c>
    </row>
    <row r="849" spans="4:46" ht="28.8" x14ac:dyDescent="0.3">
      <c r="D849" s="22">
        <v>43460</v>
      </c>
      <c r="E849" s="8" t="s">
        <v>174</v>
      </c>
      <c r="F849" s="8" t="s">
        <v>202</v>
      </c>
      <c r="G849" s="8" t="s">
        <v>265</v>
      </c>
      <c r="I849" s="10">
        <v>1.1000000000000001</v>
      </c>
      <c r="J849" s="10">
        <v>1.1000000000000001</v>
      </c>
      <c r="L849" s="10">
        <v>0</v>
      </c>
      <c r="M849" s="13">
        <v>0</v>
      </c>
      <c r="N849" s="13"/>
      <c r="O849" s="10">
        <v>0</v>
      </c>
      <c r="P849" s="10">
        <v>0</v>
      </c>
      <c r="Q849" s="14">
        <v>0</v>
      </c>
      <c r="R849" s="14">
        <v>0</v>
      </c>
      <c r="S849" s="10">
        <v>0</v>
      </c>
      <c r="T849" s="10">
        <v>0</v>
      </c>
      <c r="U849" s="14">
        <v>0</v>
      </c>
      <c r="V849" s="10"/>
      <c r="W849" s="11">
        <v>2</v>
      </c>
      <c r="X849" s="11">
        <v>2</v>
      </c>
      <c r="Y849" s="11">
        <v>0</v>
      </c>
      <c r="Z849" s="11">
        <v>0</v>
      </c>
      <c r="AA849" s="11">
        <f>MasterTable[[#This Row],[Landings
Night]]+MasterTable[[#This Row],[Landings
Day]]</f>
        <v>2</v>
      </c>
      <c r="AB849" s="10">
        <v>0</v>
      </c>
      <c r="AC849" s="10">
        <v>0</v>
      </c>
      <c r="AD849" s="11">
        <v>0</v>
      </c>
      <c r="AE849" s="21">
        <f>SUM(MasterTable[[#This Row],[ILS]:[PAR]])</f>
        <v>0</v>
      </c>
      <c r="AL849" s="11"/>
      <c r="AR849" s="140" t="str">
        <f>_xlfn.XLOOKUP(MasterTable[[#This Row],[Aircraft ID]],Aircraft!A:A,Aircraft!H:H)</f>
        <v>Airplane Single Engine Land</v>
      </c>
      <c r="AS849" s="8" t="b">
        <f>OR((SUM(MasterTable[[#This Row],[ILS]:[PAR]]) = MasterTable[[#This Row],[APPR]]))</f>
        <v>1</v>
      </c>
      <c r="AT849" s="8" t="b">
        <f>NOT(ISBLANK(MasterTable[[#This Row],[Total
Time]]))</f>
        <v>1</v>
      </c>
    </row>
    <row r="850" spans="4:46" ht="28.8" x14ac:dyDescent="0.3">
      <c r="D850" s="22">
        <v>43452</v>
      </c>
      <c r="E850" s="8" t="s">
        <v>174</v>
      </c>
      <c r="F850" s="8" t="s">
        <v>202</v>
      </c>
      <c r="G850" s="8" t="s">
        <v>275</v>
      </c>
      <c r="H850" s="8" t="s">
        <v>294</v>
      </c>
      <c r="I850" s="10">
        <v>4.2</v>
      </c>
      <c r="J850" s="10">
        <v>4.2</v>
      </c>
      <c r="L850" s="10">
        <v>0</v>
      </c>
      <c r="M850" s="13">
        <v>0</v>
      </c>
      <c r="N850" s="13"/>
      <c r="O850" s="10">
        <v>0</v>
      </c>
      <c r="P850" s="10">
        <v>0</v>
      </c>
      <c r="Q850" s="14">
        <v>0</v>
      </c>
      <c r="R850" s="14">
        <v>0</v>
      </c>
      <c r="S850" s="10">
        <v>0</v>
      </c>
      <c r="T850" s="10">
        <v>4.2</v>
      </c>
      <c r="U850" s="14">
        <v>0</v>
      </c>
      <c r="V850" s="10"/>
      <c r="W850" s="11">
        <v>3</v>
      </c>
      <c r="X850" s="11">
        <v>3</v>
      </c>
      <c r="Y850" s="11">
        <v>0</v>
      </c>
      <c r="Z850" s="11">
        <v>0</v>
      </c>
      <c r="AA850" s="11">
        <f>MasterTable[[#This Row],[Landings
Night]]+MasterTable[[#This Row],[Landings
Day]]</f>
        <v>3</v>
      </c>
      <c r="AB850" s="10">
        <v>0</v>
      </c>
      <c r="AC850" s="10">
        <v>0</v>
      </c>
      <c r="AD850" s="11">
        <v>0</v>
      </c>
      <c r="AE850" s="21">
        <f>SUM(MasterTable[[#This Row],[ILS]:[PAR]])</f>
        <v>0</v>
      </c>
      <c r="AL850" s="11"/>
      <c r="AR850" s="140" t="str">
        <f>_xlfn.XLOOKUP(MasterTable[[#This Row],[Aircraft ID]],Aircraft!A:A,Aircraft!H:H)</f>
        <v>Airplane Single Engine Land</v>
      </c>
      <c r="AS850" s="8" t="b">
        <f>OR((SUM(MasterTable[[#This Row],[ILS]:[PAR]]) = MasterTable[[#This Row],[APPR]]))</f>
        <v>1</v>
      </c>
      <c r="AT850" s="8" t="b">
        <f>NOT(ISBLANK(MasterTable[[#This Row],[Total
Time]]))</f>
        <v>1</v>
      </c>
    </row>
    <row r="851" spans="4:46" ht="28.8" x14ac:dyDescent="0.3">
      <c r="D851" s="22">
        <v>43447</v>
      </c>
      <c r="E851" s="8" t="s">
        <v>174</v>
      </c>
      <c r="F851" s="8" t="s">
        <v>265</v>
      </c>
      <c r="G851" s="8" t="s">
        <v>202</v>
      </c>
      <c r="I851" s="10">
        <v>0.8</v>
      </c>
      <c r="J851" s="10">
        <v>0.8</v>
      </c>
      <c r="L851" s="10">
        <v>0</v>
      </c>
      <c r="M851" s="13">
        <v>0</v>
      </c>
      <c r="N851" s="13"/>
      <c r="O851" s="10">
        <v>0</v>
      </c>
      <c r="P851" s="10">
        <v>0</v>
      </c>
      <c r="Q851" s="14">
        <v>0</v>
      </c>
      <c r="R851" s="14">
        <v>0</v>
      </c>
      <c r="S851" s="10">
        <v>0.8</v>
      </c>
      <c r="T851" s="10">
        <v>0</v>
      </c>
      <c r="U851" s="14">
        <v>0</v>
      </c>
      <c r="V851" s="10"/>
      <c r="W851" s="11">
        <v>0</v>
      </c>
      <c r="X851" s="11">
        <v>0</v>
      </c>
      <c r="Y851" s="11">
        <v>3</v>
      </c>
      <c r="Z851" s="11">
        <v>3</v>
      </c>
      <c r="AA851" s="11">
        <f>MasterTable[[#This Row],[Landings
Night]]+MasterTable[[#This Row],[Landings
Day]]</f>
        <v>3</v>
      </c>
      <c r="AB851" s="10">
        <v>0</v>
      </c>
      <c r="AC851" s="10">
        <v>0</v>
      </c>
      <c r="AD851" s="11">
        <v>0</v>
      </c>
      <c r="AE851" s="21">
        <f>SUM(MasterTable[[#This Row],[ILS]:[PAR]])</f>
        <v>0</v>
      </c>
      <c r="AL851" s="11"/>
      <c r="AR851" s="140" t="str">
        <f>_xlfn.XLOOKUP(MasterTable[[#This Row],[Aircraft ID]],Aircraft!A:A,Aircraft!H:H)</f>
        <v>Airplane Single Engine Land</v>
      </c>
      <c r="AS851" s="8" t="b">
        <f>OR((SUM(MasterTable[[#This Row],[ILS]:[PAR]]) = MasterTable[[#This Row],[APPR]]))</f>
        <v>1</v>
      </c>
      <c r="AT851" s="8" t="b">
        <f>NOT(ISBLANK(MasterTable[[#This Row],[Total
Time]]))</f>
        <v>1</v>
      </c>
    </row>
    <row r="852" spans="4:46" ht="28.8" x14ac:dyDescent="0.3">
      <c r="D852" s="22">
        <v>43428</v>
      </c>
      <c r="E852" s="8" t="s">
        <v>72</v>
      </c>
      <c r="F852" s="8" t="s">
        <v>202</v>
      </c>
      <c r="G852" s="8" t="s">
        <v>293</v>
      </c>
      <c r="I852" s="10">
        <v>0.8</v>
      </c>
      <c r="J852" s="10">
        <v>0.8</v>
      </c>
      <c r="L852" s="10">
        <v>0</v>
      </c>
      <c r="M852" s="13">
        <v>0</v>
      </c>
      <c r="N852" s="13"/>
      <c r="O852" s="10">
        <v>0</v>
      </c>
      <c r="P852" s="10">
        <v>0</v>
      </c>
      <c r="Q852" s="14">
        <v>0</v>
      </c>
      <c r="R852" s="14">
        <v>0</v>
      </c>
      <c r="S852" s="10">
        <v>0</v>
      </c>
      <c r="T852" s="10">
        <v>0</v>
      </c>
      <c r="U852" s="14">
        <v>0</v>
      </c>
      <c r="V852" s="10"/>
      <c r="W852" s="11">
        <v>1</v>
      </c>
      <c r="X852" s="11">
        <v>1</v>
      </c>
      <c r="Y852" s="11">
        <v>0</v>
      </c>
      <c r="Z852" s="11">
        <v>0</v>
      </c>
      <c r="AA852" s="11">
        <f>MasterTable[[#This Row],[Landings
Night]]+MasterTable[[#This Row],[Landings
Day]]</f>
        <v>1</v>
      </c>
      <c r="AB852" s="10">
        <v>0.2</v>
      </c>
      <c r="AC852" s="10">
        <v>0</v>
      </c>
      <c r="AD852" s="11">
        <v>2</v>
      </c>
      <c r="AE852" s="21">
        <f>SUM(MasterTable[[#This Row],[ILS]:[PAR]])</f>
        <v>1</v>
      </c>
      <c r="AI852" s="11">
        <v>1</v>
      </c>
      <c r="AL852" s="11"/>
      <c r="AR852" s="140" t="str">
        <f>_xlfn.XLOOKUP(MasterTable[[#This Row],[Aircraft ID]],Aircraft!A:A,Aircraft!H:H)</f>
        <v>Airplane Multi Engine Land</v>
      </c>
      <c r="AS852" s="8" t="b">
        <f>OR((SUM(MasterTable[[#This Row],[ILS]:[PAR]]) = MasterTable[[#This Row],[APPR]]))</f>
        <v>1</v>
      </c>
      <c r="AT852" s="8" t="b">
        <f>NOT(ISBLANK(MasterTable[[#This Row],[Total
Time]]))</f>
        <v>1</v>
      </c>
    </row>
    <row r="853" spans="4:46" ht="28.8" x14ac:dyDescent="0.3">
      <c r="D853" s="22">
        <v>43428</v>
      </c>
      <c r="E853" s="8" t="s">
        <v>174</v>
      </c>
      <c r="F853" s="8" t="s">
        <v>202</v>
      </c>
      <c r="G853" s="8" t="s">
        <v>265</v>
      </c>
      <c r="I853" s="10">
        <v>0.6</v>
      </c>
      <c r="J853" s="10">
        <v>0.6</v>
      </c>
      <c r="L853" s="10">
        <v>0</v>
      </c>
      <c r="M853" s="13">
        <v>0</v>
      </c>
      <c r="N853" s="13"/>
      <c r="O853" s="10">
        <v>0</v>
      </c>
      <c r="P853" s="10">
        <v>0</v>
      </c>
      <c r="Q853" s="14">
        <v>0</v>
      </c>
      <c r="R853" s="14">
        <v>0</v>
      </c>
      <c r="S853" s="10">
        <v>0</v>
      </c>
      <c r="T853" s="10">
        <v>0</v>
      </c>
      <c r="U853" s="14">
        <v>0</v>
      </c>
      <c r="V853" s="10"/>
      <c r="W853" s="11">
        <v>1</v>
      </c>
      <c r="X853" s="11">
        <v>1</v>
      </c>
      <c r="Y853" s="11">
        <v>0</v>
      </c>
      <c r="Z853" s="11">
        <v>0</v>
      </c>
      <c r="AA853" s="11">
        <f>MasterTable[[#This Row],[Landings
Night]]+MasterTable[[#This Row],[Landings
Day]]</f>
        <v>1</v>
      </c>
      <c r="AB853" s="10">
        <v>0</v>
      </c>
      <c r="AC853" s="10">
        <v>0</v>
      </c>
      <c r="AD853" s="11">
        <v>0</v>
      </c>
      <c r="AE853" s="21">
        <f>SUM(MasterTable[[#This Row],[ILS]:[PAR]])</f>
        <v>0</v>
      </c>
      <c r="AL853" s="11"/>
      <c r="AR853" s="140" t="str">
        <f>_xlfn.XLOOKUP(MasterTable[[#This Row],[Aircraft ID]],Aircraft!A:A,Aircraft!H:H)</f>
        <v>Airplane Single Engine Land</v>
      </c>
      <c r="AS853" s="8" t="b">
        <f>OR((SUM(MasterTable[[#This Row],[ILS]:[PAR]]) = MasterTable[[#This Row],[APPR]]))</f>
        <v>1</v>
      </c>
      <c r="AT853" s="8" t="b">
        <f>NOT(ISBLANK(MasterTable[[#This Row],[Total
Time]]))</f>
        <v>1</v>
      </c>
    </row>
    <row r="854" spans="4:46" ht="28.8" x14ac:dyDescent="0.3">
      <c r="D854" s="22">
        <v>43427</v>
      </c>
      <c r="E854" s="8" t="s">
        <v>50</v>
      </c>
      <c r="F854" s="8" t="s">
        <v>202</v>
      </c>
      <c r="G854" s="8" t="s">
        <v>289</v>
      </c>
      <c r="I854" s="10">
        <v>3.4</v>
      </c>
      <c r="J854" s="10">
        <v>0</v>
      </c>
      <c r="L854" s="10">
        <v>3.4</v>
      </c>
      <c r="M854" s="13">
        <v>0</v>
      </c>
      <c r="N854" s="13"/>
      <c r="O854" s="10">
        <v>0</v>
      </c>
      <c r="P854" s="10">
        <v>0</v>
      </c>
      <c r="Q854" s="14">
        <v>0</v>
      </c>
      <c r="R854" s="14">
        <v>0</v>
      </c>
      <c r="S854" s="10">
        <v>0.6</v>
      </c>
      <c r="T854" s="10">
        <v>3.4</v>
      </c>
      <c r="U854" s="14">
        <v>0</v>
      </c>
      <c r="V854" s="10"/>
      <c r="W854" s="11">
        <v>1</v>
      </c>
      <c r="X854" s="11">
        <v>2</v>
      </c>
      <c r="Y854" s="11">
        <v>1</v>
      </c>
      <c r="Z854" s="11">
        <v>0</v>
      </c>
      <c r="AA854" s="11">
        <f>MasterTable[[#This Row],[Landings
Night]]+MasterTable[[#This Row],[Landings
Day]]</f>
        <v>2</v>
      </c>
      <c r="AB854" s="10">
        <v>1</v>
      </c>
      <c r="AC854" s="10">
        <v>0</v>
      </c>
      <c r="AD854" s="11">
        <v>0</v>
      </c>
      <c r="AE854" s="21">
        <f>SUM(MasterTable[[#This Row],[ILS]:[PAR]])</f>
        <v>1</v>
      </c>
      <c r="AI854" s="11">
        <v>1</v>
      </c>
      <c r="AL854" s="11">
        <v>1</v>
      </c>
      <c r="AR854" s="140" t="str">
        <f>_xlfn.XLOOKUP(MasterTable[[#This Row],[Aircraft ID]],Aircraft!A:A,Aircraft!H:H)</f>
        <v>Airplane Multi Engine Land</v>
      </c>
      <c r="AS854" s="8" t="b">
        <f>OR((SUM(MasterTable[[#This Row],[ILS]:[PAR]]) = MasterTable[[#This Row],[APPR]]))</f>
        <v>1</v>
      </c>
      <c r="AT854" s="8" t="b">
        <f>NOT(ISBLANK(MasterTable[[#This Row],[Total
Time]]))</f>
        <v>1</v>
      </c>
    </row>
    <row r="855" spans="4:46" ht="28.8" x14ac:dyDescent="0.3">
      <c r="D855" s="22">
        <v>43425</v>
      </c>
      <c r="E855" s="8" t="s">
        <v>50</v>
      </c>
      <c r="F855" s="8" t="s">
        <v>202</v>
      </c>
      <c r="G855" s="8" t="s">
        <v>289</v>
      </c>
      <c r="I855" s="10">
        <v>3.4</v>
      </c>
      <c r="J855" s="10">
        <v>0</v>
      </c>
      <c r="L855" s="10">
        <v>3.4</v>
      </c>
      <c r="M855" s="13">
        <v>0</v>
      </c>
      <c r="N855" s="13"/>
      <c r="O855" s="10">
        <v>0</v>
      </c>
      <c r="P855" s="10">
        <v>0</v>
      </c>
      <c r="Q855" s="14">
        <v>0</v>
      </c>
      <c r="R855" s="14">
        <v>0</v>
      </c>
      <c r="S855" s="10">
        <v>0</v>
      </c>
      <c r="T855" s="10">
        <v>3.4</v>
      </c>
      <c r="U855" s="14">
        <v>0</v>
      </c>
      <c r="V855" s="10"/>
      <c r="W855" s="11">
        <v>2</v>
      </c>
      <c r="X855" s="11">
        <v>2</v>
      </c>
      <c r="Y855" s="11">
        <v>0</v>
      </c>
      <c r="Z855" s="11">
        <v>0</v>
      </c>
      <c r="AA855" s="11">
        <f>MasterTable[[#This Row],[Landings
Night]]+MasterTable[[#This Row],[Landings
Day]]</f>
        <v>2</v>
      </c>
      <c r="AB855" s="10">
        <v>1</v>
      </c>
      <c r="AC855" s="10">
        <v>0</v>
      </c>
      <c r="AD855" s="11">
        <v>0</v>
      </c>
      <c r="AE855" s="21">
        <f>SUM(MasterTable[[#This Row],[ILS]:[PAR]])</f>
        <v>2</v>
      </c>
      <c r="AI855" s="11">
        <v>1</v>
      </c>
      <c r="AK855" s="11">
        <v>1</v>
      </c>
      <c r="AL855" s="11"/>
      <c r="AR855" s="140" t="str">
        <f>_xlfn.XLOOKUP(MasterTable[[#This Row],[Aircraft ID]],Aircraft!A:A,Aircraft!H:H)</f>
        <v>Airplane Multi Engine Land</v>
      </c>
      <c r="AS855" s="8" t="b">
        <f>OR((SUM(MasterTable[[#This Row],[ILS]:[PAR]]) = MasterTable[[#This Row],[APPR]]))</f>
        <v>1</v>
      </c>
      <c r="AT855" s="8" t="b">
        <f>NOT(ISBLANK(MasterTable[[#This Row],[Total
Time]]))</f>
        <v>1</v>
      </c>
    </row>
    <row r="856" spans="4:46" ht="28.8" x14ac:dyDescent="0.3">
      <c r="D856" s="22">
        <v>43423</v>
      </c>
      <c r="E856" s="8" t="s">
        <v>72</v>
      </c>
      <c r="F856" s="8" t="s">
        <v>293</v>
      </c>
      <c r="G856" s="8" t="s">
        <v>295</v>
      </c>
      <c r="H856" s="8" t="s">
        <v>296</v>
      </c>
      <c r="I856" s="10">
        <v>3.6</v>
      </c>
      <c r="J856" s="10">
        <v>3.6</v>
      </c>
      <c r="L856" s="10">
        <v>0</v>
      </c>
      <c r="M856" s="13">
        <v>0</v>
      </c>
      <c r="N856" s="13"/>
      <c r="O856" s="10">
        <v>0</v>
      </c>
      <c r="P856" s="10">
        <v>0</v>
      </c>
      <c r="Q856" s="14">
        <v>0</v>
      </c>
      <c r="R856" s="14">
        <v>0</v>
      </c>
      <c r="S856" s="10">
        <v>1.4</v>
      </c>
      <c r="T856" s="10">
        <v>3.6</v>
      </c>
      <c r="U856" s="14">
        <v>0</v>
      </c>
      <c r="V856" s="10"/>
      <c r="W856" s="11">
        <v>2</v>
      </c>
      <c r="X856" s="11">
        <v>1</v>
      </c>
      <c r="Y856" s="11">
        <v>1</v>
      </c>
      <c r="Z856" s="11">
        <v>2</v>
      </c>
      <c r="AA856" s="11">
        <f>MasterTable[[#This Row],[Landings
Night]]+MasterTable[[#This Row],[Landings
Day]]</f>
        <v>3</v>
      </c>
      <c r="AB856" s="10">
        <v>0</v>
      </c>
      <c r="AC856" s="10">
        <v>0.4</v>
      </c>
      <c r="AD856" s="11">
        <v>1</v>
      </c>
      <c r="AE856" s="21">
        <f>SUM(MasterTable[[#This Row],[ILS]:[PAR]])</f>
        <v>3</v>
      </c>
      <c r="AF856" s="11">
        <v>1</v>
      </c>
      <c r="AH856" s="11">
        <v>1</v>
      </c>
      <c r="AI856" s="11">
        <v>1</v>
      </c>
      <c r="AL856" s="11"/>
      <c r="AR856" s="140" t="str">
        <f>_xlfn.XLOOKUP(MasterTable[[#This Row],[Aircraft ID]],Aircraft!A:A,Aircraft!H:H)</f>
        <v>Airplane Multi Engine Land</v>
      </c>
      <c r="AS856" s="8" t="b">
        <f>OR((SUM(MasterTable[[#This Row],[ILS]:[PAR]]) = MasterTable[[#This Row],[APPR]]))</f>
        <v>1</v>
      </c>
      <c r="AT856" s="8" t="b">
        <f>NOT(ISBLANK(MasterTable[[#This Row],[Total
Time]]))</f>
        <v>1</v>
      </c>
    </row>
    <row r="857" spans="4:46" ht="28.8" x14ac:dyDescent="0.3">
      <c r="D857" s="22">
        <v>43422</v>
      </c>
      <c r="E857" s="8" t="s">
        <v>174</v>
      </c>
      <c r="F857" s="8" t="s">
        <v>202</v>
      </c>
      <c r="G857" s="8" t="s">
        <v>219</v>
      </c>
      <c r="I857" s="10">
        <v>1.2</v>
      </c>
      <c r="J857" s="10">
        <v>1.2</v>
      </c>
      <c r="L857" s="10">
        <v>0</v>
      </c>
      <c r="M857" s="13">
        <v>0</v>
      </c>
      <c r="N857" s="13"/>
      <c r="O857" s="10">
        <v>0</v>
      </c>
      <c r="P857" s="10">
        <v>0</v>
      </c>
      <c r="Q857" s="14">
        <v>0</v>
      </c>
      <c r="R857" s="14">
        <v>0</v>
      </c>
      <c r="S857" s="10">
        <v>0</v>
      </c>
      <c r="U857" s="14">
        <v>0</v>
      </c>
      <c r="V857" s="10"/>
      <c r="W857" s="11">
        <v>2</v>
      </c>
      <c r="X857" s="11">
        <v>2</v>
      </c>
      <c r="Y857" s="11">
        <v>0</v>
      </c>
      <c r="Z857" s="11">
        <v>0</v>
      </c>
      <c r="AA857" s="11">
        <f>MasterTable[[#This Row],[Landings
Night]]+MasterTable[[#This Row],[Landings
Day]]</f>
        <v>2</v>
      </c>
      <c r="AB857" s="10">
        <v>0</v>
      </c>
      <c r="AC857" s="10">
        <v>0</v>
      </c>
      <c r="AD857" s="11">
        <v>0</v>
      </c>
      <c r="AE857" s="21">
        <f>SUM(MasterTable[[#This Row],[ILS]:[PAR]])</f>
        <v>0</v>
      </c>
      <c r="AL857" s="11"/>
      <c r="AR857" s="140" t="str">
        <f>_xlfn.XLOOKUP(MasterTable[[#This Row],[Aircraft ID]],Aircraft!A:A,Aircraft!H:H)</f>
        <v>Airplane Single Engine Land</v>
      </c>
      <c r="AS857" s="8" t="b">
        <f>OR((SUM(MasterTable[[#This Row],[ILS]:[PAR]]) = MasterTable[[#This Row],[APPR]]))</f>
        <v>1</v>
      </c>
      <c r="AT857" s="8" t="b">
        <f>NOT(ISBLANK(MasterTable[[#This Row],[Total
Time]]))</f>
        <v>1</v>
      </c>
    </row>
    <row r="858" spans="4:46" ht="28.8" x14ac:dyDescent="0.3">
      <c r="D858" s="22">
        <v>43421</v>
      </c>
      <c r="E858" s="8" t="s">
        <v>174</v>
      </c>
      <c r="F858" s="8" t="s">
        <v>202</v>
      </c>
      <c r="G858" s="8" t="s">
        <v>202</v>
      </c>
      <c r="I858" s="10">
        <v>1.6</v>
      </c>
      <c r="J858" s="10">
        <v>1.6</v>
      </c>
      <c r="L858" s="10">
        <v>0</v>
      </c>
      <c r="M858" s="13">
        <v>0</v>
      </c>
      <c r="N858" s="13"/>
      <c r="O858" s="10">
        <v>0</v>
      </c>
      <c r="P858" s="10">
        <v>0</v>
      </c>
      <c r="Q858" s="14">
        <v>0</v>
      </c>
      <c r="R858" s="14">
        <v>0</v>
      </c>
      <c r="S858" s="10">
        <v>0</v>
      </c>
      <c r="T858" s="10">
        <v>0</v>
      </c>
      <c r="U858" s="14">
        <v>0</v>
      </c>
      <c r="V858" s="10"/>
      <c r="W858" s="11">
        <v>4</v>
      </c>
      <c r="X858" s="11">
        <v>4</v>
      </c>
      <c r="Y858" s="11">
        <v>0</v>
      </c>
      <c r="Z858" s="11">
        <v>0</v>
      </c>
      <c r="AA858" s="11">
        <f>MasterTable[[#This Row],[Landings
Night]]+MasterTable[[#This Row],[Landings
Day]]</f>
        <v>4</v>
      </c>
      <c r="AB858" s="10">
        <v>0</v>
      </c>
      <c r="AC858" s="10">
        <v>0</v>
      </c>
      <c r="AD858" s="11">
        <v>0</v>
      </c>
      <c r="AE858" s="21">
        <f>SUM(MasterTable[[#This Row],[ILS]:[PAR]])</f>
        <v>0</v>
      </c>
      <c r="AL858" s="11"/>
      <c r="AR858" s="140" t="str">
        <f>_xlfn.XLOOKUP(MasterTable[[#This Row],[Aircraft ID]],Aircraft!A:A,Aircraft!H:H)</f>
        <v>Airplane Single Engine Land</v>
      </c>
      <c r="AS858" s="8" t="b">
        <f>OR((SUM(MasterTable[[#This Row],[ILS]:[PAR]]) = MasterTable[[#This Row],[APPR]]))</f>
        <v>1</v>
      </c>
      <c r="AT858" s="8" t="b">
        <f>NOT(ISBLANK(MasterTable[[#This Row],[Total
Time]]))</f>
        <v>1</v>
      </c>
    </row>
    <row r="859" spans="4:46" ht="28.8" x14ac:dyDescent="0.3">
      <c r="D859" s="22">
        <v>43351</v>
      </c>
      <c r="E859" s="8" t="s">
        <v>174</v>
      </c>
      <c r="F859" s="8" t="s">
        <v>202</v>
      </c>
      <c r="G859" s="8" t="s">
        <v>297</v>
      </c>
      <c r="I859" s="10">
        <v>3.3</v>
      </c>
      <c r="J859" s="10">
        <v>3.3</v>
      </c>
      <c r="L859" s="10">
        <v>0</v>
      </c>
      <c r="M859" s="13">
        <v>0</v>
      </c>
      <c r="N859" s="13"/>
      <c r="O859" s="10">
        <v>0</v>
      </c>
      <c r="P859" s="10">
        <v>0</v>
      </c>
      <c r="Q859" s="14">
        <v>0</v>
      </c>
      <c r="R859" s="14">
        <v>0</v>
      </c>
      <c r="S859" s="10">
        <v>0</v>
      </c>
      <c r="T859" s="10">
        <v>3.3</v>
      </c>
      <c r="U859" s="14">
        <v>0</v>
      </c>
      <c r="V859" s="10"/>
      <c r="W859" s="11">
        <v>2</v>
      </c>
      <c r="X859" s="11">
        <v>2</v>
      </c>
      <c r="Y859" s="11">
        <v>0</v>
      </c>
      <c r="Z859" s="11">
        <v>0</v>
      </c>
      <c r="AA859" s="11">
        <f>MasterTable[[#This Row],[Landings
Night]]+MasterTable[[#This Row],[Landings
Day]]</f>
        <v>2</v>
      </c>
      <c r="AB859" s="10">
        <v>0</v>
      </c>
      <c r="AC859" s="10">
        <v>0</v>
      </c>
      <c r="AD859" s="11">
        <v>0</v>
      </c>
      <c r="AE859" s="21">
        <f>SUM(MasterTable[[#This Row],[ILS]:[PAR]])</f>
        <v>0</v>
      </c>
      <c r="AL859" s="11"/>
      <c r="AR859" s="140" t="str">
        <f>_xlfn.XLOOKUP(MasterTable[[#This Row],[Aircraft ID]],Aircraft!A:A,Aircraft!H:H)</f>
        <v>Airplane Single Engine Land</v>
      </c>
      <c r="AS859" s="8" t="b">
        <f>OR((SUM(MasterTable[[#This Row],[ILS]:[PAR]]) = MasterTable[[#This Row],[APPR]]))</f>
        <v>1</v>
      </c>
      <c r="AT859" s="8" t="b">
        <f>NOT(ISBLANK(MasterTable[[#This Row],[Total
Time]]))</f>
        <v>1</v>
      </c>
    </row>
    <row r="860" spans="4:46" ht="28.8" x14ac:dyDescent="0.3">
      <c r="D860" s="22">
        <v>43346</v>
      </c>
      <c r="E860" s="8" t="s">
        <v>174</v>
      </c>
      <c r="F860" s="8" t="s">
        <v>202</v>
      </c>
      <c r="G860" s="8" t="s">
        <v>204</v>
      </c>
      <c r="I860" s="10">
        <v>2.9</v>
      </c>
      <c r="J860" s="10">
        <v>2.9</v>
      </c>
      <c r="L860" s="10">
        <v>0</v>
      </c>
      <c r="M860" s="13">
        <v>0</v>
      </c>
      <c r="N860" s="13"/>
      <c r="O860" s="10">
        <v>0</v>
      </c>
      <c r="P860" s="10">
        <v>0</v>
      </c>
      <c r="Q860" s="14">
        <v>0</v>
      </c>
      <c r="R860" s="14">
        <v>0</v>
      </c>
      <c r="S860" s="10">
        <v>0</v>
      </c>
      <c r="T860" s="10">
        <v>2.9</v>
      </c>
      <c r="U860" s="14">
        <v>0</v>
      </c>
      <c r="V860" s="10"/>
      <c r="W860" s="11">
        <v>2</v>
      </c>
      <c r="X860" s="11">
        <v>2</v>
      </c>
      <c r="Y860" s="11">
        <v>0</v>
      </c>
      <c r="Z860" s="11">
        <v>0</v>
      </c>
      <c r="AA860" s="11">
        <f>MasterTable[[#This Row],[Landings
Night]]+MasterTable[[#This Row],[Landings
Day]]</f>
        <v>2</v>
      </c>
      <c r="AB860" s="10">
        <v>0</v>
      </c>
      <c r="AC860" s="10">
        <v>0</v>
      </c>
      <c r="AD860" s="11">
        <v>0</v>
      </c>
      <c r="AE860" s="21">
        <f>SUM(MasterTable[[#This Row],[ILS]:[PAR]])</f>
        <v>0</v>
      </c>
      <c r="AL860" s="11"/>
      <c r="AR860" s="140" t="str">
        <f>_xlfn.XLOOKUP(MasterTable[[#This Row],[Aircraft ID]],Aircraft!A:A,Aircraft!H:H)</f>
        <v>Airplane Single Engine Land</v>
      </c>
      <c r="AS860" s="8" t="b">
        <f>OR((SUM(MasterTable[[#This Row],[ILS]:[PAR]]) = MasterTable[[#This Row],[APPR]]))</f>
        <v>1</v>
      </c>
      <c r="AT860" s="8" t="b">
        <f>NOT(ISBLANK(MasterTable[[#This Row],[Total
Time]]))</f>
        <v>1</v>
      </c>
    </row>
    <row r="861" spans="4:46" ht="28.8" x14ac:dyDescent="0.3">
      <c r="D861" s="22">
        <v>43337</v>
      </c>
      <c r="E861" s="8" t="s">
        <v>50</v>
      </c>
      <c r="F861" s="8" t="s">
        <v>202</v>
      </c>
      <c r="G861" s="8" t="s">
        <v>270</v>
      </c>
      <c r="I861" s="10">
        <v>2</v>
      </c>
      <c r="J861" s="10">
        <v>0</v>
      </c>
      <c r="L861" s="10">
        <v>2</v>
      </c>
      <c r="M861" s="13">
        <v>0</v>
      </c>
      <c r="N861" s="13"/>
      <c r="O861" s="10">
        <v>0</v>
      </c>
      <c r="P861" s="10">
        <v>0</v>
      </c>
      <c r="Q861" s="14">
        <v>0</v>
      </c>
      <c r="R861" s="14">
        <v>0</v>
      </c>
      <c r="S861" s="10">
        <v>0</v>
      </c>
      <c r="U861" s="14">
        <v>0</v>
      </c>
      <c r="V861" s="10"/>
      <c r="W861" s="11">
        <v>2</v>
      </c>
      <c r="X861" s="11">
        <v>2</v>
      </c>
      <c r="Y861" s="11">
        <v>0</v>
      </c>
      <c r="Z861" s="11">
        <v>0</v>
      </c>
      <c r="AA861" s="11">
        <f>MasterTable[[#This Row],[Landings
Night]]+MasterTable[[#This Row],[Landings
Day]]</f>
        <v>2</v>
      </c>
      <c r="AB861" s="10">
        <v>0</v>
      </c>
      <c r="AC861" s="10">
        <v>0</v>
      </c>
      <c r="AD861" s="11">
        <v>0</v>
      </c>
      <c r="AE861" s="21">
        <f>SUM(MasterTable[[#This Row],[ILS]:[PAR]])</f>
        <v>0</v>
      </c>
      <c r="AL861" s="11"/>
      <c r="AR861" s="140" t="str">
        <f>_xlfn.XLOOKUP(MasterTable[[#This Row],[Aircraft ID]],Aircraft!A:A,Aircraft!H:H)</f>
        <v>Airplane Multi Engine Land</v>
      </c>
      <c r="AS861" s="8" t="b">
        <f>OR((SUM(MasterTable[[#This Row],[ILS]:[PAR]]) = MasterTable[[#This Row],[APPR]]))</f>
        <v>1</v>
      </c>
      <c r="AT861" s="8" t="b">
        <f>NOT(ISBLANK(MasterTable[[#This Row],[Total
Time]]))</f>
        <v>1</v>
      </c>
    </row>
    <row r="862" spans="4:46" ht="28.8" x14ac:dyDescent="0.3">
      <c r="D862" s="22">
        <v>43323</v>
      </c>
      <c r="E862" s="8" t="s">
        <v>50</v>
      </c>
      <c r="F862" s="8" t="s">
        <v>202</v>
      </c>
      <c r="G862" s="8" t="s">
        <v>298</v>
      </c>
      <c r="I862" s="10">
        <v>2.6</v>
      </c>
      <c r="J862" s="10">
        <v>0</v>
      </c>
      <c r="L862" s="10">
        <v>2.6</v>
      </c>
      <c r="M862" s="13">
        <v>0</v>
      </c>
      <c r="N862" s="13"/>
      <c r="O862" s="10">
        <v>0</v>
      </c>
      <c r="P862" s="10">
        <v>0</v>
      </c>
      <c r="Q862" s="14">
        <v>0</v>
      </c>
      <c r="R862" s="14">
        <v>0</v>
      </c>
      <c r="S862" s="10">
        <v>0</v>
      </c>
      <c r="T862" s="10">
        <v>0</v>
      </c>
      <c r="U862" s="14">
        <v>0</v>
      </c>
      <c r="V862" s="10"/>
      <c r="W862" s="11">
        <v>2</v>
      </c>
      <c r="X862" s="11">
        <v>2</v>
      </c>
      <c r="Y862" s="11">
        <v>0</v>
      </c>
      <c r="Z862" s="11">
        <v>0</v>
      </c>
      <c r="AA862" s="11">
        <f>MasterTable[[#This Row],[Landings
Night]]+MasterTable[[#This Row],[Landings
Day]]</f>
        <v>2</v>
      </c>
      <c r="AB862" s="10">
        <v>0</v>
      </c>
      <c r="AC862" s="10">
        <v>0.5</v>
      </c>
      <c r="AD862" s="11">
        <v>0</v>
      </c>
      <c r="AE862" s="21">
        <f>SUM(MasterTable[[#This Row],[ILS]:[PAR]])</f>
        <v>1</v>
      </c>
      <c r="AF862" s="11">
        <v>1</v>
      </c>
      <c r="AL862" s="11"/>
      <c r="AR862" s="140" t="str">
        <f>_xlfn.XLOOKUP(MasterTable[[#This Row],[Aircraft ID]],Aircraft!A:A,Aircraft!H:H)</f>
        <v>Airplane Multi Engine Land</v>
      </c>
      <c r="AS862" s="8" t="b">
        <f>OR((SUM(MasterTable[[#This Row],[ILS]:[PAR]]) = MasterTable[[#This Row],[APPR]]))</f>
        <v>1</v>
      </c>
      <c r="AT862" s="8" t="b">
        <f>NOT(ISBLANK(MasterTable[[#This Row],[Total
Time]]))</f>
        <v>1</v>
      </c>
    </row>
    <row r="863" spans="4:46" ht="28.8" x14ac:dyDescent="0.3">
      <c r="D863" s="22">
        <v>43322</v>
      </c>
      <c r="E863" s="8" t="s">
        <v>174</v>
      </c>
      <c r="F863" s="8" t="s">
        <v>202</v>
      </c>
      <c r="G863" s="8" t="s">
        <v>265</v>
      </c>
      <c r="I863" s="10">
        <v>1.5</v>
      </c>
      <c r="J863" s="10">
        <v>1.5</v>
      </c>
      <c r="L863" s="10">
        <v>0</v>
      </c>
      <c r="M863" s="13">
        <v>0</v>
      </c>
      <c r="N863" s="13"/>
      <c r="O863" s="10">
        <v>0</v>
      </c>
      <c r="P863" s="10">
        <v>0</v>
      </c>
      <c r="Q863" s="14">
        <v>0</v>
      </c>
      <c r="R863" s="14">
        <v>0</v>
      </c>
      <c r="S863" s="10">
        <v>0</v>
      </c>
      <c r="T863" s="10">
        <v>0</v>
      </c>
      <c r="U863" s="14">
        <v>0</v>
      </c>
      <c r="V863" s="10"/>
      <c r="W863" s="11">
        <v>2</v>
      </c>
      <c r="X863" s="11">
        <v>2</v>
      </c>
      <c r="Y863" s="11">
        <v>0</v>
      </c>
      <c r="Z863" s="11">
        <v>0</v>
      </c>
      <c r="AA863" s="11">
        <f>MasterTable[[#This Row],[Landings
Night]]+MasterTable[[#This Row],[Landings
Day]]</f>
        <v>2</v>
      </c>
      <c r="AB863" s="10">
        <v>0</v>
      </c>
      <c r="AC863" s="10">
        <v>0</v>
      </c>
      <c r="AD863" s="11">
        <v>0</v>
      </c>
      <c r="AE863" s="21">
        <f>SUM(MasterTable[[#This Row],[ILS]:[PAR]])</f>
        <v>0</v>
      </c>
      <c r="AL863" s="11"/>
      <c r="AR863" s="140" t="str">
        <f>_xlfn.XLOOKUP(MasterTable[[#This Row],[Aircraft ID]],Aircraft!A:A,Aircraft!H:H)</f>
        <v>Airplane Single Engine Land</v>
      </c>
      <c r="AS863" s="8" t="b">
        <f>OR((SUM(MasterTable[[#This Row],[ILS]:[PAR]]) = MasterTable[[#This Row],[APPR]]))</f>
        <v>1</v>
      </c>
      <c r="AT863" s="8" t="b">
        <f>NOT(ISBLANK(MasterTable[[#This Row],[Total
Time]]))</f>
        <v>1</v>
      </c>
    </row>
    <row r="864" spans="4:46" ht="28.8" x14ac:dyDescent="0.3">
      <c r="D864" s="22">
        <v>43309</v>
      </c>
      <c r="E864" s="8" t="s">
        <v>174</v>
      </c>
      <c r="F864" s="8" t="s">
        <v>202</v>
      </c>
      <c r="G864" s="8" t="s">
        <v>202</v>
      </c>
      <c r="I864" s="10">
        <v>0.9</v>
      </c>
      <c r="J864" s="10">
        <v>0.9</v>
      </c>
      <c r="L864" s="10">
        <v>0</v>
      </c>
      <c r="M864" s="13">
        <v>0</v>
      </c>
      <c r="N864" s="13"/>
      <c r="O864" s="10">
        <v>0</v>
      </c>
      <c r="P864" s="10">
        <v>0</v>
      </c>
      <c r="Q864" s="14">
        <v>0</v>
      </c>
      <c r="R864" s="14">
        <v>0</v>
      </c>
      <c r="S864" s="10">
        <v>0</v>
      </c>
      <c r="T864" s="10">
        <v>0</v>
      </c>
      <c r="U864" s="14">
        <v>0</v>
      </c>
      <c r="V864" s="10"/>
      <c r="W864" s="11">
        <v>1</v>
      </c>
      <c r="X864" s="11">
        <v>1</v>
      </c>
      <c r="Y864" s="11">
        <v>0</v>
      </c>
      <c r="Z864" s="11">
        <v>0</v>
      </c>
      <c r="AA864" s="11">
        <f>MasterTable[[#This Row],[Landings
Night]]+MasterTable[[#This Row],[Landings
Day]]</f>
        <v>1</v>
      </c>
      <c r="AB864" s="10">
        <v>0</v>
      </c>
      <c r="AC864" s="10">
        <v>0</v>
      </c>
      <c r="AD864" s="11">
        <v>0</v>
      </c>
      <c r="AE864" s="21">
        <f>SUM(MasterTable[[#This Row],[ILS]:[PAR]])</f>
        <v>0</v>
      </c>
      <c r="AL864" s="11"/>
      <c r="AR864" s="140" t="str">
        <f>_xlfn.XLOOKUP(MasterTable[[#This Row],[Aircraft ID]],Aircraft!A:A,Aircraft!H:H)</f>
        <v>Airplane Single Engine Land</v>
      </c>
      <c r="AS864" s="8" t="b">
        <f>OR((SUM(MasterTable[[#This Row],[ILS]:[PAR]]) = MasterTable[[#This Row],[APPR]]))</f>
        <v>1</v>
      </c>
      <c r="AT864" s="8" t="b">
        <f>NOT(ISBLANK(MasterTable[[#This Row],[Total
Time]]))</f>
        <v>1</v>
      </c>
    </row>
    <row r="865" spans="4:46" ht="28.8" x14ac:dyDescent="0.3">
      <c r="D865" s="22">
        <v>43308</v>
      </c>
      <c r="E865" s="8" t="s">
        <v>174</v>
      </c>
      <c r="F865" s="8" t="s">
        <v>202</v>
      </c>
      <c r="G865" s="8" t="s">
        <v>299</v>
      </c>
      <c r="I865" s="10">
        <v>1.9</v>
      </c>
      <c r="J865" s="10">
        <v>1.9</v>
      </c>
      <c r="L865" s="10">
        <v>0</v>
      </c>
      <c r="M865" s="13">
        <v>0</v>
      </c>
      <c r="N865" s="13"/>
      <c r="O865" s="10">
        <v>0</v>
      </c>
      <c r="P865" s="10">
        <v>0</v>
      </c>
      <c r="Q865" s="14">
        <v>0</v>
      </c>
      <c r="R865" s="14">
        <v>0</v>
      </c>
      <c r="S865" s="10">
        <v>0</v>
      </c>
      <c r="T865" s="10">
        <v>1.9</v>
      </c>
      <c r="U865" s="14">
        <v>0</v>
      </c>
      <c r="V865" s="10"/>
      <c r="W865" s="11">
        <v>2</v>
      </c>
      <c r="X865" s="11">
        <v>2</v>
      </c>
      <c r="Y865" s="11">
        <v>0</v>
      </c>
      <c r="Z865" s="11">
        <v>0</v>
      </c>
      <c r="AA865" s="11">
        <f>MasterTable[[#This Row],[Landings
Night]]+MasterTable[[#This Row],[Landings
Day]]</f>
        <v>2</v>
      </c>
      <c r="AB865" s="10">
        <v>0</v>
      </c>
      <c r="AC865" s="10">
        <v>0</v>
      </c>
      <c r="AD865" s="11">
        <v>0</v>
      </c>
      <c r="AE865" s="21">
        <f>SUM(MasterTable[[#This Row],[ILS]:[PAR]])</f>
        <v>0</v>
      </c>
      <c r="AL865" s="11"/>
      <c r="AR865" s="140" t="str">
        <f>_xlfn.XLOOKUP(MasterTable[[#This Row],[Aircraft ID]],Aircraft!A:A,Aircraft!H:H)</f>
        <v>Airplane Single Engine Land</v>
      </c>
      <c r="AS865" s="8" t="b">
        <f>OR((SUM(MasterTable[[#This Row],[ILS]:[PAR]]) = MasterTable[[#This Row],[APPR]]))</f>
        <v>1</v>
      </c>
      <c r="AT865" s="8" t="b">
        <f>NOT(ISBLANK(MasterTable[[#This Row],[Total
Time]]))</f>
        <v>1</v>
      </c>
    </row>
    <row r="866" spans="4:46" ht="28.8" x14ac:dyDescent="0.3">
      <c r="D866" s="22">
        <v>43294</v>
      </c>
      <c r="E866" s="8" t="s">
        <v>174</v>
      </c>
      <c r="F866" s="8" t="s">
        <v>202</v>
      </c>
      <c r="G866" s="8" t="s">
        <v>202</v>
      </c>
      <c r="I866" s="10">
        <v>0.9</v>
      </c>
      <c r="J866" s="10">
        <v>0.9</v>
      </c>
      <c r="L866" s="10">
        <v>0</v>
      </c>
      <c r="M866" s="13">
        <v>0</v>
      </c>
      <c r="N866" s="13"/>
      <c r="O866" s="10">
        <v>0</v>
      </c>
      <c r="P866" s="10">
        <v>0</v>
      </c>
      <c r="Q866" s="14">
        <v>0</v>
      </c>
      <c r="R866" s="14">
        <v>0</v>
      </c>
      <c r="S866" s="10">
        <v>0</v>
      </c>
      <c r="T866" s="10">
        <v>0</v>
      </c>
      <c r="U866" s="14">
        <v>0</v>
      </c>
      <c r="V866" s="10"/>
      <c r="W866" s="11">
        <v>1</v>
      </c>
      <c r="X866" s="11">
        <v>1</v>
      </c>
      <c r="Y866" s="11">
        <v>0</v>
      </c>
      <c r="Z866" s="11">
        <v>0</v>
      </c>
      <c r="AA866" s="11">
        <f>MasterTable[[#This Row],[Landings
Night]]+MasterTable[[#This Row],[Landings
Day]]</f>
        <v>1</v>
      </c>
      <c r="AB866" s="10">
        <v>0</v>
      </c>
      <c r="AC866" s="10">
        <v>0</v>
      </c>
      <c r="AD866" s="11">
        <v>0</v>
      </c>
      <c r="AE866" s="21">
        <f>SUM(MasterTable[[#This Row],[ILS]:[PAR]])</f>
        <v>0</v>
      </c>
      <c r="AL866" s="11"/>
      <c r="AR866" s="140" t="str">
        <f>_xlfn.XLOOKUP(MasterTable[[#This Row],[Aircraft ID]],Aircraft!A:A,Aircraft!H:H)</f>
        <v>Airplane Single Engine Land</v>
      </c>
      <c r="AS866" s="8" t="b">
        <f>OR((SUM(MasterTable[[#This Row],[ILS]:[PAR]]) = MasterTable[[#This Row],[APPR]]))</f>
        <v>1</v>
      </c>
      <c r="AT866" s="8" t="b">
        <f>NOT(ISBLANK(MasterTable[[#This Row],[Total
Time]]))</f>
        <v>1</v>
      </c>
    </row>
    <row r="867" spans="4:46" ht="28.8" x14ac:dyDescent="0.3">
      <c r="D867" s="22">
        <v>43288</v>
      </c>
      <c r="E867" s="8" t="s">
        <v>174</v>
      </c>
      <c r="F867" s="8" t="s">
        <v>202</v>
      </c>
      <c r="G867" s="8" t="s">
        <v>299</v>
      </c>
      <c r="I867" s="10">
        <v>2.8</v>
      </c>
      <c r="J867" s="10">
        <v>2.8</v>
      </c>
      <c r="L867" s="10">
        <v>0</v>
      </c>
      <c r="M867" s="13">
        <v>0</v>
      </c>
      <c r="N867" s="13"/>
      <c r="O867" s="10">
        <v>0</v>
      </c>
      <c r="P867" s="10">
        <v>0</v>
      </c>
      <c r="Q867" s="14">
        <v>0</v>
      </c>
      <c r="R867" s="14">
        <v>0</v>
      </c>
      <c r="S867" s="10">
        <v>0.6</v>
      </c>
      <c r="T867" s="10">
        <v>2.8</v>
      </c>
      <c r="U867" s="14">
        <v>0</v>
      </c>
      <c r="V867" s="10"/>
      <c r="W867" s="11">
        <v>1</v>
      </c>
      <c r="X867" s="11">
        <v>1</v>
      </c>
      <c r="Y867" s="11">
        <v>1</v>
      </c>
      <c r="Z867" s="11">
        <v>1</v>
      </c>
      <c r="AA867" s="11">
        <f>MasterTable[[#This Row],[Landings
Night]]+MasterTable[[#This Row],[Landings
Day]]</f>
        <v>2</v>
      </c>
      <c r="AB867" s="10">
        <v>0</v>
      </c>
      <c r="AC867" s="10">
        <v>0</v>
      </c>
      <c r="AD867" s="11">
        <v>0</v>
      </c>
      <c r="AE867" s="21">
        <f>SUM(MasterTable[[#This Row],[ILS]:[PAR]])</f>
        <v>0</v>
      </c>
      <c r="AL867" s="11"/>
      <c r="AR867" s="140" t="str">
        <f>_xlfn.XLOOKUP(MasterTable[[#This Row],[Aircraft ID]],Aircraft!A:A,Aircraft!H:H)</f>
        <v>Airplane Single Engine Land</v>
      </c>
      <c r="AS867" s="8" t="b">
        <f>OR((SUM(MasterTable[[#This Row],[ILS]:[PAR]]) = MasterTable[[#This Row],[APPR]]))</f>
        <v>1</v>
      </c>
      <c r="AT867" s="8" t="b">
        <f>NOT(ISBLANK(MasterTable[[#This Row],[Total
Time]]))</f>
        <v>1</v>
      </c>
    </row>
    <row r="868" spans="4:46" ht="28.8" x14ac:dyDescent="0.3">
      <c r="D868" s="22">
        <v>43287</v>
      </c>
      <c r="E868" s="8" t="s">
        <v>174</v>
      </c>
      <c r="F868" s="8" t="s">
        <v>202</v>
      </c>
      <c r="G868" s="8" t="s">
        <v>202</v>
      </c>
      <c r="I868" s="10">
        <v>1.1000000000000001</v>
      </c>
      <c r="J868" s="10">
        <v>1.1000000000000001</v>
      </c>
      <c r="L868" s="10">
        <v>0</v>
      </c>
      <c r="M868" s="13">
        <v>0</v>
      </c>
      <c r="N868" s="13"/>
      <c r="O868" s="10">
        <v>0</v>
      </c>
      <c r="P868" s="10">
        <v>0</v>
      </c>
      <c r="Q868" s="14">
        <v>0</v>
      </c>
      <c r="R868" s="14">
        <v>0</v>
      </c>
      <c r="S868" s="10">
        <v>0</v>
      </c>
      <c r="T868" s="10">
        <v>0</v>
      </c>
      <c r="U868" s="14">
        <v>0</v>
      </c>
      <c r="V868" s="10"/>
      <c r="W868" s="11">
        <v>1</v>
      </c>
      <c r="X868" s="11">
        <v>1</v>
      </c>
      <c r="Y868" s="11">
        <v>0</v>
      </c>
      <c r="Z868" s="11">
        <v>0</v>
      </c>
      <c r="AA868" s="11">
        <f>MasterTable[[#This Row],[Landings
Night]]+MasterTable[[#This Row],[Landings
Day]]</f>
        <v>1</v>
      </c>
      <c r="AB868" s="10">
        <v>0</v>
      </c>
      <c r="AC868" s="10">
        <v>0</v>
      </c>
      <c r="AD868" s="11">
        <v>0</v>
      </c>
      <c r="AE868" s="21">
        <f>SUM(MasterTable[[#This Row],[ILS]:[PAR]])</f>
        <v>0</v>
      </c>
      <c r="AL868" s="11"/>
      <c r="AR868" s="140" t="str">
        <f>_xlfn.XLOOKUP(MasterTable[[#This Row],[Aircraft ID]],Aircraft!A:A,Aircraft!H:H)</f>
        <v>Airplane Single Engine Land</v>
      </c>
      <c r="AS868" s="8" t="b">
        <f>OR((SUM(MasterTable[[#This Row],[ILS]:[PAR]]) = MasterTable[[#This Row],[APPR]]))</f>
        <v>1</v>
      </c>
      <c r="AT868" s="8" t="b">
        <f>NOT(ISBLANK(MasterTable[[#This Row],[Total
Time]]))</f>
        <v>1</v>
      </c>
    </row>
    <row r="869" spans="4:46" ht="28.8" x14ac:dyDescent="0.3">
      <c r="D869" s="22">
        <v>43274</v>
      </c>
      <c r="E869" s="8" t="s">
        <v>174</v>
      </c>
      <c r="F869" s="8" t="s">
        <v>202</v>
      </c>
      <c r="G869" s="8" t="s">
        <v>202</v>
      </c>
      <c r="I869" s="10">
        <v>1.4</v>
      </c>
      <c r="J869" s="10">
        <v>1.4</v>
      </c>
      <c r="L869" s="10">
        <v>0</v>
      </c>
      <c r="M869" s="13">
        <v>0</v>
      </c>
      <c r="N869" s="13"/>
      <c r="O869" s="10">
        <v>0</v>
      </c>
      <c r="P869" s="10">
        <v>0</v>
      </c>
      <c r="Q869" s="14">
        <v>0</v>
      </c>
      <c r="R869" s="14">
        <v>0</v>
      </c>
      <c r="S869" s="10">
        <v>0</v>
      </c>
      <c r="T869" s="10">
        <v>0</v>
      </c>
      <c r="U869" s="14">
        <v>0</v>
      </c>
      <c r="V869" s="10"/>
      <c r="W869" s="11">
        <v>5</v>
      </c>
      <c r="X869" s="11">
        <v>5</v>
      </c>
      <c r="Y869" s="11">
        <v>0</v>
      </c>
      <c r="Z869" s="11">
        <v>0</v>
      </c>
      <c r="AA869" s="11">
        <f>MasterTable[[#This Row],[Landings
Night]]+MasterTable[[#This Row],[Landings
Day]]</f>
        <v>5</v>
      </c>
      <c r="AB869" s="10">
        <v>0</v>
      </c>
      <c r="AC869" s="10">
        <v>0</v>
      </c>
      <c r="AD869" s="11">
        <v>0</v>
      </c>
      <c r="AE869" s="21">
        <f>SUM(MasterTable[[#This Row],[ILS]:[PAR]])</f>
        <v>0</v>
      </c>
      <c r="AL869" s="11"/>
      <c r="AR869" s="140" t="str">
        <f>_xlfn.XLOOKUP(MasterTable[[#This Row],[Aircraft ID]],Aircraft!A:A,Aircraft!H:H)</f>
        <v>Airplane Single Engine Land</v>
      </c>
      <c r="AS869" s="8" t="b">
        <f>OR((SUM(MasterTable[[#This Row],[ILS]:[PAR]]) = MasterTable[[#This Row],[APPR]]))</f>
        <v>1</v>
      </c>
      <c r="AT869" s="8" t="b">
        <f>NOT(ISBLANK(MasterTable[[#This Row],[Total
Time]]))</f>
        <v>1</v>
      </c>
    </row>
    <row r="870" spans="4:46" ht="28.8" x14ac:dyDescent="0.3">
      <c r="D870" s="22">
        <v>43254</v>
      </c>
      <c r="E870" s="8" t="s">
        <v>174</v>
      </c>
      <c r="F870" s="8" t="s">
        <v>204</v>
      </c>
      <c r="G870" s="8" t="s">
        <v>256</v>
      </c>
      <c r="I870" s="10">
        <v>0.4</v>
      </c>
      <c r="J870" s="10">
        <v>0.4</v>
      </c>
      <c r="L870" s="10">
        <v>0</v>
      </c>
      <c r="M870" s="13">
        <v>0</v>
      </c>
      <c r="N870" s="13"/>
      <c r="O870" s="10">
        <v>0</v>
      </c>
      <c r="P870" s="10">
        <v>0</v>
      </c>
      <c r="Q870" s="14">
        <v>0</v>
      </c>
      <c r="R870" s="14">
        <v>0</v>
      </c>
      <c r="S870" s="10">
        <v>0</v>
      </c>
      <c r="T870" s="10">
        <v>0</v>
      </c>
      <c r="U870" s="14">
        <v>0</v>
      </c>
      <c r="V870" s="10"/>
      <c r="W870" s="11">
        <v>1</v>
      </c>
      <c r="X870" s="11">
        <v>1</v>
      </c>
      <c r="Y870" s="11">
        <v>0</v>
      </c>
      <c r="Z870" s="11">
        <v>0</v>
      </c>
      <c r="AA870" s="11">
        <f>MasterTable[[#This Row],[Landings
Night]]+MasterTable[[#This Row],[Landings
Day]]</f>
        <v>1</v>
      </c>
      <c r="AB870" s="10">
        <v>0</v>
      </c>
      <c r="AC870" s="10">
        <v>0</v>
      </c>
      <c r="AD870" s="11">
        <v>0</v>
      </c>
      <c r="AE870" s="21">
        <f>SUM(MasterTable[[#This Row],[ILS]:[PAR]])</f>
        <v>0</v>
      </c>
      <c r="AL870" s="11"/>
      <c r="AR870" s="140" t="str">
        <f>_xlfn.XLOOKUP(MasterTable[[#This Row],[Aircraft ID]],Aircraft!A:A,Aircraft!H:H)</f>
        <v>Airplane Single Engine Land</v>
      </c>
      <c r="AS870" s="8" t="b">
        <f>OR((SUM(MasterTable[[#This Row],[ILS]:[PAR]]) = MasterTable[[#This Row],[APPR]]))</f>
        <v>1</v>
      </c>
      <c r="AT870" s="8" t="b">
        <f>NOT(ISBLANK(MasterTable[[#This Row],[Total
Time]]))</f>
        <v>1</v>
      </c>
    </row>
    <row r="871" spans="4:46" ht="28.8" x14ac:dyDescent="0.3">
      <c r="D871" s="22">
        <v>43253</v>
      </c>
      <c r="E871" s="8" t="s">
        <v>174</v>
      </c>
      <c r="F871" s="8" t="s">
        <v>204</v>
      </c>
      <c r="G871" s="8" t="s">
        <v>202</v>
      </c>
      <c r="I871" s="10">
        <v>3.4</v>
      </c>
      <c r="J871" s="10">
        <v>3.4</v>
      </c>
      <c r="L871" s="10">
        <v>0</v>
      </c>
      <c r="M871" s="13">
        <v>0</v>
      </c>
      <c r="N871" s="13"/>
      <c r="O871" s="10">
        <v>0</v>
      </c>
      <c r="P871" s="10">
        <v>0</v>
      </c>
      <c r="Q871" s="14">
        <v>0</v>
      </c>
      <c r="R871" s="14">
        <v>0</v>
      </c>
      <c r="S871" s="10">
        <v>0</v>
      </c>
      <c r="T871" s="10">
        <v>3.4</v>
      </c>
      <c r="U871" s="14">
        <v>0</v>
      </c>
      <c r="V871" s="10"/>
      <c r="W871" s="11">
        <v>2</v>
      </c>
      <c r="X871" s="11">
        <v>2</v>
      </c>
      <c r="Y871" s="11">
        <v>0</v>
      </c>
      <c r="Z871" s="11">
        <v>0</v>
      </c>
      <c r="AA871" s="11">
        <f>MasterTable[[#This Row],[Landings
Night]]+MasterTable[[#This Row],[Landings
Day]]</f>
        <v>2</v>
      </c>
      <c r="AB871" s="10">
        <v>0</v>
      </c>
      <c r="AC871" s="10">
        <v>0</v>
      </c>
      <c r="AD871" s="11">
        <v>0</v>
      </c>
      <c r="AE871" s="21">
        <f>SUM(MasterTable[[#This Row],[ILS]:[PAR]])</f>
        <v>0</v>
      </c>
      <c r="AL871" s="11"/>
      <c r="AR871" s="140" t="str">
        <f>_xlfn.XLOOKUP(MasterTable[[#This Row],[Aircraft ID]],Aircraft!A:A,Aircraft!H:H)</f>
        <v>Airplane Single Engine Land</v>
      </c>
      <c r="AS871" s="8" t="b">
        <f>OR((SUM(MasterTable[[#This Row],[ILS]:[PAR]]) = MasterTable[[#This Row],[APPR]]))</f>
        <v>1</v>
      </c>
      <c r="AT871" s="8" t="b">
        <f>NOT(ISBLANK(MasterTable[[#This Row],[Total
Time]]))</f>
        <v>1</v>
      </c>
    </row>
    <row r="872" spans="4:46" ht="28.8" x14ac:dyDescent="0.3">
      <c r="D872" s="22">
        <v>43250</v>
      </c>
      <c r="E872" s="8" t="s">
        <v>174</v>
      </c>
      <c r="F872" s="8" t="s">
        <v>204</v>
      </c>
      <c r="G872" s="8" t="s">
        <v>202</v>
      </c>
      <c r="I872" s="10">
        <v>2.6</v>
      </c>
      <c r="J872" s="10">
        <v>2.6</v>
      </c>
      <c r="L872" s="10">
        <v>0</v>
      </c>
      <c r="M872" s="13">
        <v>0</v>
      </c>
      <c r="N872" s="13"/>
      <c r="O872" s="10">
        <v>0</v>
      </c>
      <c r="P872" s="10">
        <v>0</v>
      </c>
      <c r="Q872" s="14">
        <v>0</v>
      </c>
      <c r="R872" s="14">
        <v>0</v>
      </c>
      <c r="S872" s="10">
        <v>0</v>
      </c>
      <c r="T872" s="10">
        <v>2.6</v>
      </c>
      <c r="U872" s="14">
        <v>0</v>
      </c>
      <c r="V872" s="10"/>
      <c r="W872" s="11">
        <v>2</v>
      </c>
      <c r="X872" s="11">
        <v>2</v>
      </c>
      <c r="Y872" s="11">
        <v>0</v>
      </c>
      <c r="Z872" s="11">
        <v>0</v>
      </c>
      <c r="AA872" s="11">
        <f>MasterTable[[#This Row],[Landings
Night]]+MasterTable[[#This Row],[Landings
Day]]</f>
        <v>2</v>
      </c>
      <c r="AB872" s="10">
        <v>0</v>
      </c>
      <c r="AC872" s="10">
        <v>0</v>
      </c>
      <c r="AD872" s="11">
        <v>0</v>
      </c>
      <c r="AE872" s="21">
        <f>SUM(MasterTable[[#This Row],[ILS]:[PAR]])</f>
        <v>0</v>
      </c>
      <c r="AL872" s="11"/>
      <c r="AR872" s="140" t="str">
        <f>_xlfn.XLOOKUP(MasterTable[[#This Row],[Aircraft ID]],Aircraft!A:A,Aircraft!H:H)</f>
        <v>Airplane Single Engine Land</v>
      </c>
      <c r="AS872" s="8" t="b">
        <f>OR((SUM(MasterTable[[#This Row],[ILS]:[PAR]]) = MasterTable[[#This Row],[APPR]]))</f>
        <v>1</v>
      </c>
      <c r="AT872" s="8" t="b">
        <f>NOT(ISBLANK(MasterTable[[#This Row],[Total
Time]]))</f>
        <v>1</v>
      </c>
    </row>
    <row r="873" spans="4:46" ht="28.8" x14ac:dyDescent="0.3">
      <c r="D873" s="22">
        <v>43239</v>
      </c>
      <c r="E873" s="8" t="s">
        <v>174</v>
      </c>
      <c r="F873" s="8" t="s">
        <v>204</v>
      </c>
      <c r="G873" s="8" t="s">
        <v>264</v>
      </c>
      <c r="I873" s="10">
        <v>1.8</v>
      </c>
      <c r="J873" s="10">
        <v>1.8</v>
      </c>
      <c r="L873" s="10">
        <v>0</v>
      </c>
      <c r="M873" s="13">
        <v>0</v>
      </c>
      <c r="N873" s="13"/>
      <c r="O873" s="10">
        <v>0</v>
      </c>
      <c r="P873" s="10">
        <v>0</v>
      </c>
      <c r="Q873" s="14">
        <v>0</v>
      </c>
      <c r="R873" s="14">
        <v>0</v>
      </c>
      <c r="S873" s="10">
        <v>0</v>
      </c>
      <c r="T873" s="10">
        <v>0</v>
      </c>
      <c r="U873" s="14">
        <v>0</v>
      </c>
      <c r="V873" s="10"/>
      <c r="W873" s="11">
        <v>2</v>
      </c>
      <c r="X873" s="11">
        <v>2</v>
      </c>
      <c r="Y873" s="11">
        <v>0</v>
      </c>
      <c r="Z873" s="11">
        <v>0</v>
      </c>
      <c r="AA873" s="11">
        <f>MasterTable[[#This Row],[Landings
Night]]+MasterTable[[#This Row],[Landings
Day]]</f>
        <v>2</v>
      </c>
      <c r="AB873" s="10">
        <v>0</v>
      </c>
      <c r="AC873" s="10">
        <v>0</v>
      </c>
      <c r="AD873" s="11">
        <v>0</v>
      </c>
      <c r="AE873" s="21">
        <f>SUM(MasterTable[[#This Row],[ILS]:[PAR]])</f>
        <v>0</v>
      </c>
      <c r="AL873" s="11"/>
      <c r="AR873" s="140" t="str">
        <f>_xlfn.XLOOKUP(MasterTable[[#This Row],[Aircraft ID]],Aircraft!A:A,Aircraft!H:H)</f>
        <v>Airplane Single Engine Land</v>
      </c>
      <c r="AS873" s="8" t="b">
        <f>OR((SUM(MasterTable[[#This Row],[ILS]:[PAR]]) = MasterTable[[#This Row],[APPR]]))</f>
        <v>1</v>
      </c>
      <c r="AT873" s="8" t="b">
        <f>NOT(ISBLANK(MasterTable[[#This Row],[Total
Time]]))</f>
        <v>1</v>
      </c>
    </row>
    <row r="874" spans="4:46" ht="28.8" x14ac:dyDescent="0.3">
      <c r="D874" s="22">
        <v>43226</v>
      </c>
      <c r="E874" s="8" t="s">
        <v>174</v>
      </c>
      <c r="F874" s="8" t="s">
        <v>204</v>
      </c>
      <c r="G874" s="8" t="s">
        <v>204</v>
      </c>
      <c r="I874" s="10">
        <v>0.6</v>
      </c>
      <c r="J874" s="10">
        <v>0.6</v>
      </c>
      <c r="L874" s="10">
        <v>0</v>
      </c>
      <c r="M874" s="13">
        <v>0</v>
      </c>
      <c r="N874" s="13"/>
      <c r="O874" s="10">
        <v>0</v>
      </c>
      <c r="P874" s="10">
        <v>0</v>
      </c>
      <c r="Q874" s="14">
        <v>0</v>
      </c>
      <c r="R874" s="14">
        <v>0</v>
      </c>
      <c r="S874" s="10">
        <v>0</v>
      </c>
      <c r="T874" s="10">
        <v>0</v>
      </c>
      <c r="U874" s="14">
        <v>0</v>
      </c>
      <c r="V874" s="10"/>
      <c r="W874" s="11">
        <v>1</v>
      </c>
      <c r="X874" s="11">
        <v>1</v>
      </c>
      <c r="Y874" s="11">
        <v>0</v>
      </c>
      <c r="Z874" s="11">
        <v>0</v>
      </c>
      <c r="AA874" s="11">
        <f>MasterTable[[#This Row],[Landings
Night]]+MasterTable[[#This Row],[Landings
Day]]</f>
        <v>1</v>
      </c>
      <c r="AB874" s="10">
        <v>0</v>
      </c>
      <c r="AC874" s="10">
        <v>0</v>
      </c>
      <c r="AD874" s="11">
        <v>0</v>
      </c>
      <c r="AE874" s="21">
        <f>SUM(MasterTable[[#This Row],[ILS]:[PAR]])</f>
        <v>0</v>
      </c>
      <c r="AL874" s="11"/>
      <c r="AR874" s="140" t="str">
        <f>_xlfn.XLOOKUP(MasterTable[[#This Row],[Aircraft ID]],Aircraft!A:A,Aircraft!H:H)</f>
        <v>Airplane Single Engine Land</v>
      </c>
      <c r="AS874" s="8" t="b">
        <f>OR((SUM(MasterTable[[#This Row],[ILS]:[PAR]]) = MasterTable[[#This Row],[APPR]]))</f>
        <v>1</v>
      </c>
      <c r="AT874" s="8" t="b">
        <f>NOT(ISBLANK(MasterTable[[#This Row],[Total
Time]]))</f>
        <v>1</v>
      </c>
    </row>
    <row r="875" spans="4:46" ht="28.8" x14ac:dyDescent="0.3">
      <c r="D875" s="22">
        <v>43225</v>
      </c>
      <c r="E875" s="8" t="s">
        <v>174</v>
      </c>
      <c r="F875" s="8" t="s">
        <v>204</v>
      </c>
      <c r="G875" s="8" t="s">
        <v>233</v>
      </c>
      <c r="I875" s="10">
        <v>2.2000000000000002</v>
      </c>
      <c r="J875" s="10">
        <v>2.2000000000000002</v>
      </c>
      <c r="L875" s="10">
        <v>0</v>
      </c>
      <c r="M875" s="13">
        <v>0</v>
      </c>
      <c r="N875" s="13"/>
      <c r="O875" s="10">
        <v>0</v>
      </c>
      <c r="P875" s="10">
        <v>0</v>
      </c>
      <c r="Q875" s="14">
        <v>0</v>
      </c>
      <c r="R875" s="14">
        <v>0</v>
      </c>
      <c r="S875" s="10">
        <v>0</v>
      </c>
      <c r="T875" s="10">
        <v>2.2000000000000002</v>
      </c>
      <c r="U875" s="14">
        <v>0</v>
      </c>
      <c r="V875" s="10"/>
      <c r="W875" s="11">
        <v>2</v>
      </c>
      <c r="X875" s="11">
        <v>2</v>
      </c>
      <c r="Y875" s="11">
        <v>0</v>
      </c>
      <c r="Z875" s="11">
        <v>0</v>
      </c>
      <c r="AA875" s="11">
        <f>MasterTable[[#This Row],[Landings
Night]]+MasterTable[[#This Row],[Landings
Day]]</f>
        <v>2</v>
      </c>
      <c r="AB875" s="10">
        <v>0</v>
      </c>
      <c r="AC875" s="10">
        <v>0</v>
      </c>
      <c r="AD875" s="11">
        <v>0</v>
      </c>
      <c r="AE875" s="21">
        <f>SUM(MasterTable[[#This Row],[ILS]:[PAR]])</f>
        <v>0</v>
      </c>
      <c r="AL875" s="11"/>
      <c r="AR875" s="140" t="str">
        <f>_xlfn.XLOOKUP(MasterTable[[#This Row],[Aircraft ID]],Aircraft!A:A,Aircraft!H:H)</f>
        <v>Airplane Single Engine Land</v>
      </c>
      <c r="AS875" s="8" t="b">
        <f>OR((SUM(MasterTable[[#This Row],[ILS]:[PAR]]) = MasterTable[[#This Row],[APPR]]))</f>
        <v>1</v>
      </c>
      <c r="AT875" s="8" t="b">
        <f>NOT(ISBLANK(MasterTable[[#This Row],[Total
Time]]))</f>
        <v>1</v>
      </c>
    </row>
    <row r="876" spans="4:46" ht="28.8" x14ac:dyDescent="0.3">
      <c r="D876" s="22">
        <v>43223</v>
      </c>
      <c r="E876" s="8" t="s">
        <v>174</v>
      </c>
      <c r="F876" s="8" t="s">
        <v>202</v>
      </c>
      <c r="G876" s="8" t="s">
        <v>204</v>
      </c>
      <c r="I876" s="10">
        <v>1.3</v>
      </c>
      <c r="J876" s="10">
        <v>1.3</v>
      </c>
      <c r="L876" s="10">
        <v>0</v>
      </c>
      <c r="M876" s="13">
        <v>0</v>
      </c>
      <c r="N876" s="13"/>
      <c r="O876" s="10">
        <v>0</v>
      </c>
      <c r="P876" s="10">
        <v>0</v>
      </c>
      <c r="Q876" s="14">
        <v>0</v>
      </c>
      <c r="R876" s="14">
        <v>0</v>
      </c>
      <c r="S876" s="10">
        <v>1.3</v>
      </c>
      <c r="T876" s="10">
        <v>1.3</v>
      </c>
      <c r="U876" s="14">
        <v>0</v>
      </c>
      <c r="V876" s="10"/>
      <c r="W876" s="11">
        <v>0</v>
      </c>
      <c r="X876" s="11">
        <v>0</v>
      </c>
      <c r="Y876" s="11">
        <v>1</v>
      </c>
      <c r="Z876" s="11">
        <v>1</v>
      </c>
      <c r="AA876" s="11">
        <f>MasterTable[[#This Row],[Landings
Night]]+MasterTable[[#This Row],[Landings
Day]]</f>
        <v>1</v>
      </c>
      <c r="AB876" s="10">
        <v>0</v>
      </c>
      <c r="AC876" s="10">
        <v>0</v>
      </c>
      <c r="AD876" s="11">
        <v>0</v>
      </c>
      <c r="AE876" s="21">
        <f>SUM(MasterTable[[#This Row],[ILS]:[PAR]])</f>
        <v>0</v>
      </c>
      <c r="AL876" s="11"/>
      <c r="AR876" s="140" t="str">
        <f>_xlfn.XLOOKUP(MasterTable[[#This Row],[Aircraft ID]],Aircraft!A:A,Aircraft!H:H)</f>
        <v>Airplane Single Engine Land</v>
      </c>
      <c r="AS876" s="8" t="b">
        <f>OR((SUM(MasterTable[[#This Row],[ILS]:[PAR]]) = MasterTable[[#This Row],[APPR]]))</f>
        <v>1</v>
      </c>
      <c r="AT876" s="8" t="b">
        <f>NOT(ISBLANK(MasterTable[[#This Row],[Total
Time]]))</f>
        <v>1</v>
      </c>
    </row>
    <row r="877" spans="4:46" ht="28.8" x14ac:dyDescent="0.3">
      <c r="D877" s="22">
        <v>43222</v>
      </c>
      <c r="E877" s="8" t="s">
        <v>174</v>
      </c>
      <c r="F877" s="8" t="s">
        <v>202</v>
      </c>
      <c r="G877" s="8" t="s">
        <v>202</v>
      </c>
      <c r="I877" s="10">
        <v>1.2</v>
      </c>
      <c r="J877" s="10">
        <v>1.2</v>
      </c>
      <c r="L877" s="10">
        <v>0</v>
      </c>
      <c r="M877" s="13">
        <v>0</v>
      </c>
      <c r="N877" s="13"/>
      <c r="O877" s="10">
        <v>0</v>
      </c>
      <c r="P877" s="10">
        <v>0</v>
      </c>
      <c r="Q877" s="14">
        <v>0</v>
      </c>
      <c r="R877" s="14">
        <v>0</v>
      </c>
      <c r="S877" s="10">
        <v>0</v>
      </c>
      <c r="T877" s="10">
        <v>0</v>
      </c>
      <c r="U877" s="14">
        <v>0</v>
      </c>
      <c r="V877" s="10"/>
      <c r="W877" s="11">
        <v>3</v>
      </c>
      <c r="X877" s="11">
        <v>3</v>
      </c>
      <c r="Y877" s="11">
        <v>0</v>
      </c>
      <c r="Z877" s="11">
        <v>0</v>
      </c>
      <c r="AA877" s="11">
        <f>MasterTable[[#This Row],[Landings
Night]]+MasterTable[[#This Row],[Landings
Day]]</f>
        <v>3</v>
      </c>
      <c r="AB877" s="10">
        <v>0</v>
      </c>
      <c r="AC877" s="10">
        <v>0</v>
      </c>
      <c r="AD877" s="11">
        <v>0</v>
      </c>
      <c r="AE877" s="21">
        <f>SUM(MasterTable[[#This Row],[ILS]:[PAR]])</f>
        <v>0</v>
      </c>
      <c r="AL877" s="11"/>
      <c r="AR877" s="140" t="str">
        <f>_xlfn.XLOOKUP(MasterTable[[#This Row],[Aircraft ID]],Aircraft!A:A,Aircraft!H:H)</f>
        <v>Airplane Single Engine Land</v>
      </c>
      <c r="AS877" s="8" t="b">
        <f>OR((SUM(MasterTable[[#This Row],[ILS]:[PAR]]) = MasterTable[[#This Row],[APPR]]))</f>
        <v>1</v>
      </c>
      <c r="AT877" s="8" t="b">
        <f>NOT(ISBLANK(MasterTable[[#This Row],[Total
Time]]))</f>
        <v>1</v>
      </c>
    </row>
    <row r="878" spans="4:46" ht="28.8" x14ac:dyDescent="0.3">
      <c r="D878" s="22">
        <v>43190</v>
      </c>
      <c r="E878" s="8" t="s">
        <v>18</v>
      </c>
      <c r="F878" s="8" t="s">
        <v>202</v>
      </c>
      <c r="G878" s="8" t="s">
        <v>300</v>
      </c>
      <c r="I878" s="10">
        <v>1</v>
      </c>
      <c r="J878" s="10">
        <v>1</v>
      </c>
      <c r="L878" s="10">
        <v>0</v>
      </c>
      <c r="M878" s="13">
        <v>0</v>
      </c>
      <c r="N878" s="13"/>
      <c r="O878" s="10">
        <v>0</v>
      </c>
      <c r="P878" s="10">
        <v>0</v>
      </c>
      <c r="Q878" s="14">
        <v>0</v>
      </c>
      <c r="R878" s="14">
        <v>0</v>
      </c>
      <c r="S878" s="10">
        <v>0</v>
      </c>
      <c r="T878" s="10">
        <v>0</v>
      </c>
      <c r="U878" s="14">
        <v>0</v>
      </c>
      <c r="V878" s="10"/>
      <c r="W878" s="11">
        <v>2</v>
      </c>
      <c r="X878" s="11">
        <v>2</v>
      </c>
      <c r="Y878" s="11">
        <v>0</v>
      </c>
      <c r="Z878" s="11">
        <v>0</v>
      </c>
      <c r="AA878" s="11">
        <f>MasterTable[[#This Row],[Landings
Night]]+MasterTable[[#This Row],[Landings
Day]]</f>
        <v>2</v>
      </c>
      <c r="AB878" s="10">
        <v>0</v>
      </c>
      <c r="AC878" s="10">
        <v>0</v>
      </c>
      <c r="AD878" s="11">
        <v>0</v>
      </c>
      <c r="AE878" s="21">
        <f>SUM(MasterTable[[#This Row],[ILS]:[PAR]])</f>
        <v>0</v>
      </c>
      <c r="AL878" s="11"/>
      <c r="AR878" s="140" t="str">
        <f>_xlfn.XLOOKUP(MasterTable[[#This Row],[Aircraft ID]],Aircraft!A:A,Aircraft!H:H)</f>
        <v>Airplane Single Engine Land</v>
      </c>
      <c r="AS878" s="8" t="b">
        <f>OR((SUM(MasterTable[[#This Row],[ILS]:[PAR]]) = MasterTable[[#This Row],[APPR]]))</f>
        <v>1</v>
      </c>
      <c r="AT878" s="8" t="b">
        <f>NOT(ISBLANK(MasterTable[[#This Row],[Total
Time]]))</f>
        <v>1</v>
      </c>
    </row>
    <row r="879" spans="4:46" ht="28.8" x14ac:dyDescent="0.3">
      <c r="D879" s="22">
        <v>43189</v>
      </c>
      <c r="E879" s="8" t="s">
        <v>72</v>
      </c>
      <c r="F879" s="8" t="s">
        <v>293</v>
      </c>
      <c r="G879" s="8" t="s">
        <v>274</v>
      </c>
      <c r="I879" s="10">
        <v>1.5</v>
      </c>
      <c r="J879" s="10">
        <v>1.5</v>
      </c>
      <c r="L879" s="10">
        <v>0</v>
      </c>
      <c r="M879" s="13">
        <v>0</v>
      </c>
      <c r="N879" s="13"/>
      <c r="O879" s="10">
        <v>0</v>
      </c>
      <c r="P879" s="10">
        <v>0</v>
      </c>
      <c r="Q879" s="14">
        <v>0</v>
      </c>
      <c r="R879" s="14">
        <v>0</v>
      </c>
      <c r="S879" s="10">
        <v>0</v>
      </c>
      <c r="T879" s="10">
        <v>0</v>
      </c>
      <c r="U879" s="14">
        <v>0</v>
      </c>
      <c r="V879" s="10"/>
      <c r="W879" s="11">
        <v>3</v>
      </c>
      <c r="X879" s="11">
        <v>3</v>
      </c>
      <c r="Y879" s="11">
        <v>0</v>
      </c>
      <c r="Z879" s="11">
        <v>0</v>
      </c>
      <c r="AA879" s="11">
        <f>MasterTable[[#This Row],[Landings
Night]]+MasterTable[[#This Row],[Landings
Day]]</f>
        <v>3</v>
      </c>
      <c r="AB879" s="10">
        <v>0</v>
      </c>
      <c r="AC879" s="10">
        <v>0.6</v>
      </c>
      <c r="AD879" s="11">
        <v>2</v>
      </c>
      <c r="AE879" s="21">
        <f>SUM(MasterTable[[#This Row],[ILS]:[PAR]])</f>
        <v>1</v>
      </c>
      <c r="AI879" s="11">
        <v>1</v>
      </c>
      <c r="AL879" s="11"/>
      <c r="AR879" s="140" t="str">
        <f>_xlfn.XLOOKUP(MasterTable[[#This Row],[Aircraft ID]],Aircraft!A:A,Aircraft!H:H)</f>
        <v>Airplane Multi Engine Land</v>
      </c>
      <c r="AS879" s="8" t="b">
        <f>OR((SUM(MasterTable[[#This Row],[ILS]:[PAR]]) = MasterTable[[#This Row],[APPR]]))</f>
        <v>1</v>
      </c>
      <c r="AT879" s="8" t="b">
        <f>NOT(ISBLANK(MasterTable[[#This Row],[Total
Time]]))</f>
        <v>1</v>
      </c>
    </row>
    <row r="880" spans="4:46" ht="28.8" x14ac:dyDescent="0.3">
      <c r="D880" s="22">
        <v>43188</v>
      </c>
      <c r="E880" s="8" t="s">
        <v>174</v>
      </c>
      <c r="F880" s="8" t="s">
        <v>202</v>
      </c>
      <c r="G880" s="8" t="s">
        <v>202</v>
      </c>
      <c r="I880" s="10">
        <v>0.9</v>
      </c>
      <c r="J880" s="10">
        <v>0.9</v>
      </c>
      <c r="L880" s="10">
        <v>0</v>
      </c>
      <c r="M880" s="13">
        <v>0</v>
      </c>
      <c r="N880" s="13"/>
      <c r="O880" s="10">
        <v>0</v>
      </c>
      <c r="P880" s="10">
        <v>0</v>
      </c>
      <c r="Q880" s="14">
        <v>0</v>
      </c>
      <c r="R880" s="14">
        <v>0</v>
      </c>
      <c r="S880" s="10">
        <v>0</v>
      </c>
      <c r="T880" s="10">
        <v>0</v>
      </c>
      <c r="U880" s="14">
        <v>0</v>
      </c>
      <c r="V880" s="10"/>
      <c r="W880" s="11">
        <v>1</v>
      </c>
      <c r="X880" s="11">
        <v>1</v>
      </c>
      <c r="Y880" s="11">
        <v>0</v>
      </c>
      <c r="Z880" s="11">
        <v>0</v>
      </c>
      <c r="AA880" s="11">
        <f>MasterTable[[#This Row],[Landings
Night]]+MasterTable[[#This Row],[Landings
Day]]</f>
        <v>1</v>
      </c>
      <c r="AB880" s="10">
        <v>0</v>
      </c>
      <c r="AC880" s="10">
        <v>0</v>
      </c>
      <c r="AD880" s="11">
        <v>0</v>
      </c>
      <c r="AE880" s="21">
        <f>SUM(MasterTable[[#This Row],[ILS]:[PAR]])</f>
        <v>0</v>
      </c>
      <c r="AL880" s="11"/>
      <c r="AR880" s="140" t="str">
        <f>_xlfn.XLOOKUP(MasterTable[[#This Row],[Aircraft ID]],Aircraft!A:A,Aircraft!H:H)</f>
        <v>Airplane Single Engine Land</v>
      </c>
      <c r="AS880" s="8" t="b">
        <f>OR((SUM(MasterTable[[#This Row],[ILS]:[PAR]]) = MasterTable[[#This Row],[APPR]]))</f>
        <v>1</v>
      </c>
      <c r="AT880" s="8" t="b">
        <f>NOT(ISBLANK(MasterTable[[#This Row],[Total
Time]]))</f>
        <v>1</v>
      </c>
    </row>
    <row r="881" spans="4:46" ht="28.8" x14ac:dyDescent="0.3">
      <c r="D881" s="22">
        <v>43187</v>
      </c>
      <c r="E881" s="8" t="s">
        <v>72</v>
      </c>
      <c r="F881" s="8" t="s">
        <v>293</v>
      </c>
      <c r="G881" s="8" t="s">
        <v>295</v>
      </c>
      <c r="I881" s="10">
        <v>3.2</v>
      </c>
      <c r="J881" s="10">
        <v>3.2</v>
      </c>
      <c r="L881" s="10">
        <v>0</v>
      </c>
      <c r="M881" s="13">
        <v>0</v>
      </c>
      <c r="N881" s="13"/>
      <c r="O881" s="10">
        <v>0</v>
      </c>
      <c r="P881" s="10">
        <v>0</v>
      </c>
      <c r="Q881" s="14">
        <v>0</v>
      </c>
      <c r="R881" s="14">
        <v>0</v>
      </c>
      <c r="S881" s="10">
        <v>0</v>
      </c>
      <c r="T881" s="10">
        <v>3.2</v>
      </c>
      <c r="U881" s="14">
        <v>0</v>
      </c>
      <c r="V881" s="10"/>
      <c r="W881" s="11">
        <v>2</v>
      </c>
      <c r="X881" s="11">
        <v>2</v>
      </c>
      <c r="Y881" s="11">
        <v>0</v>
      </c>
      <c r="Z881" s="11">
        <v>0</v>
      </c>
      <c r="AA881" s="11">
        <f>MasterTable[[#This Row],[Landings
Night]]+MasterTable[[#This Row],[Landings
Day]]</f>
        <v>2</v>
      </c>
      <c r="AB881" s="10">
        <v>0</v>
      </c>
      <c r="AC881" s="10">
        <v>0.4</v>
      </c>
      <c r="AD881" s="11">
        <v>1</v>
      </c>
      <c r="AE881" s="21">
        <f>SUM(MasterTable[[#This Row],[ILS]:[PAR]])</f>
        <v>1</v>
      </c>
      <c r="AF881" s="11">
        <v>1</v>
      </c>
      <c r="AL881" s="11"/>
      <c r="AR881" s="140" t="str">
        <f>_xlfn.XLOOKUP(MasterTable[[#This Row],[Aircraft ID]],Aircraft!A:A,Aircraft!H:H)</f>
        <v>Airplane Multi Engine Land</v>
      </c>
      <c r="AS881" s="8" t="b">
        <f>OR((SUM(MasterTable[[#This Row],[ILS]:[PAR]]) = MasterTable[[#This Row],[APPR]]))</f>
        <v>1</v>
      </c>
      <c r="AT881" s="8" t="b">
        <f>NOT(ISBLANK(MasterTable[[#This Row],[Total
Time]]))</f>
        <v>1</v>
      </c>
    </row>
    <row r="882" spans="4:46" ht="28.8" x14ac:dyDescent="0.3">
      <c r="D882" s="22">
        <v>43186</v>
      </c>
      <c r="E882" s="8" t="s">
        <v>72</v>
      </c>
      <c r="F882" s="8" t="s">
        <v>293</v>
      </c>
      <c r="G882" s="8" t="s">
        <v>301</v>
      </c>
      <c r="H882" s="8" t="s">
        <v>302</v>
      </c>
      <c r="I882" s="10">
        <v>3.7</v>
      </c>
      <c r="J882" s="10">
        <v>3.7</v>
      </c>
      <c r="L882" s="10">
        <v>0</v>
      </c>
      <c r="M882" s="13">
        <v>0</v>
      </c>
      <c r="N882" s="13"/>
      <c r="O882" s="10">
        <v>0</v>
      </c>
      <c r="P882" s="10">
        <v>0</v>
      </c>
      <c r="Q882" s="14">
        <v>0</v>
      </c>
      <c r="R882" s="14">
        <v>0</v>
      </c>
      <c r="T882" s="10">
        <v>3.7</v>
      </c>
      <c r="U882" s="14">
        <v>0</v>
      </c>
      <c r="V882" s="10"/>
      <c r="W882" s="11">
        <v>5</v>
      </c>
      <c r="X882" s="11">
        <v>5</v>
      </c>
      <c r="Y882" s="11">
        <v>0</v>
      </c>
      <c r="Z882" s="11">
        <v>0</v>
      </c>
      <c r="AA882" s="11">
        <f>MasterTable[[#This Row],[Landings
Night]]+MasterTable[[#This Row],[Landings
Day]]</f>
        <v>5</v>
      </c>
      <c r="AB882" s="10">
        <v>0</v>
      </c>
      <c r="AC882" s="10">
        <v>0.5</v>
      </c>
      <c r="AD882" s="11">
        <v>0</v>
      </c>
      <c r="AE882" s="21">
        <f>SUM(MasterTable[[#This Row],[ILS]:[PAR]])</f>
        <v>2</v>
      </c>
      <c r="AI882" s="11">
        <v>2</v>
      </c>
      <c r="AL882" s="11"/>
      <c r="AR882" s="140" t="str">
        <f>_xlfn.XLOOKUP(MasterTable[[#This Row],[Aircraft ID]],Aircraft!A:A,Aircraft!H:H)</f>
        <v>Airplane Multi Engine Land</v>
      </c>
      <c r="AS882" s="8" t="b">
        <f>OR((SUM(MasterTable[[#This Row],[ILS]:[PAR]]) = MasterTable[[#This Row],[APPR]]))</f>
        <v>1</v>
      </c>
      <c r="AT882" s="8" t="b">
        <f>NOT(ISBLANK(MasterTable[[#This Row],[Total
Time]]))</f>
        <v>1</v>
      </c>
    </row>
    <row r="883" spans="4:46" ht="28.8" x14ac:dyDescent="0.3">
      <c r="D883" s="22">
        <v>43183</v>
      </c>
      <c r="E883" s="8" t="s">
        <v>72</v>
      </c>
      <c r="F883" s="8" t="s">
        <v>293</v>
      </c>
      <c r="G883" s="8" t="s">
        <v>274</v>
      </c>
      <c r="I883" s="10">
        <v>1</v>
      </c>
      <c r="J883" s="10">
        <v>1</v>
      </c>
      <c r="L883" s="10">
        <v>0</v>
      </c>
      <c r="M883" s="13">
        <v>0</v>
      </c>
      <c r="N883" s="13"/>
      <c r="O883" s="10">
        <v>0</v>
      </c>
      <c r="P883" s="10">
        <v>0</v>
      </c>
      <c r="Q883" s="14">
        <v>0</v>
      </c>
      <c r="R883" s="14">
        <v>0</v>
      </c>
      <c r="S883" s="10">
        <v>1</v>
      </c>
      <c r="T883" s="10">
        <v>0</v>
      </c>
      <c r="U883" s="14">
        <v>0</v>
      </c>
      <c r="V883" s="10"/>
      <c r="W883" s="11">
        <v>0</v>
      </c>
      <c r="X883" s="11">
        <v>0</v>
      </c>
      <c r="Y883" s="11">
        <v>2</v>
      </c>
      <c r="Z883" s="11">
        <v>2</v>
      </c>
      <c r="AA883" s="11">
        <f>MasterTable[[#This Row],[Landings
Night]]+MasterTable[[#This Row],[Landings
Day]]</f>
        <v>2</v>
      </c>
      <c r="AB883" s="10">
        <v>0.4</v>
      </c>
      <c r="AC883" s="10">
        <v>0</v>
      </c>
      <c r="AD883" s="11">
        <v>0</v>
      </c>
      <c r="AE883" s="21">
        <f>SUM(MasterTable[[#This Row],[ILS]:[PAR]])</f>
        <v>2</v>
      </c>
      <c r="AF883" s="11">
        <v>2</v>
      </c>
      <c r="AL883" s="11"/>
      <c r="AR883" s="140" t="str">
        <f>_xlfn.XLOOKUP(MasterTable[[#This Row],[Aircraft ID]],Aircraft!A:A,Aircraft!H:H)</f>
        <v>Airplane Multi Engine Land</v>
      </c>
      <c r="AS883" s="8" t="b">
        <f>OR((SUM(MasterTable[[#This Row],[ILS]:[PAR]]) = MasterTable[[#This Row],[APPR]]))</f>
        <v>1</v>
      </c>
      <c r="AT883" s="8" t="b">
        <f>NOT(ISBLANK(MasterTable[[#This Row],[Total
Time]]))</f>
        <v>1</v>
      </c>
    </row>
    <row r="884" spans="4:46" ht="28.8" x14ac:dyDescent="0.3">
      <c r="D884" s="22">
        <v>43176</v>
      </c>
      <c r="E884" s="8" t="s">
        <v>174</v>
      </c>
      <c r="F884" s="8" t="s">
        <v>204</v>
      </c>
      <c r="G884" s="8" t="s">
        <v>202</v>
      </c>
      <c r="I884" s="10">
        <v>1.3</v>
      </c>
      <c r="J884" s="10">
        <v>1.3</v>
      </c>
      <c r="L884" s="10">
        <v>0</v>
      </c>
      <c r="M884" s="13">
        <v>0</v>
      </c>
      <c r="N884" s="13"/>
      <c r="O884" s="10">
        <v>0</v>
      </c>
      <c r="P884" s="10">
        <v>0</v>
      </c>
      <c r="Q884" s="14">
        <v>0</v>
      </c>
      <c r="R884" s="14">
        <v>0</v>
      </c>
      <c r="S884" s="10">
        <v>0</v>
      </c>
      <c r="T884" s="10">
        <v>1.3</v>
      </c>
      <c r="U884" s="14">
        <v>0</v>
      </c>
      <c r="V884" s="10"/>
      <c r="W884" s="11">
        <v>1</v>
      </c>
      <c r="X884" s="11">
        <v>1</v>
      </c>
      <c r="Y884" s="11">
        <v>0</v>
      </c>
      <c r="Z884" s="11">
        <v>0</v>
      </c>
      <c r="AA884" s="11">
        <f>MasterTable[[#This Row],[Landings
Night]]+MasterTable[[#This Row],[Landings
Day]]</f>
        <v>1</v>
      </c>
      <c r="AB884" s="10">
        <v>0</v>
      </c>
      <c r="AC884" s="10">
        <v>0</v>
      </c>
      <c r="AD884" s="11">
        <v>0</v>
      </c>
      <c r="AE884" s="21">
        <f>SUM(MasterTable[[#This Row],[ILS]:[PAR]])</f>
        <v>0</v>
      </c>
      <c r="AL884" s="11"/>
      <c r="AR884" s="140" t="str">
        <f>_xlfn.XLOOKUP(MasterTable[[#This Row],[Aircraft ID]],Aircraft!A:A,Aircraft!H:H)</f>
        <v>Airplane Single Engine Land</v>
      </c>
      <c r="AS884" s="8" t="b">
        <f>OR((SUM(MasterTable[[#This Row],[ILS]:[PAR]]) = MasterTable[[#This Row],[APPR]]))</f>
        <v>1</v>
      </c>
      <c r="AT884" s="8" t="b">
        <f>NOT(ISBLANK(MasterTable[[#This Row],[Total
Time]]))</f>
        <v>1</v>
      </c>
    </row>
    <row r="885" spans="4:46" ht="28.8" x14ac:dyDescent="0.3">
      <c r="D885" s="22">
        <v>43170</v>
      </c>
      <c r="E885" s="8" t="s">
        <v>174</v>
      </c>
      <c r="F885" s="8" t="s">
        <v>248</v>
      </c>
      <c r="G885" s="8" t="s">
        <v>204</v>
      </c>
      <c r="I885" s="10">
        <v>3</v>
      </c>
      <c r="J885" s="10">
        <v>3</v>
      </c>
      <c r="L885" s="10">
        <v>0</v>
      </c>
      <c r="M885" s="13">
        <v>0</v>
      </c>
      <c r="N885" s="13"/>
      <c r="O885" s="10">
        <v>0</v>
      </c>
      <c r="P885" s="10">
        <v>0</v>
      </c>
      <c r="Q885" s="14">
        <v>0</v>
      </c>
      <c r="R885" s="14">
        <v>0</v>
      </c>
      <c r="S885" s="10">
        <v>0</v>
      </c>
      <c r="T885" s="10">
        <v>3</v>
      </c>
      <c r="U885" s="14">
        <v>0</v>
      </c>
      <c r="V885" s="10"/>
      <c r="W885" s="11">
        <v>1</v>
      </c>
      <c r="X885" s="11">
        <v>1</v>
      </c>
      <c r="Y885" s="11">
        <v>0</v>
      </c>
      <c r="Z885" s="11">
        <v>0</v>
      </c>
      <c r="AA885" s="11">
        <f>MasterTable[[#This Row],[Landings
Night]]+MasterTable[[#This Row],[Landings
Day]]</f>
        <v>1</v>
      </c>
      <c r="AB885" s="10">
        <v>0.3</v>
      </c>
      <c r="AC885" s="10">
        <v>0</v>
      </c>
      <c r="AD885" s="11">
        <v>0</v>
      </c>
      <c r="AE885" s="21">
        <f>SUM(MasterTable[[#This Row],[ILS]:[PAR]])</f>
        <v>0</v>
      </c>
      <c r="AL885" s="11"/>
      <c r="AR885" s="140" t="str">
        <f>_xlfn.XLOOKUP(MasterTable[[#This Row],[Aircraft ID]],Aircraft!A:A,Aircraft!H:H)</f>
        <v>Airplane Single Engine Land</v>
      </c>
      <c r="AS885" s="8" t="b">
        <f>OR((SUM(MasterTable[[#This Row],[ILS]:[PAR]]) = MasterTable[[#This Row],[APPR]]))</f>
        <v>1</v>
      </c>
      <c r="AT885" s="8" t="b">
        <f>NOT(ISBLANK(MasterTable[[#This Row],[Total
Time]]))</f>
        <v>1</v>
      </c>
    </row>
    <row r="886" spans="4:46" ht="28.8" x14ac:dyDescent="0.3">
      <c r="D886" s="22">
        <v>43168</v>
      </c>
      <c r="E886" s="8" t="s">
        <v>174</v>
      </c>
      <c r="F886" s="8" t="s">
        <v>204</v>
      </c>
      <c r="G886" s="8" t="s">
        <v>248</v>
      </c>
      <c r="I886" s="10">
        <v>2.7</v>
      </c>
      <c r="J886" s="10">
        <v>2.7</v>
      </c>
      <c r="L886" s="10">
        <v>0</v>
      </c>
      <c r="M886" s="13">
        <v>0</v>
      </c>
      <c r="N886" s="13"/>
      <c r="O886" s="10">
        <v>0</v>
      </c>
      <c r="P886" s="10">
        <v>0</v>
      </c>
      <c r="Q886" s="14">
        <v>0</v>
      </c>
      <c r="R886" s="14">
        <v>0</v>
      </c>
      <c r="S886" s="10">
        <v>2</v>
      </c>
      <c r="T886" s="10">
        <v>2.7</v>
      </c>
      <c r="U886" s="14">
        <v>0</v>
      </c>
      <c r="V886" s="10"/>
      <c r="W886" s="11">
        <v>1</v>
      </c>
      <c r="X886" s="11">
        <v>0</v>
      </c>
      <c r="Y886" s="11">
        <v>0</v>
      </c>
      <c r="Z886" s="11">
        <v>1</v>
      </c>
      <c r="AA886" s="11">
        <f>MasterTable[[#This Row],[Landings
Night]]+MasterTable[[#This Row],[Landings
Day]]</f>
        <v>1</v>
      </c>
      <c r="AB886" s="10">
        <v>0</v>
      </c>
      <c r="AC886" s="10">
        <v>0</v>
      </c>
      <c r="AD886" s="11">
        <v>0</v>
      </c>
      <c r="AE886" s="21">
        <f>SUM(MasterTable[[#This Row],[ILS]:[PAR]])</f>
        <v>0</v>
      </c>
      <c r="AL886" s="11"/>
      <c r="AR886" s="140" t="str">
        <f>_xlfn.XLOOKUP(MasterTable[[#This Row],[Aircraft ID]],Aircraft!A:A,Aircraft!H:H)</f>
        <v>Airplane Single Engine Land</v>
      </c>
      <c r="AS886" s="8" t="b">
        <f>OR((SUM(MasterTable[[#This Row],[ILS]:[PAR]]) = MasterTable[[#This Row],[APPR]]))</f>
        <v>1</v>
      </c>
      <c r="AT886" s="8" t="b">
        <f>NOT(ISBLANK(MasterTable[[#This Row],[Total
Time]]))</f>
        <v>1</v>
      </c>
    </row>
    <row r="887" spans="4:46" ht="28.8" x14ac:dyDescent="0.3">
      <c r="D887" s="22">
        <v>43163</v>
      </c>
      <c r="E887" s="8" t="s">
        <v>174</v>
      </c>
      <c r="F887" s="8" t="s">
        <v>204</v>
      </c>
      <c r="G887" s="8" t="s">
        <v>204</v>
      </c>
      <c r="I887" s="10">
        <v>1.1000000000000001</v>
      </c>
      <c r="J887" s="10">
        <v>1.1000000000000001</v>
      </c>
      <c r="L887" s="10">
        <v>0</v>
      </c>
      <c r="M887" s="13">
        <v>0</v>
      </c>
      <c r="N887" s="13"/>
      <c r="O887" s="10">
        <v>0</v>
      </c>
      <c r="P887" s="10">
        <v>0</v>
      </c>
      <c r="Q887" s="14">
        <v>0</v>
      </c>
      <c r="R887" s="14">
        <v>0</v>
      </c>
      <c r="S887" s="10">
        <v>0</v>
      </c>
      <c r="T887" s="10">
        <v>0</v>
      </c>
      <c r="U887" s="14">
        <v>0</v>
      </c>
      <c r="V887" s="10"/>
      <c r="W887" s="11">
        <v>4</v>
      </c>
      <c r="X887" s="11">
        <v>4</v>
      </c>
      <c r="Y887" s="11">
        <v>0</v>
      </c>
      <c r="Z887" s="11">
        <v>0</v>
      </c>
      <c r="AA887" s="11">
        <f>MasterTable[[#This Row],[Landings
Night]]+MasterTable[[#This Row],[Landings
Day]]</f>
        <v>4</v>
      </c>
      <c r="AB887" s="10">
        <v>0</v>
      </c>
      <c r="AC887" s="10">
        <v>0</v>
      </c>
      <c r="AD887" s="11">
        <v>0</v>
      </c>
      <c r="AE887" s="21">
        <f>SUM(MasterTable[[#This Row],[ILS]:[PAR]])</f>
        <v>0</v>
      </c>
      <c r="AL887" s="11"/>
      <c r="AR887" s="140" t="str">
        <f>_xlfn.XLOOKUP(MasterTable[[#This Row],[Aircraft ID]],Aircraft!A:A,Aircraft!H:H)</f>
        <v>Airplane Single Engine Land</v>
      </c>
      <c r="AS887" s="8" t="b">
        <f>OR((SUM(MasterTable[[#This Row],[ILS]:[PAR]]) = MasterTable[[#This Row],[APPR]]))</f>
        <v>1</v>
      </c>
      <c r="AT887" s="8" t="b">
        <f>NOT(ISBLANK(MasterTable[[#This Row],[Total
Time]]))</f>
        <v>1</v>
      </c>
    </row>
    <row r="888" spans="4:46" ht="28.8" x14ac:dyDescent="0.3">
      <c r="D888" s="22">
        <v>43153</v>
      </c>
      <c r="E888" s="8" t="s">
        <v>174</v>
      </c>
      <c r="F888" s="8" t="s">
        <v>204</v>
      </c>
      <c r="G888" s="8" t="s">
        <v>204</v>
      </c>
      <c r="I888" s="10">
        <v>1.5</v>
      </c>
      <c r="J888" s="10">
        <v>1.5</v>
      </c>
      <c r="L888" s="10">
        <v>0</v>
      </c>
      <c r="M888" s="13">
        <v>0</v>
      </c>
      <c r="N888" s="13"/>
      <c r="O888" s="10">
        <v>0</v>
      </c>
      <c r="P888" s="10">
        <v>0</v>
      </c>
      <c r="Q888" s="14">
        <v>0</v>
      </c>
      <c r="R888" s="14">
        <v>0</v>
      </c>
      <c r="S888" s="10">
        <v>0.7</v>
      </c>
      <c r="T888" s="10">
        <v>0</v>
      </c>
      <c r="U888" s="14">
        <v>0</v>
      </c>
      <c r="V888" s="10"/>
      <c r="W888" s="11">
        <v>0</v>
      </c>
      <c r="X888" s="11">
        <v>1</v>
      </c>
      <c r="Y888" s="11">
        <v>1</v>
      </c>
      <c r="Z888" s="11">
        <v>0</v>
      </c>
      <c r="AA888" s="11">
        <f>MasterTable[[#This Row],[Landings
Night]]+MasterTable[[#This Row],[Landings
Day]]</f>
        <v>1</v>
      </c>
      <c r="AB888" s="10">
        <v>0</v>
      </c>
      <c r="AC888" s="10">
        <v>0</v>
      </c>
      <c r="AD888" s="11">
        <v>0</v>
      </c>
      <c r="AE888" s="21">
        <f>SUM(MasterTable[[#This Row],[ILS]:[PAR]])</f>
        <v>0</v>
      </c>
      <c r="AL888" s="11"/>
      <c r="AR888" s="140" t="str">
        <f>_xlfn.XLOOKUP(MasterTable[[#This Row],[Aircraft ID]],Aircraft!A:A,Aircraft!H:H)</f>
        <v>Airplane Single Engine Land</v>
      </c>
      <c r="AS888" s="8" t="b">
        <f>OR((SUM(MasterTable[[#This Row],[ILS]:[PAR]]) = MasterTable[[#This Row],[APPR]]))</f>
        <v>1</v>
      </c>
      <c r="AT888" s="8" t="b">
        <f>NOT(ISBLANK(MasterTable[[#This Row],[Total
Time]]))</f>
        <v>1</v>
      </c>
    </row>
    <row r="889" spans="4:46" ht="28.8" x14ac:dyDescent="0.3">
      <c r="D889" s="22">
        <v>43152</v>
      </c>
      <c r="E889" s="8" t="s">
        <v>174</v>
      </c>
      <c r="F889" s="8" t="s">
        <v>204</v>
      </c>
      <c r="G889" s="8" t="s">
        <v>204</v>
      </c>
      <c r="I889" s="10">
        <v>1.1000000000000001</v>
      </c>
      <c r="J889" s="10">
        <v>1.1000000000000001</v>
      </c>
      <c r="L889" s="10">
        <v>0</v>
      </c>
      <c r="M889" s="13">
        <v>0</v>
      </c>
      <c r="N889" s="13"/>
      <c r="O889" s="10">
        <v>0</v>
      </c>
      <c r="P889" s="10">
        <v>0</v>
      </c>
      <c r="Q889" s="14">
        <v>0</v>
      </c>
      <c r="R889" s="14">
        <v>0</v>
      </c>
      <c r="S889" s="10">
        <v>0.6</v>
      </c>
      <c r="T889" s="10">
        <v>0</v>
      </c>
      <c r="U889" s="14">
        <v>0</v>
      </c>
      <c r="V889" s="10"/>
      <c r="W889" s="11">
        <v>0</v>
      </c>
      <c r="X889" s="11">
        <v>1</v>
      </c>
      <c r="Y889" s="11">
        <v>1</v>
      </c>
      <c r="Z889" s="11">
        <v>0</v>
      </c>
      <c r="AA889" s="11">
        <f>MasterTable[[#This Row],[Landings
Night]]+MasterTable[[#This Row],[Landings
Day]]</f>
        <v>1</v>
      </c>
      <c r="AB889" s="10">
        <v>0</v>
      </c>
      <c r="AC889" s="10">
        <v>0</v>
      </c>
      <c r="AD889" s="11">
        <v>0</v>
      </c>
      <c r="AE889" s="21">
        <f>SUM(MasterTable[[#This Row],[ILS]:[PAR]])</f>
        <v>0</v>
      </c>
      <c r="AL889" s="11"/>
      <c r="AR889" s="140" t="str">
        <f>_xlfn.XLOOKUP(MasterTable[[#This Row],[Aircraft ID]],Aircraft!A:A,Aircraft!H:H)</f>
        <v>Airplane Single Engine Land</v>
      </c>
      <c r="AS889" s="8" t="b">
        <f>OR((SUM(MasterTable[[#This Row],[ILS]:[PAR]]) = MasterTable[[#This Row],[APPR]]))</f>
        <v>1</v>
      </c>
      <c r="AT889" s="8" t="b">
        <f>NOT(ISBLANK(MasterTable[[#This Row],[Total
Time]]))</f>
        <v>1</v>
      </c>
    </row>
    <row r="890" spans="4:46" ht="28.8" x14ac:dyDescent="0.3">
      <c r="D890" s="22">
        <v>43150</v>
      </c>
      <c r="E890" s="8" t="s">
        <v>174</v>
      </c>
      <c r="F890" s="8" t="s">
        <v>202</v>
      </c>
      <c r="G890" s="8" t="s">
        <v>204</v>
      </c>
      <c r="I890" s="10">
        <v>1.8</v>
      </c>
      <c r="J890" s="10">
        <v>1.8</v>
      </c>
      <c r="L890" s="10">
        <v>0</v>
      </c>
      <c r="M890" s="13">
        <v>0</v>
      </c>
      <c r="N890" s="13"/>
      <c r="O890" s="10">
        <v>0</v>
      </c>
      <c r="P890" s="10">
        <v>0</v>
      </c>
      <c r="Q890" s="14">
        <v>0</v>
      </c>
      <c r="R890" s="14">
        <v>0</v>
      </c>
      <c r="S890" s="10">
        <v>0</v>
      </c>
      <c r="T890" s="10">
        <v>1.3</v>
      </c>
      <c r="U890" s="14">
        <v>0</v>
      </c>
      <c r="V890" s="10"/>
      <c r="W890" s="11">
        <v>3</v>
      </c>
      <c r="X890" s="11">
        <v>3</v>
      </c>
      <c r="Y890" s="11">
        <v>0</v>
      </c>
      <c r="Z890" s="11">
        <v>0</v>
      </c>
      <c r="AA890" s="11">
        <f>MasterTable[[#This Row],[Landings
Night]]+MasterTable[[#This Row],[Landings
Day]]</f>
        <v>3</v>
      </c>
      <c r="AB890" s="10">
        <v>0</v>
      </c>
      <c r="AC890" s="10">
        <v>0</v>
      </c>
      <c r="AD890" s="11">
        <v>0</v>
      </c>
      <c r="AE890" s="21">
        <f>SUM(MasterTable[[#This Row],[ILS]:[PAR]])</f>
        <v>0</v>
      </c>
      <c r="AL890" s="11"/>
      <c r="AR890" s="140" t="str">
        <f>_xlfn.XLOOKUP(MasterTable[[#This Row],[Aircraft ID]],Aircraft!A:A,Aircraft!H:H)</f>
        <v>Airplane Single Engine Land</v>
      </c>
      <c r="AS890" s="8" t="b">
        <f>OR((SUM(MasterTable[[#This Row],[ILS]:[PAR]]) = MasterTable[[#This Row],[APPR]]))</f>
        <v>1</v>
      </c>
      <c r="AT890" s="8" t="b">
        <f>NOT(ISBLANK(MasterTable[[#This Row],[Total
Time]]))</f>
        <v>1</v>
      </c>
    </row>
    <row r="891" spans="4:46" ht="28.8" x14ac:dyDescent="0.3">
      <c r="D891" s="22">
        <v>43148</v>
      </c>
      <c r="E891" s="8" t="s">
        <v>72</v>
      </c>
      <c r="F891" s="8" t="s">
        <v>293</v>
      </c>
      <c r="G891" s="8" t="s">
        <v>303</v>
      </c>
      <c r="I891" s="10">
        <v>1.2</v>
      </c>
      <c r="J891" s="10">
        <v>1.2</v>
      </c>
      <c r="L891" s="10">
        <v>0</v>
      </c>
      <c r="M891" s="13">
        <v>0</v>
      </c>
      <c r="N891" s="13"/>
      <c r="O891" s="10">
        <v>0</v>
      </c>
      <c r="P891" s="10">
        <v>0</v>
      </c>
      <c r="Q891" s="14">
        <v>0</v>
      </c>
      <c r="R891" s="14">
        <v>0</v>
      </c>
      <c r="S891" s="10">
        <v>1.2</v>
      </c>
      <c r="T891" s="10">
        <v>1.2</v>
      </c>
      <c r="U891" s="14">
        <v>0</v>
      </c>
      <c r="V891" s="10"/>
      <c r="W891" s="11">
        <v>0</v>
      </c>
      <c r="X891" s="11">
        <v>0</v>
      </c>
      <c r="Y891" s="11">
        <v>2</v>
      </c>
      <c r="Z891" s="11">
        <v>2</v>
      </c>
      <c r="AA891" s="11">
        <f>MasterTable[[#This Row],[Landings
Night]]+MasterTable[[#This Row],[Landings
Day]]</f>
        <v>2</v>
      </c>
      <c r="AB891" s="10">
        <v>0.1</v>
      </c>
      <c r="AC891" s="10">
        <v>0.4</v>
      </c>
      <c r="AD891" s="11">
        <v>0</v>
      </c>
      <c r="AE891" s="21">
        <f>SUM(MasterTable[[#This Row],[ILS]:[PAR]])</f>
        <v>2</v>
      </c>
      <c r="AF891" s="11">
        <v>1</v>
      </c>
      <c r="AI891" s="11">
        <v>1</v>
      </c>
      <c r="AL891" s="11"/>
      <c r="AR891" s="140" t="str">
        <f>_xlfn.XLOOKUP(MasterTable[[#This Row],[Aircraft ID]],Aircraft!A:A,Aircraft!H:H)</f>
        <v>Airplane Multi Engine Land</v>
      </c>
      <c r="AS891" s="8" t="b">
        <f>OR((SUM(MasterTable[[#This Row],[ILS]:[PAR]]) = MasterTable[[#This Row],[APPR]]))</f>
        <v>1</v>
      </c>
      <c r="AT891" s="8" t="b">
        <f>NOT(ISBLANK(MasterTable[[#This Row],[Total
Time]]))</f>
        <v>1</v>
      </c>
    </row>
    <row r="892" spans="4:46" ht="28.8" x14ac:dyDescent="0.3">
      <c r="D892" s="22">
        <v>43148</v>
      </c>
      <c r="E892" s="8" t="s">
        <v>174</v>
      </c>
      <c r="F892" s="8" t="s">
        <v>202</v>
      </c>
      <c r="G892" s="8" t="s">
        <v>283</v>
      </c>
      <c r="I892" s="10">
        <v>2.2000000000000002</v>
      </c>
      <c r="J892" s="10">
        <v>2.2000000000000002</v>
      </c>
      <c r="L892" s="10">
        <v>0</v>
      </c>
      <c r="M892" s="13">
        <v>0</v>
      </c>
      <c r="N892" s="13"/>
      <c r="O892" s="10">
        <v>0</v>
      </c>
      <c r="P892" s="10">
        <v>0</v>
      </c>
      <c r="Q892" s="14">
        <v>0</v>
      </c>
      <c r="R892" s="14">
        <v>0</v>
      </c>
      <c r="S892" s="10">
        <v>0</v>
      </c>
      <c r="T892" s="10">
        <v>2.2000000000000002</v>
      </c>
      <c r="U892" s="14">
        <v>0</v>
      </c>
      <c r="V892" s="10"/>
      <c r="W892" s="11">
        <v>2</v>
      </c>
      <c r="X892" s="11">
        <v>2</v>
      </c>
      <c r="Y892" s="11">
        <v>0</v>
      </c>
      <c r="Z892" s="11">
        <v>0</v>
      </c>
      <c r="AA892" s="11">
        <f>MasterTable[[#This Row],[Landings
Night]]+MasterTable[[#This Row],[Landings
Day]]</f>
        <v>2</v>
      </c>
      <c r="AB892" s="10">
        <v>0</v>
      </c>
      <c r="AC892" s="10">
        <v>0</v>
      </c>
      <c r="AD892" s="11">
        <v>0</v>
      </c>
      <c r="AE892" s="21">
        <f>SUM(MasterTable[[#This Row],[ILS]:[PAR]])</f>
        <v>0</v>
      </c>
      <c r="AL892" s="11"/>
      <c r="AR892" s="140" t="str">
        <f>_xlfn.XLOOKUP(MasterTable[[#This Row],[Aircraft ID]],Aircraft!A:A,Aircraft!H:H)</f>
        <v>Airplane Single Engine Land</v>
      </c>
      <c r="AS892" s="8" t="b">
        <f>OR((SUM(MasterTable[[#This Row],[ILS]:[PAR]]) = MasterTable[[#This Row],[APPR]]))</f>
        <v>1</v>
      </c>
      <c r="AT892" s="8" t="b">
        <f>NOT(ISBLANK(MasterTable[[#This Row],[Total
Time]]))</f>
        <v>1</v>
      </c>
    </row>
    <row r="893" spans="4:46" ht="28.8" x14ac:dyDescent="0.3">
      <c r="D893" s="22">
        <v>43147</v>
      </c>
      <c r="E893" s="8" t="s">
        <v>174</v>
      </c>
      <c r="F893" s="8" t="s">
        <v>204</v>
      </c>
      <c r="G893" s="8" t="s">
        <v>202</v>
      </c>
      <c r="I893" s="10">
        <v>2.4</v>
      </c>
      <c r="J893" s="10">
        <v>2.4</v>
      </c>
      <c r="L893" s="10">
        <v>0</v>
      </c>
      <c r="M893" s="13">
        <v>0</v>
      </c>
      <c r="N893" s="13"/>
      <c r="O893" s="10">
        <v>0</v>
      </c>
      <c r="P893" s="10">
        <v>0</v>
      </c>
      <c r="Q893" s="14">
        <v>0</v>
      </c>
      <c r="R893" s="14">
        <v>0</v>
      </c>
      <c r="S893" s="10">
        <v>1.2</v>
      </c>
      <c r="T893" s="10">
        <v>1.2</v>
      </c>
      <c r="U893" s="14">
        <v>0</v>
      </c>
      <c r="V893" s="10"/>
      <c r="W893" s="11">
        <v>1</v>
      </c>
      <c r="X893" s="11">
        <v>1</v>
      </c>
      <c r="Y893" s="11">
        <v>1</v>
      </c>
      <c r="Z893" s="11">
        <v>1</v>
      </c>
      <c r="AA893" s="11">
        <f>MasterTable[[#This Row],[Landings
Night]]+MasterTable[[#This Row],[Landings
Day]]</f>
        <v>2</v>
      </c>
      <c r="AB893" s="10">
        <v>0</v>
      </c>
      <c r="AC893" s="10">
        <v>0</v>
      </c>
      <c r="AD893" s="11">
        <v>0</v>
      </c>
      <c r="AE893" s="21">
        <f>SUM(MasterTable[[#This Row],[ILS]:[PAR]])</f>
        <v>0</v>
      </c>
      <c r="AL893" s="11"/>
      <c r="AR893" s="140" t="str">
        <f>_xlfn.XLOOKUP(MasterTable[[#This Row],[Aircraft ID]],Aircraft!A:A,Aircraft!H:H)</f>
        <v>Airplane Single Engine Land</v>
      </c>
      <c r="AS893" s="8" t="b">
        <f>OR((SUM(MasterTable[[#This Row],[ILS]:[PAR]]) = MasterTable[[#This Row],[APPR]]))</f>
        <v>1</v>
      </c>
      <c r="AT893" s="8" t="b">
        <f>NOT(ISBLANK(MasterTable[[#This Row],[Total
Time]]))</f>
        <v>1</v>
      </c>
    </row>
    <row r="894" spans="4:46" ht="28.8" x14ac:dyDescent="0.3">
      <c r="D894" s="22">
        <v>43141</v>
      </c>
      <c r="E894" s="8" t="s">
        <v>174</v>
      </c>
      <c r="F894" s="8" t="s">
        <v>204</v>
      </c>
      <c r="G894" s="8" t="s">
        <v>202</v>
      </c>
      <c r="I894" s="10">
        <v>2.8</v>
      </c>
      <c r="J894" s="10">
        <v>2.8</v>
      </c>
      <c r="L894" s="10">
        <v>0</v>
      </c>
      <c r="M894" s="13">
        <v>0</v>
      </c>
      <c r="N894" s="13"/>
      <c r="O894" s="10">
        <v>0</v>
      </c>
      <c r="P894" s="10">
        <v>0</v>
      </c>
      <c r="Q894" s="14">
        <v>0</v>
      </c>
      <c r="R894" s="14">
        <v>0</v>
      </c>
      <c r="S894" s="10">
        <v>1.4</v>
      </c>
      <c r="T894" s="10">
        <v>2.8</v>
      </c>
      <c r="U894" s="14">
        <v>0</v>
      </c>
      <c r="V894" s="10"/>
      <c r="W894" s="11">
        <v>1</v>
      </c>
      <c r="X894" s="11">
        <v>1</v>
      </c>
      <c r="Y894" s="11">
        <v>1</v>
      </c>
      <c r="Z894" s="11">
        <v>1</v>
      </c>
      <c r="AA894" s="11">
        <f>MasterTable[[#This Row],[Landings
Night]]+MasterTable[[#This Row],[Landings
Day]]</f>
        <v>2</v>
      </c>
      <c r="AB894" s="10">
        <v>0</v>
      </c>
      <c r="AC894" s="10">
        <v>0</v>
      </c>
      <c r="AD894" s="11">
        <v>0</v>
      </c>
      <c r="AE894" s="21">
        <f>SUM(MasterTable[[#This Row],[ILS]:[PAR]])</f>
        <v>0</v>
      </c>
      <c r="AL894" s="11"/>
      <c r="AR894" s="140" t="str">
        <f>_xlfn.XLOOKUP(MasterTable[[#This Row],[Aircraft ID]],Aircraft!A:A,Aircraft!H:H)</f>
        <v>Airplane Single Engine Land</v>
      </c>
      <c r="AS894" s="8" t="b">
        <f>OR((SUM(MasterTable[[#This Row],[ILS]:[PAR]]) = MasterTable[[#This Row],[APPR]]))</f>
        <v>1</v>
      </c>
      <c r="AT894" s="8" t="b">
        <f>NOT(ISBLANK(MasterTable[[#This Row],[Total
Time]]))</f>
        <v>1</v>
      </c>
    </row>
    <row r="895" spans="4:46" x14ac:dyDescent="0.3">
      <c r="D895" s="22">
        <v>43134</v>
      </c>
      <c r="E895" s="8" t="s">
        <v>17</v>
      </c>
      <c r="F895" s="8" t="s">
        <v>304</v>
      </c>
      <c r="G895" s="8" t="s">
        <v>304</v>
      </c>
      <c r="I895" s="10">
        <v>0.4</v>
      </c>
      <c r="J895" s="10">
        <v>0</v>
      </c>
      <c r="L895" s="10">
        <v>0</v>
      </c>
      <c r="M895" s="13">
        <v>0</v>
      </c>
      <c r="N895" s="13"/>
      <c r="O895" s="10">
        <v>0</v>
      </c>
      <c r="P895" s="10">
        <v>0.4</v>
      </c>
      <c r="Q895" s="14">
        <v>0</v>
      </c>
      <c r="R895" s="14">
        <v>0</v>
      </c>
      <c r="S895" s="10">
        <v>0</v>
      </c>
      <c r="T895" s="10">
        <v>0</v>
      </c>
      <c r="U895" s="14">
        <v>0</v>
      </c>
      <c r="V895" s="10"/>
      <c r="W895" s="11">
        <v>1</v>
      </c>
      <c r="X895" s="11">
        <v>1</v>
      </c>
      <c r="Y895" s="11">
        <v>0</v>
      </c>
      <c r="Z895" s="11">
        <v>0</v>
      </c>
      <c r="AA895" s="11">
        <f>MasterTable[[#This Row],[Landings
Night]]+MasterTable[[#This Row],[Landings
Day]]</f>
        <v>1</v>
      </c>
      <c r="AB895" s="10">
        <v>0</v>
      </c>
      <c r="AC895" s="10">
        <v>0</v>
      </c>
      <c r="AD895" s="11">
        <v>0</v>
      </c>
      <c r="AE895" s="21">
        <f>SUM(MasterTable[[#This Row],[ILS]:[PAR]])</f>
        <v>0</v>
      </c>
      <c r="AL895" s="11"/>
      <c r="AR895" s="140" t="str">
        <f>_xlfn.XLOOKUP(MasterTable[[#This Row],[Aircraft ID]],Aircraft!A:A,Aircraft!H:H)</f>
        <v>Glider</v>
      </c>
      <c r="AS895" s="8" t="b">
        <f>OR((SUM(MasterTable[[#This Row],[ILS]:[PAR]]) = MasterTable[[#This Row],[APPR]]))</f>
        <v>1</v>
      </c>
      <c r="AT895" s="8" t="b">
        <f>NOT(ISBLANK(MasterTable[[#This Row],[Total
Time]]))</f>
        <v>1</v>
      </c>
    </row>
    <row r="896" spans="4:46" ht="28.8" x14ac:dyDescent="0.3">
      <c r="D896" s="22">
        <v>43134</v>
      </c>
      <c r="E896" s="8" t="s">
        <v>174</v>
      </c>
      <c r="F896" s="8" t="s">
        <v>204</v>
      </c>
      <c r="G896" s="8" t="s">
        <v>304</v>
      </c>
      <c r="I896" s="10">
        <v>1.9</v>
      </c>
      <c r="J896" s="10">
        <v>1.9</v>
      </c>
      <c r="L896" s="10">
        <v>0</v>
      </c>
      <c r="M896" s="13">
        <v>0</v>
      </c>
      <c r="N896" s="13"/>
      <c r="O896" s="10">
        <v>0</v>
      </c>
      <c r="P896" s="10">
        <v>0</v>
      </c>
      <c r="Q896" s="14">
        <v>0</v>
      </c>
      <c r="R896" s="14">
        <v>0</v>
      </c>
      <c r="S896" s="10">
        <v>1.1000000000000001</v>
      </c>
      <c r="T896" s="10">
        <v>1.9</v>
      </c>
      <c r="U896" s="14">
        <v>0</v>
      </c>
      <c r="V896" s="10"/>
      <c r="W896" s="11">
        <v>1</v>
      </c>
      <c r="X896" s="11">
        <v>1</v>
      </c>
      <c r="Y896" s="11">
        <v>1</v>
      </c>
      <c r="Z896" s="11">
        <v>1</v>
      </c>
      <c r="AA896" s="11">
        <f>MasterTable[[#This Row],[Landings
Night]]+MasterTable[[#This Row],[Landings
Day]]</f>
        <v>2</v>
      </c>
      <c r="AB896" s="10">
        <v>0</v>
      </c>
      <c r="AC896" s="10">
        <v>0</v>
      </c>
      <c r="AD896" s="11">
        <v>0</v>
      </c>
      <c r="AE896" s="21">
        <f>SUM(MasterTable[[#This Row],[ILS]:[PAR]])</f>
        <v>0</v>
      </c>
      <c r="AL896" s="11"/>
      <c r="AR896" s="140" t="str">
        <f>_xlfn.XLOOKUP(MasterTable[[#This Row],[Aircraft ID]],Aircraft!A:A,Aircraft!H:H)</f>
        <v>Airplane Single Engine Land</v>
      </c>
      <c r="AS896" s="8" t="b">
        <f>OR((SUM(MasterTable[[#This Row],[ILS]:[PAR]]) = MasterTable[[#This Row],[APPR]]))</f>
        <v>1</v>
      </c>
      <c r="AT896" s="8" t="b">
        <f>NOT(ISBLANK(MasterTable[[#This Row],[Total
Time]]))</f>
        <v>1</v>
      </c>
    </row>
    <row r="897" spans="4:46" ht="28.8" x14ac:dyDescent="0.3">
      <c r="D897" s="22">
        <v>43132</v>
      </c>
      <c r="E897" s="8" t="s">
        <v>174</v>
      </c>
      <c r="F897" s="8" t="s">
        <v>204</v>
      </c>
      <c r="G897" s="8" t="s">
        <v>204</v>
      </c>
      <c r="H897" s="8" t="s">
        <v>256</v>
      </c>
      <c r="I897" s="10">
        <v>1.2</v>
      </c>
      <c r="J897" s="10">
        <v>1.2</v>
      </c>
      <c r="L897" s="10">
        <v>0</v>
      </c>
      <c r="M897" s="13">
        <v>0</v>
      </c>
      <c r="N897" s="13"/>
      <c r="O897" s="10">
        <v>0</v>
      </c>
      <c r="P897" s="10">
        <v>0</v>
      </c>
      <c r="Q897" s="14">
        <v>0</v>
      </c>
      <c r="R897" s="14">
        <v>0</v>
      </c>
      <c r="S897" s="10">
        <v>0</v>
      </c>
      <c r="T897" s="10">
        <v>0</v>
      </c>
      <c r="U897" s="14">
        <v>0</v>
      </c>
      <c r="V897" s="10"/>
      <c r="W897" s="11">
        <v>2</v>
      </c>
      <c r="X897" s="11">
        <v>2</v>
      </c>
      <c r="Y897" s="11">
        <v>0</v>
      </c>
      <c r="Z897" s="11">
        <v>0</v>
      </c>
      <c r="AA897" s="11">
        <f>MasterTable[[#This Row],[Landings
Night]]+MasterTable[[#This Row],[Landings
Day]]</f>
        <v>2</v>
      </c>
      <c r="AB897" s="10">
        <v>0</v>
      </c>
      <c r="AC897" s="10">
        <v>0</v>
      </c>
      <c r="AD897" s="11">
        <v>0</v>
      </c>
      <c r="AE897" s="21">
        <f>SUM(MasterTable[[#This Row],[ILS]:[PAR]])</f>
        <v>0</v>
      </c>
      <c r="AL897" s="11"/>
      <c r="AR897" s="140" t="str">
        <f>_xlfn.XLOOKUP(MasterTable[[#This Row],[Aircraft ID]],Aircraft!A:A,Aircraft!H:H)</f>
        <v>Airplane Single Engine Land</v>
      </c>
      <c r="AS897" s="8" t="b">
        <f>OR((SUM(MasterTable[[#This Row],[ILS]:[PAR]]) = MasterTable[[#This Row],[APPR]]))</f>
        <v>1</v>
      </c>
      <c r="AT897" s="8" t="b">
        <f>NOT(ISBLANK(MasterTable[[#This Row],[Total
Time]]))</f>
        <v>1</v>
      </c>
    </row>
    <row r="898" spans="4:46" ht="28.8" x14ac:dyDescent="0.3">
      <c r="D898" s="22">
        <v>43128</v>
      </c>
      <c r="E898" s="8" t="s">
        <v>174</v>
      </c>
      <c r="F898" s="8" t="s">
        <v>219</v>
      </c>
      <c r="G898" s="8" t="s">
        <v>204</v>
      </c>
      <c r="H898" s="8" t="s">
        <v>305</v>
      </c>
      <c r="I898" s="10">
        <v>1.9</v>
      </c>
      <c r="J898" s="10">
        <v>1.9</v>
      </c>
      <c r="L898" s="10">
        <v>0</v>
      </c>
      <c r="M898" s="13">
        <v>0</v>
      </c>
      <c r="N898" s="13"/>
      <c r="O898" s="10">
        <v>0</v>
      </c>
      <c r="P898" s="10">
        <v>0</v>
      </c>
      <c r="Q898" s="14">
        <v>0</v>
      </c>
      <c r="R898" s="14">
        <v>0</v>
      </c>
      <c r="S898" s="10">
        <v>1.3</v>
      </c>
      <c r="T898" s="10">
        <v>1.9</v>
      </c>
      <c r="U898" s="14">
        <v>0</v>
      </c>
      <c r="V898" s="10"/>
      <c r="W898" s="11">
        <v>1</v>
      </c>
      <c r="X898" s="11">
        <v>1</v>
      </c>
      <c r="Y898" s="11">
        <v>1</v>
      </c>
      <c r="Z898" s="11">
        <v>1</v>
      </c>
      <c r="AA898" s="11">
        <f>MasterTable[[#This Row],[Landings
Night]]+MasterTable[[#This Row],[Landings
Day]]</f>
        <v>2</v>
      </c>
      <c r="AB898" s="10">
        <v>0</v>
      </c>
      <c r="AC898" s="10">
        <v>0</v>
      </c>
      <c r="AD898" s="11">
        <v>0</v>
      </c>
      <c r="AE898" s="21">
        <f>SUM(MasterTable[[#This Row],[ILS]:[PAR]])</f>
        <v>0</v>
      </c>
      <c r="AL898" s="11"/>
      <c r="AR898" s="140" t="str">
        <f>_xlfn.XLOOKUP(MasterTable[[#This Row],[Aircraft ID]],Aircraft!A:A,Aircraft!H:H)</f>
        <v>Airplane Single Engine Land</v>
      </c>
      <c r="AS898" s="8" t="b">
        <f>OR((SUM(MasterTable[[#This Row],[ILS]:[PAR]]) = MasterTable[[#This Row],[APPR]]))</f>
        <v>1</v>
      </c>
      <c r="AT898" s="8" t="b">
        <f>NOT(ISBLANK(MasterTable[[#This Row],[Total
Time]]))</f>
        <v>1</v>
      </c>
    </row>
    <row r="899" spans="4:46" ht="28.8" x14ac:dyDescent="0.3">
      <c r="D899" s="22">
        <v>43128</v>
      </c>
      <c r="E899" s="8" t="s">
        <v>174</v>
      </c>
      <c r="F899" s="8" t="s">
        <v>204</v>
      </c>
      <c r="G899" s="8" t="s">
        <v>219</v>
      </c>
      <c r="H899" s="8" t="s">
        <v>306</v>
      </c>
      <c r="I899" s="10">
        <v>1.9</v>
      </c>
      <c r="J899" s="10">
        <v>1.9</v>
      </c>
      <c r="L899" s="10">
        <v>0</v>
      </c>
      <c r="M899" s="13">
        <v>0</v>
      </c>
      <c r="N899" s="13"/>
      <c r="O899" s="10">
        <v>0</v>
      </c>
      <c r="P899" s="10">
        <v>0</v>
      </c>
      <c r="Q899" s="14">
        <v>0</v>
      </c>
      <c r="R899" s="14">
        <v>0</v>
      </c>
      <c r="S899" s="10">
        <v>0</v>
      </c>
      <c r="T899" s="10">
        <v>1.9</v>
      </c>
      <c r="U899" s="14">
        <v>0</v>
      </c>
      <c r="V899" s="10"/>
      <c r="W899" s="11">
        <v>2</v>
      </c>
      <c r="X899" s="11">
        <v>2</v>
      </c>
      <c r="Y899" s="11">
        <v>0</v>
      </c>
      <c r="Z899" s="11">
        <v>0</v>
      </c>
      <c r="AA899" s="11">
        <f>MasterTable[[#This Row],[Landings
Night]]+MasterTable[[#This Row],[Landings
Day]]</f>
        <v>2</v>
      </c>
      <c r="AB899" s="10">
        <v>0</v>
      </c>
      <c r="AC899" s="10">
        <v>0</v>
      </c>
      <c r="AD899" s="11">
        <v>0</v>
      </c>
      <c r="AE899" s="21">
        <f>SUM(MasterTable[[#This Row],[ILS]:[PAR]])</f>
        <v>0</v>
      </c>
      <c r="AL899" s="11"/>
      <c r="AR899" s="140" t="str">
        <f>_xlfn.XLOOKUP(MasterTable[[#This Row],[Aircraft ID]],Aircraft!A:A,Aircraft!H:H)</f>
        <v>Airplane Single Engine Land</v>
      </c>
      <c r="AS899" s="8" t="b">
        <f>OR((SUM(MasterTable[[#This Row],[ILS]:[PAR]]) = MasterTable[[#This Row],[APPR]]))</f>
        <v>1</v>
      </c>
      <c r="AT899" s="8" t="b">
        <f>NOT(ISBLANK(MasterTable[[#This Row],[Total
Time]]))</f>
        <v>1</v>
      </c>
    </row>
    <row r="900" spans="4:46" ht="28.8" x14ac:dyDescent="0.3">
      <c r="D900" s="22">
        <v>43127</v>
      </c>
      <c r="E900" s="8" t="s">
        <v>29</v>
      </c>
      <c r="F900" s="8" t="s">
        <v>304</v>
      </c>
      <c r="G900" s="8" t="s">
        <v>304</v>
      </c>
      <c r="I900" s="10">
        <v>1</v>
      </c>
      <c r="J900" s="10">
        <v>1</v>
      </c>
      <c r="L900" s="10">
        <v>0</v>
      </c>
      <c r="M900" s="13">
        <v>0</v>
      </c>
      <c r="N900" s="13"/>
      <c r="O900" s="10">
        <v>0</v>
      </c>
      <c r="P900" s="10">
        <v>1</v>
      </c>
      <c r="Q900" s="14">
        <v>0</v>
      </c>
      <c r="R900" s="14">
        <v>0</v>
      </c>
      <c r="S900" s="10">
        <v>0</v>
      </c>
      <c r="T900" s="10">
        <v>0</v>
      </c>
      <c r="U900" s="14">
        <v>0</v>
      </c>
      <c r="V900" s="10"/>
      <c r="W900" s="11">
        <v>4</v>
      </c>
      <c r="X900" s="11">
        <v>4</v>
      </c>
      <c r="Y900" s="11">
        <v>0</v>
      </c>
      <c r="Z900" s="11">
        <v>0</v>
      </c>
      <c r="AA900" s="11">
        <f>MasterTable[[#This Row],[Landings
Night]]+MasterTable[[#This Row],[Landings
Day]]</f>
        <v>4</v>
      </c>
      <c r="AB900" s="10">
        <v>0</v>
      </c>
      <c r="AC900" s="10">
        <v>0</v>
      </c>
      <c r="AD900" s="11">
        <v>0</v>
      </c>
      <c r="AE900" s="21">
        <f>SUM(MasterTable[[#This Row],[ILS]:[PAR]])</f>
        <v>0</v>
      </c>
      <c r="AL900" s="11"/>
      <c r="AR900" s="140" t="str">
        <f>_xlfn.XLOOKUP(MasterTable[[#This Row],[Aircraft ID]],Aircraft!A:A,Aircraft!H:H)</f>
        <v>Airplane Single Engine Land</v>
      </c>
      <c r="AS900" s="8" t="b">
        <f>OR((SUM(MasterTable[[#This Row],[ILS]:[PAR]]) = MasterTable[[#This Row],[APPR]]))</f>
        <v>1</v>
      </c>
      <c r="AT900" s="8" t="b">
        <f>NOT(ISBLANK(MasterTable[[#This Row],[Total
Time]]))</f>
        <v>1</v>
      </c>
    </row>
    <row r="901" spans="4:46" ht="28.8" x14ac:dyDescent="0.3">
      <c r="D901" s="22">
        <v>43127</v>
      </c>
      <c r="E901" s="8" t="s">
        <v>174</v>
      </c>
      <c r="F901" s="8" t="s">
        <v>204</v>
      </c>
      <c r="G901" s="8" t="s">
        <v>304</v>
      </c>
      <c r="I901" s="10">
        <v>1.9</v>
      </c>
      <c r="J901" s="10">
        <v>1.9</v>
      </c>
      <c r="L901" s="10">
        <v>0</v>
      </c>
      <c r="M901" s="13">
        <v>0</v>
      </c>
      <c r="N901" s="13"/>
      <c r="O901" s="10">
        <v>0</v>
      </c>
      <c r="P901" s="10">
        <v>0</v>
      </c>
      <c r="Q901" s="14">
        <v>0</v>
      </c>
      <c r="R901" s="14">
        <v>0</v>
      </c>
      <c r="S901" s="10">
        <v>0</v>
      </c>
      <c r="T901" s="10">
        <v>1.9</v>
      </c>
      <c r="U901" s="14">
        <v>0</v>
      </c>
      <c r="V901" s="10"/>
      <c r="W901" s="11">
        <v>2</v>
      </c>
      <c r="X901" s="11">
        <v>2</v>
      </c>
      <c r="Y901" s="11">
        <v>0</v>
      </c>
      <c r="Z901" s="11">
        <v>0</v>
      </c>
      <c r="AA901" s="11">
        <f>MasterTable[[#This Row],[Landings
Night]]+MasterTable[[#This Row],[Landings
Day]]</f>
        <v>2</v>
      </c>
      <c r="AB901" s="10">
        <v>0</v>
      </c>
      <c r="AC901" s="10">
        <v>0</v>
      </c>
      <c r="AD901" s="11">
        <v>0</v>
      </c>
      <c r="AE901" s="21">
        <f>SUM(MasterTable[[#This Row],[ILS]:[PAR]])</f>
        <v>0</v>
      </c>
      <c r="AL901" s="11"/>
      <c r="AR901" s="140" t="str">
        <f>_xlfn.XLOOKUP(MasterTable[[#This Row],[Aircraft ID]],Aircraft!A:A,Aircraft!H:H)</f>
        <v>Airplane Single Engine Land</v>
      </c>
      <c r="AS901" s="8" t="b">
        <f>OR((SUM(MasterTable[[#This Row],[ILS]:[PAR]]) = MasterTable[[#This Row],[APPR]]))</f>
        <v>1</v>
      </c>
      <c r="AT901" s="8" t="b">
        <f>NOT(ISBLANK(MasterTable[[#This Row],[Total
Time]]))</f>
        <v>1</v>
      </c>
    </row>
    <row r="902" spans="4:46" ht="28.8" x14ac:dyDescent="0.3">
      <c r="D902" s="22">
        <v>43121</v>
      </c>
      <c r="E902" s="8" t="s">
        <v>174</v>
      </c>
      <c r="F902" s="8" t="s">
        <v>204</v>
      </c>
      <c r="G902" s="8" t="s">
        <v>233</v>
      </c>
      <c r="H902" s="8" t="s">
        <v>307</v>
      </c>
      <c r="I902" s="10">
        <v>2.4</v>
      </c>
      <c r="J902" s="10">
        <v>2.4</v>
      </c>
      <c r="L902" s="10">
        <v>0</v>
      </c>
      <c r="M902" s="13">
        <v>0</v>
      </c>
      <c r="N902" s="13"/>
      <c r="O902" s="10">
        <v>0</v>
      </c>
      <c r="P902" s="10">
        <v>0</v>
      </c>
      <c r="Q902" s="14">
        <v>0</v>
      </c>
      <c r="R902" s="14">
        <v>0</v>
      </c>
      <c r="S902" s="10">
        <v>0</v>
      </c>
      <c r="T902" s="10">
        <v>2.4</v>
      </c>
      <c r="U902" s="14">
        <v>0</v>
      </c>
      <c r="V902" s="10"/>
      <c r="W902" s="11">
        <v>2</v>
      </c>
      <c r="X902" s="11">
        <v>2</v>
      </c>
      <c r="Y902" s="11">
        <v>0</v>
      </c>
      <c r="Z902" s="11">
        <v>0</v>
      </c>
      <c r="AA902" s="11">
        <f>MasterTable[[#This Row],[Landings
Night]]+MasterTable[[#This Row],[Landings
Day]]</f>
        <v>2</v>
      </c>
      <c r="AB902" s="10">
        <v>0</v>
      </c>
      <c r="AC902" s="10">
        <v>0</v>
      </c>
      <c r="AD902" s="11">
        <v>0</v>
      </c>
      <c r="AE902" s="21">
        <f>SUM(MasterTable[[#This Row],[ILS]:[PAR]])</f>
        <v>0</v>
      </c>
      <c r="AL902" s="11"/>
      <c r="AR902" s="140" t="str">
        <f>_xlfn.XLOOKUP(MasterTable[[#This Row],[Aircraft ID]],Aircraft!A:A,Aircraft!H:H)</f>
        <v>Airplane Single Engine Land</v>
      </c>
      <c r="AS902" s="8" t="b">
        <f>OR((SUM(MasterTable[[#This Row],[ILS]:[PAR]]) = MasterTable[[#This Row],[APPR]]))</f>
        <v>1</v>
      </c>
      <c r="AT902" s="8" t="b">
        <f>NOT(ISBLANK(MasterTable[[#This Row],[Total
Time]]))</f>
        <v>1</v>
      </c>
    </row>
    <row r="903" spans="4:46" ht="28.8" x14ac:dyDescent="0.3">
      <c r="D903" s="22">
        <v>43120</v>
      </c>
      <c r="E903" s="8" t="s">
        <v>174</v>
      </c>
      <c r="F903" s="8" t="s">
        <v>204</v>
      </c>
      <c r="G903" s="8" t="s">
        <v>304</v>
      </c>
      <c r="I903" s="10">
        <v>1.5</v>
      </c>
      <c r="J903" s="10">
        <v>1.5</v>
      </c>
      <c r="L903" s="10">
        <v>0</v>
      </c>
      <c r="M903" s="13">
        <v>0</v>
      </c>
      <c r="N903" s="13"/>
      <c r="O903" s="10">
        <v>0</v>
      </c>
      <c r="P903" s="10">
        <v>0</v>
      </c>
      <c r="Q903" s="14">
        <v>0</v>
      </c>
      <c r="R903" s="14">
        <v>0</v>
      </c>
      <c r="S903" s="10">
        <v>0.8</v>
      </c>
      <c r="T903" s="10">
        <v>1.5</v>
      </c>
      <c r="U903" s="14">
        <v>0</v>
      </c>
      <c r="V903" s="10"/>
      <c r="W903" s="11">
        <v>1</v>
      </c>
      <c r="X903" s="11">
        <v>1</v>
      </c>
      <c r="Y903" s="11">
        <v>1</v>
      </c>
      <c r="Z903" s="11">
        <v>1</v>
      </c>
      <c r="AA903" s="11">
        <f>MasterTable[[#This Row],[Landings
Night]]+MasterTable[[#This Row],[Landings
Day]]</f>
        <v>2</v>
      </c>
      <c r="AB903" s="10">
        <v>0</v>
      </c>
      <c r="AC903" s="10">
        <v>0</v>
      </c>
      <c r="AD903" s="11">
        <v>0</v>
      </c>
      <c r="AE903" s="21">
        <f>SUM(MasterTable[[#This Row],[ILS]:[PAR]])</f>
        <v>0</v>
      </c>
      <c r="AL903" s="11"/>
      <c r="AR903" s="140" t="str">
        <f>_xlfn.XLOOKUP(MasterTable[[#This Row],[Aircraft ID]],Aircraft!A:A,Aircraft!H:H)</f>
        <v>Airplane Single Engine Land</v>
      </c>
      <c r="AS903" s="8" t="b">
        <f>OR((SUM(MasterTable[[#This Row],[ILS]:[PAR]]) = MasterTable[[#This Row],[APPR]]))</f>
        <v>1</v>
      </c>
      <c r="AT903" s="8" t="b">
        <f>NOT(ISBLANK(MasterTable[[#This Row],[Total
Time]]))</f>
        <v>1</v>
      </c>
    </row>
    <row r="904" spans="4:46" ht="28.8" x14ac:dyDescent="0.3">
      <c r="D904" s="22">
        <v>43116</v>
      </c>
      <c r="E904" s="8" t="s">
        <v>174</v>
      </c>
      <c r="F904" s="8" t="s">
        <v>274</v>
      </c>
      <c r="G904" s="8" t="s">
        <v>204</v>
      </c>
      <c r="H904" s="8" t="s">
        <v>308</v>
      </c>
      <c r="I904" s="10">
        <v>2.1</v>
      </c>
      <c r="J904" s="10">
        <v>2.1</v>
      </c>
      <c r="L904" s="10">
        <v>0</v>
      </c>
      <c r="M904" s="13">
        <v>0</v>
      </c>
      <c r="N904" s="13"/>
      <c r="O904" s="10">
        <v>0</v>
      </c>
      <c r="P904" s="10">
        <v>0</v>
      </c>
      <c r="Q904" s="14">
        <v>0</v>
      </c>
      <c r="R904" s="14">
        <v>0</v>
      </c>
      <c r="S904" s="10">
        <v>0.8</v>
      </c>
      <c r="T904" s="10">
        <v>2.1</v>
      </c>
      <c r="U904" s="14">
        <v>0</v>
      </c>
      <c r="V904" s="10"/>
      <c r="W904" s="11">
        <v>2</v>
      </c>
      <c r="X904" s="11">
        <v>1</v>
      </c>
      <c r="Y904" s="11">
        <v>0</v>
      </c>
      <c r="Z904" s="11">
        <v>1</v>
      </c>
      <c r="AA904" s="11">
        <f>MasterTable[[#This Row],[Landings
Night]]+MasterTable[[#This Row],[Landings
Day]]</f>
        <v>2</v>
      </c>
      <c r="AB904" s="10">
        <v>0</v>
      </c>
      <c r="AC904" s="10">
        <v>0</v>
      </c>
      <c r="AD904" s="11">
        <v>0</v>
      </c>
      <c r="AE904" s="21">
        <f>SUM(MasterTable[[#This Row],[ILS]:[PAR]])</f>
        <v>0</v>
      </c>
      <c r="AL904" s="11"/>
      <c r="AR904" s="140" t="str">
        <f>_xlfn.XLOOKUP(MasterTable[[#This Row],[Aircraft ID]],Aircraft!A:A,Aircraft!H:H)</f>
        <v>Airplane Single Engine Land</v>
      </c>
      <c r="AS904" s="8" t="b">
        <f>OR((SUM(MasterTable[[#This Row],[ILS]:[PAR]]) = MasterTable[[#This Row],[APPR]]))</f>
        <v>1</v>
      </c>
      <c r="AT904" s="8" t="b">
        <f>NOT(ISBLANK(MasterTable[[#This Row],[Total
Time]]))</f>
        <v>1</v>
      </c>
    </row>
    <row r="905" spans="4:46" ht="28.8" x14ac:dyDescent="0.3">
      <c r="D905" s="22">
        <v>43116</v>
      </c>
      <c r="E905" s="8" t="s">
        <v>174</v>
      </c>
      <c r="F905" s="8" t="s">
        <v>204</v>
      </c>
      <c r="G905" s="8" t="s">
        <v>274</v>
      </c>
      <c r="H905" s="8" t="s">
        <v>309</v>
      </c>
      <c r="I905" s="10">
        <v>1.9</v>
      </c>
      <c r="J905" s="10">
        <v>1.9</v>
      </c>
      <c r="L905" s="10">
        <v>0</v>
      </c>
      <c r="M905" s="13">
        <v>0</v>
      </c>
      <c r="N905" s="13"/>
      <c r="O905" s="10">
        <v>0</v>
      </c>
      <c r="P905" s="10">
        <v>0</v>
      </c>
      <c r="Q905" s="14">
        <v>0</v>
      </c>
      <c r="R905" s="14">
        <v>0</v>
      </c>
      <c r="S905" s="10">
        <v>0</v>
      </c>
      <c r="T905" s="10">
        <v>1.9</v>
      </c>
      <c r="U905" s="14">
        <v>0</v>
      </c>
      <c r="V905" s="10"/>
      <c r="W905" s="11">
        <v>2</v>
      </c>
      <c r="X905" s="11">
        <v>2</v>
      </c>
      <c r="Y905" s="11">
        <v>0</v>
      </c>
      <c r="Z905" s="11">
        <v>0</v>
      </c>
      <c r="AA905" s="11">
        <f>MasterTable[[#This Row],[Landings
Night]]+MasterTable[[#This Row],[Landings
Day]]</f>
        <v>2</v>
      </c>
      <c r="AB905" s="10">
        <v>0</v>
      </c>
      <c r="AC905" s="10">
        <v>0</v>
      </c>
      <c r="AD905" s="11">
        <v>0</v>
      </c>
      <c r="AE905" s="21">
        <f>SUM(MasterTable[[#This Row],[ILS]:[PAR]])</f>
        <v>0</v>
      </c>
      <c r="AL905" s="11"/>
      <c r="AR905" s="140" t="str">
        <f>_xlfn.XLOOKUP(MasterTable[[#This Row],[Aircraft ID]],Aircraft!A:A,Aircraft!H:H)</f>
        <v>Airplane Single Engine Land</v>
      </c>
      <c r="AS905" s="8" t="b">
        <f>OR((SUM(MasterTable[[#This Row],[ILS]:[PAR]]) = MasterTable[[#This Row],[APPR]]))</f>
        <v>1</v>
      </c>
      <c r="AT905" s="8" t="b">
        <f>NOT(ISBLANK(MasterTable[[#This Row],[Total
Time]]))</f>
        <v>1</v>
      </c>
    </row>
    <row r="906" spans="4:46" ht="28.8" x14ac:dyDescent="0.3">
      <c r="D906" s="22">
        <v>43115</v>
      </c>
      <c r="E906" s="8" t="s">
        <v>174</v>
      </c>
      <c r="F906" s="8" t="s">
        <v>204</v>
      </c>
      <c r="G906" s="8" t="s">
        <v>207</v>
      </c>
      <c r="I906" s="10">
        <v>3.7</v>
      </c>
      <c r="J906" s="10">
        <v>3.7</v>
      </c>
      <c r="L906" s="10">
        <v>0</v>
      </c>
      <c r="M906" s="13">
        <v>0</v>
      </c>
      <c r="N906" s="13"/>
      <c r="O906" s="10">
        <v>0</v>
      </c>
      <c r="P906" s="10">
        <v>0</v>
      </c>
      <c r="Q906" s="14">
        <v>0</v>
      </c>
      <c r="R906" s="14">
        <v>0</v>
      </c>
      <c r="S906" s="10">
        <v>0</v>
      </c>
      <c r="T906" s="10">
        <v>3.7</v>
      </c>
      <c r="U906" s="14">
        <v>0</v>
      </c>
      <c r="V906" s="10"/>
      <c r="W906" s="11">
        <v>2</v>
      </c>
      <c r="X906" s="11">
        <v>2</v>
      </c>
      <c r="Y906" s="11">
        <v>0</v>
      </c>
      <c r="Z906" s="11">
        <v>0</v>
      </c>
      <c r="AA906" s="11">
        <f>MasterTable[[#This Row],[Landings
Night]]+MasterTable[[#This Row],[Landings
Day]]</f>
        <v>2</v>
      </c>
      <c r="AB906" s="10">
        <v>0</v>
      </c>
      <c r="AC906" s="10">
        <v>0</v>
      </c>
      <c r="AD906" s="11">
        <v>0</v>
      </c>
      <c r="AE906" s="21">
        <f>SUM(MasterTable[[#This Row],[ILS]:[PAR]])</f>
        <v>0</v>
      </c>
      <c r="AL906" s="11"/>
      <c r="AR906" s="140" t="str">
        <f>_xlfn.XLOOKUP(MasterTable[[#This Row],[Aircraft ID]],Aircraft!A:A,Aircraft!H:H)</f>
        <v>Airplane Single Engine Land</v>
      </c>
      <c r="AS906" s="8" t="b">
        <f>OR((SUM(MasterTable[[#This Row],[ILS]:[PAR]]) = MasterTable[[#This Row],[APPR]]))</f>
        <v>1</v>
      </c>
      <c r="AT906" s="8" t="b">
        <f>NOT(ISBLANK(MasterTable[[#This Row],[Total
Time]]))</f>
        <v>1</v>
      </c>
    </row>
    <row r="907" spans="4:46" ht="28.8" x14ac:dyDescent="0.3">
      <c r="D907" s="22">
        <v>43114</v>
      </c>
      <c r="E907" s="8" t="s">
        <v>174</v>
      </c>
      <c r="F907" s="8" t="s">
        <v>204</v>
      </c>
      <c r="G907" s="8" t="s">
        <v>257</v>
      </c>
      <c r="H907" s="8" t="s">
        <v>310</v>
      </c>
      <c r="I907" s="10">
        <v>4</v>
      </c>
      <c r="J907" s="10">
        <v>4</v>
      </c>
      <c r="L907" s="10">
        <v>0</v>
      </c>
      <c r="M907" s="13">
        <v>0</v>
      </c>
      <c r="N907" s="13"/>
      <c r="O907" s="10">
        <v>0</v>
      </c>
      <c r="P907" s="10">
        <v>0</v>
      </c>
      <c r="Q907" s="14">
        <v>0</v>
      </c>
      <c r="R907" s="14">
        <v>0</v>
      </c>
      <c r="S907" s="10">
        <v>1</v>
      </c>
      <c r="T907" s="10">
        <v>4</v>
      </c>
      <c r="U907" s="14">
        <v>0</v>
      </c>
      <c r="V907" s="10"/>
      <c r="W907" s="11">
        <v>2</v>
      </c>
      <c r="X907" s="11">
        <v>1</v>
      </c>
      <c r="Y907" s="11">
        <v>1</v>
      </c>
      <c r="Z907" s="11">
        <v>2</v>
      </c>
      <c r="AA907" s="11">
        <f>MasterTable[[#This Row],[Landings
Night]]+MasterTable[[#This Row],[Landings
Day]]</f>
        <v>3</v>
      </c>
      <c r="AB907" s="10">
        <v>0</v>
      </c>
      <c r="AC907" s="10">
        <v>0</v>
      </c>
      <c r="AD907" s="11">
        <v>0</v>
      </c>
      <c r="AE907" s="21">
        <f>SUM(MasterTable[[#This Row],[ILS]:[PAR]])</f>
        <v>0</v>
      </c>
      <c r="AL907" s="11"/>
      <c r="AR907" s="140" t="str">
        <f>_xlfn.XLOOKUP(MasterTable[[#This Row],[Aircraft ID]],Aircraft!A:A,Aircraft!H:H)</f>
        <v>Airplane Single Engine Land</v>
      </c>
      <c r="AS907" s="8" t="b">
        <f>OR((SUM(MasterTable[[#This Row],[ILS]:[PAR]]) = MasterTable[[#This Row],[APPR]]))</f>
        <v>1</v>
      </c>
      <c r="AT907" s="8" t="b">
        <f>NOT(ISBLANK(MasterTable[[#This Row],[Total
Time]]))</f>
        <v>1</v>
      </c>
    </row>
    <row r="908" spans="4:46" ht="28.8" x14ac:dyDescent="0.3">
      <c r="D908" s="22">
        <v>43113</v>
      </c>
      <c r="E908" s="8" t="s">
        <v>174</v>
      </c>
      <c r="F908" s="8" t="s">
        <v>204</v>
      </c>
      <c r="G908" s="8" t="s">
        <v>204</v>
      </c>
      <c r="I908" s="10">
        <v>1.4</v>
      </c>
      <c r="J908" s="10">
        <v>1.4</v>
      </c>
      <c r="L908" s="10">
        <v>0</v>
      </c>
      <c r="M908" s="13">
        <v>0</v>
      </c>
      <c r="N908" s="13"/>
      <c r="O908" s="10">
        <v>0</v>
      </c>
      <c r="P908" s="10">
        <v>0</v>
      </c>
      <c r="Q908" s="14">
        <v>0</v>
      </c>
      <c r="R908" s="14">
        <v>0</v>
      </c>
      <c r="S908" s="10">
        <v>0.2</v>
      </c>
      <c r="T908" s="10">
        <v>0</v>
      </c>
      <c r="U908" s="14">
        <v>0</v>
      </c>
      <c r="V908" s="10"/>
      <c r="W908" s="11">
        <v>1</v>
      </c>
      <c r="X908" s="11">
        <v>0</v>
      </c>
      <c r="Y908" s="11">
        <v>0</v>
      </c>
      <c r="Z908" s="11">
        <v>1</v>
      </c>
      <c r="AA908" s="11">
        <f>MasterTable[[#This Row],[Landings
Night]]+MasterTable[[#This Row],[Landings
Day]]</f>
        <v>1</v>
      </c>
      <c r="AB908" s="10">
        <v>0</v>
      </c>
      <c r="AC908" s="10">
        <v>0</v>
      </c>
      <c r="AD908" s="11">
        <v>0</v>
      </c>
      <c r="AE908" s="21">
        <f>SUM(MasterTable[[#This Row],[ILS]:[PAR]])</f>
        <v>0</v>
      </c>
      <c r="AL908" s="11"/>
      <c r="AR908" s="140" t="str">
        <f>_xlfn.XLOOKUP(MasterTable[[#This Row],[Aircraft ID]],Aircraft!A:A,Aircraft!H:H)</f>
        <v>Airplane Single Engine Land</v>
      </c>
      <c r="AS908" s="8" t="b">
        <f>OR((SUM(MasterTable[[#This Row],[ILS]:[PAR]]) = MasterTable[[#This Row],[APPR]]))</f>
        <v>1</v>
      </c>
      <c r="AT908" s="8" t="b">
        <f>NOT(ISBLANK(MasterTable[[#This Row],[Total
Time]]))</f>
        <v>1</v>
      </c>
    </row>
    <row r="909" spans="4:46" ht="28.8" x14ac:dyDescent="0.3">
      <c r="D909" s="22">
        <v>43107</v>
      </c>
      <c r="E909" s="8" t="s">
        <v>174</v>
      </c>
      <c r="F909" s="8" t="s">
        <v>202</v>
      </c>
      <c r="G909" s="8" t="s">
        <v>204</v>
      </c>
      <c r="I909" s="10">
        <v>1.4</v>
      </c>
      <c r="J909" s="10">
        <v>1.4</v>
      </c>
      <c r="L909" s="10">
        <v>0</v>
      </c>
      <c r="M909" s="13">
        <v>0</v>
      </c>
      <c r="N909" s="13"/>
      <c r="O909" s="10">
        <v>0</v>
      </c>
      <c r="P909" s="10">
        <v>0</v>
      </c>
      <c r="Q909" s="14">
        <v>0</v>
      </c>
      <c r="R909" s="14">
        <v>0</v>
      </c>
      <c r="S909" s="10">
        <v>0</v>
      </c>
      <c r="T909" s="10">
        <v>1.4</v>
      </c>
      <c r="U909" s="14">
        <v>0</v>
      </c>
      <c r="V909" s="10"/>
      <c r="W909" s="11">
        <v>1</v>
      </c>
      <c r="X909" s="11">
        <v>1</v>
      </c>
      <c r="Y909" s="11">
        <v>0</v>
      </c>
      <c r="Z909" s="11">
        <v>0</v>
      </c>
      <c r="AA909" s="11">
        <f>MasterTable[[#This Row],[Landings
Night]]+MasterTable[[#This Row],[Landings
Day]]</f>
        <v>1</v>
      </c>
      <c r="AB909" s="10">
        <v>0</v>
      </c>
      <c r="AC909" s="10">
        <v>0</v>
      </c>
      <c r="AD909" s="11">
        <v>0</v>
      </c>
      <c r="AE909" s="21">
        <f>SUM(MasterTable[[#This Row],[ILS]:[PAR]])</f>
        <v>0</v>
      </c>
      <c r="AL909" s="11"/>
      <c r="AR909" s="140" t="str">
        <f>_xlfn.XLOOKUP(MasterTable[[#This Row],[Aircraft ID]],Aircraft!A:A,Aircraft!H:H)</f>
        <v>Airplane Single Engine Land</v>
      </c>
      <c r="AS909" s="8" t="b">
        <f>OR((SUM(MasterTable[[#This Row],[ILS]:[PAR]]) = MasterTable[[#This Row],[APPR]]))</f>
        <v>1</v>
      </c>
      <c r="AT909" s="8" t="b">
        <f>NOT(ISBLANK(MasterTable[[#This Row],[Total
Time]]))</f>
        <v>1</v>
      </c>
    </row>
    <row r="910" spans="4:46" ht="28.8" x14ac:dyDescent="0.3">
      <c r="D910" s="22">
        <v>43100</v>
      </c>
      <c r="E910" s="8" t="s">
        <v>174</v>
      </c>
      <c r="F910" s="8" t="s">
        <v>202</v>
      </c>
      <c r="G910" s="8" t="s">
        <v>220</v>
      </c>
      <c r="I910" s="10">
        <v>1.5</v>
      </c>
      <c r="J910" s="10">
        <v>1.5</v>
      </c>
      <c r="L910" s="10">
        <v>0</v>
      </c>
      <c r="M910" s="13">
        <v>0</v>
      </c>
      <c r="N910" s="13"/>
      <c r="O910" s="10">
        <v>0</v>
      </c>
      <c r="P910" s="10">
        <v>0</v>
      </c>
      <c r="Q910" s="14">
        <v>0</v>
      </c>
      <c r="R910" s="14">
        <v>0</v>
      </c>
      <c r="S910" s="10">
        <v>0</v>
      </c>
      <c r="T910" s="10">
        <v>0</v>
      </c>
      <c r="U910" s="14">
        <v>0</v>
      </c>
      <c r="V910" s="10"/>
      <c r="W910" s="11">
        <v>1</v>
      </c>
      <c r="X910" s="11">
        <v>1</v>
      </c>
      <c r="Y910" s="11">
        <v>0</v>
      </c>
      <c r="Z910" s="11">
        <v>0</v>
      </c>
      <c r="AA910" s="11">
        <f>MasterTable[[#This Row],[Landings
Night]]+MasterTable[[#This Row],[Landings
Day]]</f>
        <v>1</v>
      </c>
      <c r="AB910" s="10">
        <v>0</v>
      </c>
      <c r="AC910" s="10">
        <v>0</v>
      </c>
      <c r="AD910" s="11">
        <v>0</v>
      </c>
      <c r="AE910" s="21">
        <f>SUM(MasterTable[[#This Row],[ILS]:[PAR]])</f>
        <v>0</v>
      </c>
      <c r="AL910" s="11"/>
      <c r="AR910" s="140" t="str">
        <f>_xlfn.XLOOKUP(MasterTable[[#This Row],[Aircraft ID]],Aircraft!A:A,Aircraft!H:H)</f>
        <v>Airplane Single Engine Land</v>
      </c>
      <c r="AS910" s="8" t="b">
        <f>OR((SUM(MasterTable[[#This Row],[ILS]:[PAR]]) = MasterTable[[#This Row],[APPR]]))</f>
        <v>1</v>
      </c>
      <c r="AT910" s="8" t="b">
        <f>NOT(ISBLANK(MasterTable[[#This Row],[Total
Time]]))</f>
        <v>1</v>
      </c>
    </row>
    <row r="911" spans="4:46" ht="28.8" x14ac:dyDescent="0.3">
      <c r="D911" s="22">
        <v>43100</v>
      </c>
      <c r="E911" s="8" t="s">
        <v>68</v>
      </c>
      <c r="F911" s="8" t="s">
        <v>202</v>
      </c>
      <c r="G911" s="8" t="s">
        <v>220</v>
      </c>
      <c r="I911" s="10">
        <v>0.8</v>
      </c>
      <c r="J911" s="10">
        <v>0.8</v>
      </c>
      <c r="L911" s="10">
        <v>0</v>
      </c>
      <c r="M911" s="13">
        <v>0</v>
      </c>
      <c r="N911" s="13"/>
      <c r="O911" s="10">
        <v>0</v>
      </c>
      <c r="P911" s="10">
        <v>0</v>
      </c>
      <c r="Q911" s="14">
        <v>0</v>
      </c>
      <c r="R911" s="14">
        <v>0</v>
      </c>
      <c r="S911" s="10">
        <v>0</v>
      </c>
      <c r="T911" s="10">
        <v>0</v>
      </c>
      <c r="U911" s="14">
        <v>0</v>
      </c>
      <c r="V911" s="10"/>
      <c r="W911" s="11">
        <v>1</v>
      </c>
      <c r="X911" s="11">
        <v>1</v>
      </c>
      <c r="Y911" s="11">
        <v>0</v>
      </c>
      <c r="Z911" s="11">
        <v>0</v>
      </c>
      <c r="AA911" s="11">
        <f>MasterTable[[#This Row],[Landings
Night]]+MasterTable[[#This Row],[Landings
Day]]</f>
        <v>1</v>
      </c>
      <c r="AB911" s="10">
        <v>0</v>
      </c>
      <c r="AC911" s="10">
        <v>0</v>
      </c>
      <c r="AD911" s="11">
        <v>0</v>
      </c>
      <c r="AE911" s="21">
        <f>SUM(MasterTable[[#This Row],[ILS]:[PAR]])</f>
        <v>0</v>
      </c>
      <c r="AL911" s="11"/>
      <c r="AR911" s="140" t="str">
        <f>_xlfn.XLOOKUP(MasterTable[[#This Row],[Aircraft ID]],Aircraft!A:A,Aircraft!H:H)</f>
        <v>Airplane Multi Engine Land</v>
      </c>
      <c r="AS911" s="8" t="b">
        <f>OR((SUM(MasterTable[[#This Row],[ILS]:[PAR]]) = MasterTable[[#This Row],[APPR]]))</f>
        <v>1</v>
      </c>
      <c r="AT911" s="8" t="b">
        <f>NOT(ISBLANK(MasterTable[[#This Row],[Total
Time]]))</f>
        <v>1</v>
      </c>
    </row>
    <row r="912" spans="4:46" ht="28.8" x14ac:dyDescent="0.3">
      <c r="D912" s="22">
        <v>43100</v>
      </c>
      <c r="E912" s="8" t="s">
        <v>68</v>
      </c>
      <c r="F912" s="8" t="s">
        <v>202</v>
      </c>
      <c r="G912" s="8" t="s">
        <v>202</v>
      </c>
      <c r="I912" s="10">
        <v>1.5</v>
      </c>
      <c r="J912" s="10">
        <v>1.5</v>
      </c>
      <c r="L912" s="10">
        <v>0</v>
      </c>
      <c r="M912" s="13">
        <v>0</v>
      </c>
      <c r="N912" s="13"/>
      <c r="O912" s="10">
        <v>0</v>
      </c>
      <c r="P912" s="10">
        <v>0</v>
      </c>
      <c r="Q912" s="14">
        <v>0</v>
      </c>
      <c r="R912" s="14">
        <v>0</v>
      </c>
      <c r="S912" s="10">
        <v>0</v>
      </c>
      <c r="T912" s="10">
        <v>0</v>
      </c>
      <c r="U912" s="14">
        <v>0</v>
      </c>
      <c r="V912" s="10"/>
      <c r="W912" s="11">
        <v>3</v>
      </c>
      <c r="X912" s="11">
        <v>3</v>
      </c>
      <c r="Y912" s="11">
        <v>0</v>
      </c>
      <c r="Z912" s="11">
        <v>0</v>
      </c>
      <c r="AA912" s="11">
        <f>MasterTable[[#This Row],[Landings
Night]]+MasterTable[[#This Row],[Landings
Day]]</f>
        <v>3</v>
      </c>
      <c r="AB912" s="10">
        <v>0</v>
      </c>
      <c r="AC912" s="10">
        <v>0</v>
      </c>
      <c r="AD912" s="11">
        <v>0</v>
      </c>
      <c r="AE912" s="21">
        <f>SUM(MasterTable[[#This Row],[ILS]:[PAR]])</f>
        <v>0</v>
      </c>
      <c r="AL912" s="11"/>
      <c r="AP912" s="27" t="b">
        <v>1</v>
      </c>
      <c r="AR912" s="140" t="str">
        <f>_xlfn.XLOOKUP(MasterTable[[#This Row],[Aircraft ID]],Aircraft!A:A,Aircraft!H:H)</f>
        <v>Airplane Multi Engine Land</v>
      </c>
      <c r="AS912" s="8" t="b">
        <f>OR((SUM(MasterTable[[#This Row],[ILS]:[PAR]]) = MasterTable[[#This Row],[APPR]]))</f>
        <v>1</v>
      </c>
      <c r="AT912" s="8" t="b">
        <f>NOT(ISBLANK(MasterTable[[#This Row],[Total
Time]]))</f>
        <v>1</v>
      </c>
    </row>
    <row r="913" spans="4:46" ht="28.8" x14ac:dyDescent="0.3">
      <c r="D913" s="22">
        <v>43099</v>
      </c>
      <c r="E913" s="8" t="s">
        <v>68</v>
      </c>
      <c r="F913" s="8" t="s">
        <v>220</v>
      </c>
      <c r="G913" s="8" t="s">
        <v>202</v>
      </c>
      <c r="I913" s="10">
        <v>0.8</v>
      </c>
      <c r="J913" s="10">
        <v>0.8</v>
      </c>
      <c r="L913" s="10">
        <v>0</v>
      </c>
      <c r="M913" s="13">
        <v>0</v>
      </c>
      <c r="N913" s="13"/>
      <c r="O913" s="10">
        <v>0</v>
      </c>
      <c r="P913" s="10">
        <v>0</v>
      </c>
      <c r="Q913" s="14">
        <v>0</v>
      </c>
      <c r="R913" s="14">
        <v>0</v>
      </c>
      <c r="S913" s="10">
        <v>0</v>
      </c>
      <c r="T913" s="10">
        <v>0</v>
      </c>
      <c r="U913" s="14">
        <v>0</v>
      </c>
      <c r="V913" s="10"/>
      <c r="W913" s="11">
        <v>1</v>
      </c>
      <c r="X913" s="11">
        <v>1</v>
      </c>
      <c r="Y913" s="11">
        <v>0</v>
      </c>
      <c r="Z913" s="11">
        <v>0</v>
      </c>
      <c r="AA913" s="11">
        <f>MasterTable[[#This Row],[Landings
Night]]+MasterTable[[#This Row],[Landings
Day]]</f>
        <v>1</v>
      </c>
      <c r="AB913" s="10">
        <v>0</v>
      </c>
      <c r="AC913" s="10">
        <v>0</v>
      </c>
      <c r="AD913" s="11">
        <v>0</v>
      </c>
      <c r="AE913" s="21">
        <f>SUM(MasterTable[[#This Row],[ILS]:[PAR]])</f>
        <v>0</v>
      </c>
      <c r="AL913" s="11"/>
      <c r="AR913" s="140" t="str">
        <f>_xlfn.XLOOKUP(MasterTable[[#This Row],[Aircraft ID]],Aircraft!A:A,Aircraft!H:H)</f>
        <v>Airplane Multi Engine Land</v>
      </c>
      <c r="AS913" s="8" t="b">
        <f>OR((SUM(MasterTable[[#This Row],[ILS]:[PAR]]) = MasterTable[[#This Row],[APPR]]))</f>
        <v>1</v>
      </c>
      <c r="AT913" s="8" t="b">
        <f>NOT(ISBLANK(MasterTable[[#This Row],[Total
Time]]))</f>
        <v>1</v>
      </c>
    </row>
    <row r="914" spans="4:46" ht="28.8" x14ac:dyDescent="0.3">
      <c r="D914" s="22">
        <v>43099</v>
      </c>
      <c r="E914" s="8" t="s">
        <v>174</v>
      </c>
      <c r="F914" s="8" t="s">
        <v>202</v>
      </c>
      <c r="G914" s="8" t="s">
        <v>220</v>
      </c>
      <c r="I914" s="10">
        <v>0.7</v>
      </c>
      <c r="J914" s="10">
        <v>0.7</v>
      </c>
      <c r="L914" s="10">
        <v>0</v>
      </c>
      <c r="M914" s="13">
        <v>0</v>
      </c>
      <c r="N914" s="13"/>
      <c r="O914" s="10">
        <v>0</v>
      </c>
      <c r="P914" s="10">
        <v>0</v>
      </c>
      <c r="Q914" s="14">
        <v>0</v>
      </c>
      <c r="R914" s="14">
        <v>0</v>
      </c>
      <c r="S914" s="10">
        <v>0</v>
      </c>
      <c r="T914" s="10">
        <v>0</v>
      </c>
      <c r="U914" s="14">
        <v>0</v>
      </c>
      <c r="V914" s="10"/>
      <c r="W914" s="11">
        <v>1</v>
      </c>
      <c r="X914" s="11">
        <v>1</v>
      </c>
      <c r="Y914" s="11">
        <v>0</v>
      </c>
      <c r="Z914" s="11">
        <v>0</v>
      </c>
      <c r="AA914" s="11">
        <f>MasterTable[[#This Row],[Landings
Night]]+MasterTable[[#This Row],[Landings
Day]]</f>
        <v>1</v>
      </c>
      <c r="AB914" s="10">
        <v>0</v>
      </c>
      <c r="AC914" s="10">
        <v>0</v>
      </c>
      <c r="AD914" s="11">
        <v>0</v>
      </c>
      <c r="AE914" s="21">
        <f>SUM(MasterTable[[#This Row],[ILS]:[PAR]])</f>
        <v>0</v>
      </c>
      <c r="AL914" s="11"/>
      <c r="AR914" s="140" t="str">
        <f>_xlfn.XLOOKUP(MasterTable[[#This Row],[Aircraft ID]],Aircraft!A:A,Aircraft!H:H)</f>
        <v>Airplane Single Engine Land</v>
      </c>
      <c r="AS914" s="8" t="b">
        <f>OR((SUM(MasterTable[[#This Row],[ILS]:[PAR]]) = MasterTable[[#This Row],[APPR]]))</f>
        <v>1</v>
      </c>
      <c r="AT914" s="8" t="b">
        <f>NOT(ISBLANK(MasterTable[[#This Row],[Total
Time]]))</f>
        <v>1</v>
      </c>
    </row>
    <row r="915" spans="4:46" ht="28.8" x14ac:dyDescent="0.3">
      <c r="D915" s="22">
        <v>43097</v>
      </c>
      <c r="E915" s="8" t="s">
        <v>68</v>
      </c>
      <c r="F915" s="8" t="s">
        <v>220</v>
      </c>
      <c r="G915" s="8" t="s">
        <v>220</v>
      </c>
      <c r="H915" s="8" t="s">
        <v>311</v>
      </c>
      <c r="I915" s="10">
        <v>2.2000000000000002</v>
      </c>
      <c r="J915" s="10">
        <v>2.2000000000000002</v>
      </c>
      <c r="L915" s="10">
        <v>0</v>
      </c>
      <c r="M915" s="13">
        <v>0</v>
      </c>
      <c r="N915" s="13"/>
      <c r="O915" s="10">
        <v>0</v>
      </c>
      <c r="P915" s="10">
        <v>2.2000000000000002</v>
      </c>
      <c r="Q915" s="14">
        <v>0</v>
      </c>
      <c r="R915" s="14">
        <v>0</v>
      </c>
      <c r="S915" s="10">
        <v>0</v>
      </c>
      <c r="T915" s="10">
        <v>0</v>
      </c>
      <c r="U915" s="14">
        <v>0</v>
      </c>
      <c r="V915" s="10"/>
      <c r="W915" s="11">
        <v>5</v>
      </c>
      <c r="X915" s="11">
        <v>5</v>
      </c>
      <c r="Y915" s="11">
        <v>0</v>
      </c>
      <c r="Z915" s="11">
        <v>0</v>
      </c>
      <c r="AA915" s="11">
        <f>MasterTable[[#This Row],[Landings
Night]]+MasterTable[[#This Row],[Landings
Day]]</f>
        <v>5</v>
      </c>
      <c r="AB915" s="10">
        <v>0</v>
      </c>
      <c r="AC915" s="10">
        <v>0.7</v>
      </c>
      <c r="AD915" s="11">
        <v>0</v>
      </c>
      <c r="AE915" s="21">
        <f>SUM(MasterTable[[#This Row],[ILS]:[PAR]])</f>
        <v>2</v>
      </c>
      <c r="AF915" s="11">
        <v>1</v>
      </c>
      <c r="AH915" s="11">
        <v>1</v>
      </c>
      <c r="AL915" s="11">
        <v>1</v>
      </c>
      <c r="AR915" s="140" t="str">
        <f>_xlfn.XLOOKUP(MasterTable[[#This Row],[Aircraft ID]],Aircraft!A:A,Aircraft!H:H)</f>
        <v>Airplane Multi Engine Land</v>
      </c>
      <c r="AS915" s="8" t="b">
        <f>OR((SUM(MasterTable[[#This Row],[ILS]:[PAR]]) = MasterTable[[#This Row],[APPR]]))</f>
        <v>1</v>
      </c>
      <c r="AT915" s="8" t="b">
        <f>NOT(ISBLANK(MasterTable[[#This Row],[Total
Time]]))</f>
        <v>1</v>
      </c>
    </row>
    <row r="916" spans="4:46" ht="28.8" x14ac:dyDescent="0.3">
      <c r="D916" s="22">
        <v>43097</v>
      </c>
      <c r="E916" s="8" t="s">
        <v>174</v>
      </c>
      <c r="F916" s="8" t="s">
        <v>202</v>
      </c>
      <c r="G916" s="8" t="s">
        <v>220</v>
      </c>
      <c r="I916" s="10">
        <v>1.3</v>
      </c>
      <c r="J916" s="10">
        <v>1.3</v>
      </c>
      <c r="L916" s="10">
        <v>0</v>
      </c>
      <c r="M916" s="13">
        <v>0</v>
      </c>
      <c r="N916" s="13"/>
      <c r="O916" s="10">
        <v>0</v>
      </c>
      <c r="P916" s="10">
        <v>0</v>
      </c>
      <c r="Q916" s="14">
        <v>0</v>
      </c>
      <c r="R916" s="14">
        <v>0</v>
      </c>
      <c r="S916" s="10">
        <v>0</v>
      </c>
      <c r="T916" s="10">
        <v>0</v>
      </c>
      <c r="U916" s="14">
        <v>0</v>
      </c>
      <c r="V916" s="10"/>
      <c r="W916" s="11">
        <v>2</v>
      </c>
      <c r="X916" s="11">
        <v>2</v>
      </c>
      <c r="Y916" s="11">
        <v>0</v>
      </c>
      <c r="Z916" s="11">
        <v>0</v>
      </c>
      <c r="AA916" s="11">
        <f>MasterTable[[#This Row],[Landings
Night]]+MasterTable[[#This Row],[Landings
Day]]</f>
        <v>2</v>
      </c>
      <c r="AB916" s="10">
        <v>0</v>
      </c>
      <c r="AC916" s="10">
        <v>0</v>
      </c>
      <c r="AD916" s="11">
        <v>0</v>
      </c>
      <c r="AE916" s="21">
        <f>SUM(MasterTable[[#This Row],[ILS]:[PAR]])</f>
        <v>0</v>
      </c>
      <c r="AL916" s="11"/>
      <c r="AR916" s="140" t="str">
        <f>_xlfn.XLOOKUP(MasterTable[[#This Row],[Aircraft ID]],Aircraft!A:A,Aircraft!H:H)</f>
        <v>Airplane Single Engine Land</v>
      </c>
      <c r="AS916" s="8" t="b">
        <f>OR((SUM(MasterTable[[#This Row],[ILS]:[PAR]]) = MasterTable[[#This Row],[APPR]]))</f>
        <v>1</v>
      </c>
      <c r="AT916" s="8" t="b">
        <f>NOT(ISBLANK(MasterTable[[#This Row],[Total
Time]]))</f>
        <v>1</v>
      </c>
    </row>
    <row r="917" spans="4:46" ht="28.8" x14ac:dyDescent="0.3">
      <c r="D917" s="22">
        <v>43096</v>
      </c>
      <c r="E917" s="8" t="s">
        <v>174</v>
      </c>
      <c r="F917" s="8" t="s">
        <v>202</v>
      </c>
      <c r="G917" s="8" t="s">
        <v>220</v>
      </c>
      <c r="I917" s="10">
        <v>1.5</v>
      </c>
      <c r="J917" s="10">
        <v>1.5</v>
      </c>
      <c r="L917" s="10">
        <v>0</v>
      </c>
      <c r="M917" s="13">
        <v>0</v>
      </c>
      <c r="N917" s="13"/>
      <c r="O917" s="10">
        <v>0</v>
      </c>
      <c r="P917" s="10">
        <v>0</v>
      </c>
      <c r="Q917" s="14">
        <v>0</v>
      </c>
      <c r="R917" s="14">
        <v>0</v>
      </c>
      <c r="S917" s="10">
        <v>0.5</v>
      </c>
      <c r="T917" s="10">
        <v>0</v>
      </c>
      <c r="U917" s="14">
        <v>0</v>
      </c>
      <c r="V917" s="10"/>
      <c r="W917" s="11">
        <v>2</v>
      </c>
      <c r="X917" s="11">
        <v>1</v>
      </c>
      <c r="Y917" s="11">
        <v>0</v>
      </c>
      <c r="Z917" s="11">
        <v>1</v>
      </c>
      <c r="AA917" s="11">
        <f>MasterTable[[#This Row],[Landings
Night]]+MasterTable[[#This Row],[Landings
Day]]</f>
        <v>2</v>
      </c>
      <c r="AB917" s="10">
        <v>0</v>
      </c>
      <c r="AC917" s="10">
        <v>0</v>
      </c>
      <c r="AD917" s="11">
        <v>0</v>
      </c>
      <c r="AE917" s="21">
        <f>SUM(MasterTable[[#This Row],[ILS]:[PAR]])</f>
        <v>0</v>
      </c>
      <c r="AL917" s="11"/>
      <c r="AR917" s="140" t="str">
        <f>_xlfn.XLOOKUP(MasterTable[[#This Row],[Aircraft ID]],Aircraft!A:A,Aircraft!H:H)</f>
        <v>Airplane Single Engine Land</v>
      </c>
      <c r="AS917" s="8" t="b">
        <f>OR((SUM(MasterTable[[#This Row],[ILS]:[PAR]]) = MasterTable[[#This Row],[APPR]]))</f>
        <v>1</v>
      </c>
      <c r="AT917" s="8" t="b">
        <f>NOT(ISBLANK(MasterTable[[#This Row],[Total
Time]]))</f>
        <v>1</v>
      </c>
    </row>
    <row r="918" spans="4:46" ht="28.8" x14ac:dyDescent="0.3">
      <c r="D918" s="22">
        <v>43096</v>
      </c>
      <c r="E918" s="8" t="s">
        <v>68</v>
      </c>
      <c r="F918" s="8" t="s">
        <v>220</v>
      </c>
      <c r="G918" s="8" t="s">
        <v>220</v>
      </c>
      <c r="I918" s="10">
        <v>1.6</v>
      </c>
      <c r="J918" s="10">
        <v>1.6</v>
      </c>
      <c r="L918" s="10">
        <v>0</v>
      </c>
      <c r="M918" s="13">
        <v>0</v>
      </c>
      <c r="N918" s="13"/>
      <c r="O918" s="10">
        <v>0</v>
      </c>
      <c r="P918" s="10">
        <v>1.6</v>
      </c>
      <c r="Q918" s="14">
        <v>0</v>
      </c>
      <c r="R918" s="14">
        <v>0</v>
      </c>
      <c r="S918" s="10">
        <v>0</v>
      </c>
      <c r="T918" s="10">
        <v>0</v>
      </c>
      <c r="U918" s="14">
        <v>0</v>
      </c>
      <c r="V918" s="10"/>
      <c r="W918" s="11">
        <v>2</v>
      </c>
      <c r="X918" s="11">
        <v>2</v>
      </c>
      <c r="Y918" s="11">
        <v>0</v>
      </c>
      <c r="Z918" s="11">
        <v>0</v>
      </c>
      <c r="AA918" s="11">
        <f>MasterTable[[#This Row],[Landings
Night]]+MasterTable[[#This Row],[Landings
Day]]</f>
        <v>2</v>
      </c>
      <c r="AB918" s="10">
        <v>0</v>
      </c>
      <c r="AC918" s="10">
        <v>0</v>
      </c>
      <c r="AD918" s="11">
        <v>0</v>
      </c>
      <c r="AE918" s="21">
        <f>SUM(MasterTable[[#This Row],[ILS]:[PAR]])</f>
        <v>0</v>
      </c>
      <c r="AL918" s="11"/>
      <c r="AR918" s="140" t="str">
        <f>_xlfn.XLOOKUP(MasterTable[[#This Row],[Aircraft ID]],Aircraft!A:A,Aircraft!H:H)</f>
        <v>Airplane Multi Engine Land</v>
      </c>
      <c r="AS918" s="8" t="b">
        <f>OR((SUM(MasterTable[[#This Row],[ILS]:[PAR]]) = MasterTable[[#This Row],[APPR]]))</f>
        <v>1</v>
      </c>
      <c r="AT918" s="8" t="b">
        <f>NOT(ISBLANK(MasterTable[[#This Row],[Total
Time]]))</f>
        <v>1</v>
      </c>
    </row>
    <row r="919" spans="4:46" ht="28.8" x14ac:dyDescent="0.3">
      <c r="D919" s="22">
        <v>43095</v>
      </c>
      <c r="E919" s="8" t="s">
        <v>174</v>
      </c>
      <c r="F919" s="8" t="s">
        <v>202</v>
      </c>
      <c r="G919" s="8" t="s">
        <v>220</v>
      </c>
      <c r="I919" s="10">
        <v>1.3</v>
      </c>
      <c r="J919" s="10">
        <v>1.3</v>
      </c>
      <c r="L919" s="10">
        <v>0</v>
      </c>
      <c r="M919" s="13">
        <v>0</v>
      </c>
      <c r="N919" s="13"/>
      <c r="O919" s="10">
        <v>0</v>
      </c>
      <c r="P919" s="10">
        <v>0</v>
      </c>
      <c r="Q919" s="14">
        <v>0</v>
      </c>
      <c r="R919" s="14">
        <v>0</v>
      </c>
      <c r="S919" s="10">
        <v>0</v>
      </c>
      <c r="T919" s="10">
        <v>0</v>
      </c>
      <c r="U919" s="14">
        <v>0</v>
      </c>
      <c r="V919" s="10"/>
      <c r="W919" s="11">
        <v>2</v>
      </c>
      <c r="X919" s="11">
        <v>1</v>
      </c>
      <c r="Y919" s="11">
        <v>0</v>
      </c>
      <c r="Z919" s="11">
        <v>1</v>
      </c>
      <c r="AA919" s="11">
        <f>MasterTable[[#This Row],[Landings
Night]]+MasterTable[[#This Row],[Landings
Day]]</f>
        <v>2</v>
      </c>
      <c r="AB919" s="10">
        <v>0</v>
      </c>
      <c r="AC919" s="10">
        <v>0</v>
      </c>
      <c r="AD919" s="11">
        <v>0</v>
      </c>
      <c r="AE919" s="21">
        <f>SUM(MasterTable[[#This Row],[ILS]:[PAR]])</f>
        <v>0</v>
      </c>
      <c r="AL919" s="11"/>
      <c r="AR919" s="140" t="str">
        <f>_xlfn.XLOOKUP(MasterTable[[#This Row],[Aircraft ID]],Aircraft!A:A,Aircraft!H:H)</f>
        <v>Airplane Single Engine Land</v>
      </c>
      <c r="AS919" s="8" t="b">
        <f>OR((SUM(MasterTable[[#This Row],[ILS]:[PAR]]) = MasterTable[[#This Row],[APPR]]))</f>
        <v>1</v>
      </c>
      <c r="AT919" s="8" t="b">
        <f>NOT(ISBLANK(MasterTable[[#This Row],[Total
Time]]))</f>
        <v>1</v>
      </c>
    </row>
    <row r="920" spans="4:46" ht="28.8" x14ac:dyDescent="0.3">
      <c r="D920" s="22">
        <v>43095</v>
      </c>
      <c r="E920" s="8" t="s">
        <v>68</v>
      </c>
      <c r="F920" s="8" t="s">
        <v>220</v>
      </c>
      <c r="G920" s="8" t="s">
        <v>220</v>
      </c>
      <c r="H920" s="8" t="s">
        <v>312</v>
      </c>
      <c r="I920" s="10">
        <v>1.8</v>
      </c>
      <c r="J920" s="10">
        <v>1.8</v>
      </c>
      <c r="L920" s="10">
        <v>0</v>
      </c>
      <c r="M920" s="13">
        <v>0</v>
      </c>
      <c r="N920" s="13"/>
      <c r="O920" s="10">
        <v>0</v>
      </c>
      <c r="P920" s="10">
        <v>1.8</v>
      </c>
      <c r="Q920" s="14">
        <v>0</v>
      </c>
      <c r="R920" s="14">
        <v>0</v>
      </c>
      <c r="S920" s="10">
        <v>0</v>
      </c>
      <c r="T920" s="10">
        <v>0</v>
      </c>
      <c r="U920" s="14">
        <v>0</v>
      </c>
      <c r="V920" s="10"/>
      <c r="W920" s="11">
        <v>3</v>
      </c>
      <c r="X920" s="11">
        <v>3</v>
      </c>
      <c r="Y920" s="11">
        <v>0</v>
      </c>
      <c r="Z920" s="11">
        <v>0</v>
      </c>
      <c r="AA920" s="11">
        <f>MasterTable[[#This Row],[Landings
Night]]+MasterTable[[#This Row],[Landings
Day]]</f>
        <v>3</v>
      </c>
      <c r="AB920" s="10">
        <v>0</v>
      </c>
      <c r="AC920" s="10">
        <v>0</v>
      </c>
      <c r="AD920" s="11">
        <v>0</v>
      </c>
      <c r="AE920" s="21">
        <f>SUM(MasterTable[[#This Row],[ILS]:[PAR]])</f>
        <v>0</v>
      </c>
      <c r="AL920" s="11"/>
      <c r="AR920" s="140" t="str">
        <f>_xlfn.XLOOKUP(MasterTable[[#This Row],[Aircraft ID]],Aircraft!A:A,Aircraft!H:H)</f>
        <v>Airplane Multi Engine Land</v>
      </c>
      <c r="AS920" s="8" t="b">
        <f>OR((SUM(MasterTable[[#This Row],[ILS]:[PAR]]) = MasterTable[[#This Row],[APPR]]))</f>
        <v>1</v>
      </c>
      <c r="AT920" s="8" t="b">
        <f>NOT(ISBLANK(MasterTable[[#This Row],[Total
Time]]))</f>
        <v>1</v>
      </c>
    </row>
    <row r="921" spans="4:46" ht="28.8" x14ac:dyDescent="0.3">
      <c r="D921" s="22">
        <v>43095</v>
      </c>
      <c r="E921" s="8" t="s">
        <v>50</v>
      </c>
      <c r="F921" s="8" t="s">
        <v>202</v>
      </c>
      <c r="G921" s="8" t="s">
        <v>289</v>
      </c>
      <c r="I921" s="10">
        <v>2.4</v>
      </c>
      <c r="J921" s="10">
        <v>0</v>
      </c>
      <c r="L921" s="10">
        <v>2.4</v>
      </c>
      <c r="M921" s="13">
        <v>0</v>
      </c>
      <c r="N921" s="13"/>
      <c r="O921" s="10">
        <v>0</v>
      </c>
      <c r="P921" s="10">
        <v>2.4</v>
      </c>
      <c r="Q921" s="14">
        <v>0</v>
      </c>
      <c r="R921" s="14">
        <v>0</v>
      </c>
      <c r="S921" s="10">
        <v>0.8</v>
      </c>
      <c r="T921" s="10">
        <v>0</v>
      </c>
      <c r="U921" s="14">
        <v>0</v>
      </c>
      <c r="V921" s="10"/>
      <c r="W921" s="11">
        <v>2</v>
      </c>
      <c r="X921" s="11">
        <v>2</v>
      </c>
      <c r="Y921" s="11">
        <v>0</v>
      </c>
      <c r="Z921" s="11">
        <v>0</v>
      </c>
      <c r="AA921" s="11">
        <f>MasterTable[[#This Row],[Landings
Night]]+MasterTable[[#This Row],[Landings
Day]]</f>
        <v>2</v>
      </c>
      <c r="AB921" s="10">
        <v>0</v>
      </c>
      <c r="AC921" s="10">
        <v>0.3</v>
      </c>
      <c r="AD921" s="11">
        <v>0</v>
      </c>
      <c r="AE921" s="21">
        <f>SUM(MasterTable[[#This Row],[ILS]:[PAR]])</f>
        <v>1</v>
      </c>
      <c r="AI921" s="11">
        <v>1</v>
      </c>
      <c r="AL921" s="11"/>
      <c r="AR921" s="140" t="str">
        <f>_xlfn.XLOOKUP(MasterTable[[#This Row],[Aircraft ID]],Aircraft!A:A,Aircraft!H:H)</f>
        <v>Airplane Multi Engine Land</v>
      </c>
      <c r="AS921" s="8" t="b">
        <f>OR((SUM(MasterTable[[#This Row],[ILS]:[PAR]]) = MasterTable[[#This Row],[APPR]]))</f>
        <v>1</v>
      </c>
      <c r="AT921" s="8" t="b">
        <f>NOT(ISBLANK(MasterTable[[#This Row],[Total
Time]]))</f>
        <v>1</v>
      </c>
    </row>
    <row r="922" spans="4:46" ht="28.8" x14ac:dyDescent="0.3">
      <c r="D922" s="22">
        <v>43090</v>
      </c>
      <c r="E922" s="8" t="s">
        <v>72</v>
      </c>
      <c r="F922" s="8" t="s">
        <v>313</v>
      </c>
      <c r="G922" s="8" t="s">
        <v>293</v>
      </c>
      <c r="H922" s="8" t="s">
        <v>314</v>
      </c>
      <c r="I922" s="10">
        <v>2.7</v>
      </c>
      <c r="J922" s="10">
        <v>2.7</v>
      </c>
      <c r="L922" s="10">
        <v>0</v>
      </c>
      <c r="M922" s="13">
        <v>0</v>
      </c>
      <c r="N922" s="13"/>
      <c r="O922" s="10">
        <v>0</v>
      </c>
      <c r="P922" s="10">
        <v>0</v>
      </c>
      <c r="Q922" s="14">
        <v>0</v>
      </c>
      <c r="R922" s="14">
        <v>0</v>
      </c>
      <c r="S922" s="10">
        <v>0.7</v>
      </c>
      <c r="T922" s="10">
        <v>2.7</v>
      </c>
      <c r="U922" s="14">
        <v>0</v>
      </c>
      <c r="V922" s="10"/>
      <c r="W922" s="11">
        <v>2</v>
      </c>
      <c r="X922" s="11">
        <v>2</v>
      </c>
      <c r="Y922" s="11">
        <v>1</v>
      </c>
      <c r="Z922" s="11">
        <v>1</v>
      </c>
      <c r="AA922" s="11">
        <f>MasterTable[[#This Row],[Landings
Night]]+MasterTable[[#This Row],[Landings
Day]]</f>
        <v>3</v>
      </c>
      <c r="AB922" s="10">
        <v>0</v>
      </c>
      <c r="AC922" s="10">
        <v>0.5</v>
      </c>
      <c r="AD922" s="11">
        <v>0</v>
      </c>
      <c r="AE922" s="21">
        <f>SUM(MasterTable[[#This Row],[ILS]:[PAR]])</f>
        <v>2</v>
      </c>
      <c r="AI922" s="11">
        <v>2</v>
      </c>
      <c r="AL922" s="11"/>
      <c r="AR922" s="140" t="str">
        <f>_xlfn.XLOOKUP(MasterTable[[#This Row],[Aircraft ID]],Aircraft!A:A,Aircraft!H:H)</f>
        <v>Airplane Multi Engine Land</v>
      </c>
      <c r="AS922" s="8" t="b">
        <f>OR((SUM(MasterTable[[#This Row],[ILS]:[PAR]]) = MasterTable[[#This Row],[APPR]]))</f>
        <v>1</v>
      </c>
      <c r="AT922" s="8" t="b">
        <f>NOT(ISBLANK(MasterTable[[#This Row],[Total
Time]]))</f>
        <v>1</v>
      </c>
    </row>
    <row r="923" spans="4:46" ht="28.8" x14ac:dyDescent="0.3">
      <c r="D923" s="22">
        <v>43090</v>
      </c>
      <c r="E923" s="8" t="s">
        <v>72</v>
      </c>
      <c r="F923" s="8" t="s">
        <v>293</v>
      </c>
      <c r="G923" s="8" t="s">
        <v>313</v>
      </c>
      <c r="H923" s="8" t="s">
        <v>315</v>
      </c>
      <c r="I923" s="10">
        <v>2.7</v>
      </c>
      <c r="J923" s="10">
        <v>2.7</v>
      </c>
      <c r="L923" s="10">
        <v>0</v>
      </c>
      <c r="M923" s="13">
        <v>0</v>
      </c>
      <c r="N923" s="13"/>
      <c r="O923" s="10">
        <v>0</v>
      </c>
      <c r="P923" s="10">
        <v>0</v>
      </c>
      <c r="Q923" s="14">
        <v>0</v>
      </c>
      <c r="R923" s="14">
        <v>0</v>
      </c>
      <c r="S923" s="10">
        <v>0</v>
      </c>
      <c r="T923" s="10">
        <v>2.7</v>
      </c>
      <c r="U923" s="14">
        <v>0</v>
      </c>
      <c r="V923" s="10"/>
      <c r="W923" s="11">
        <v>3</v>
      </c>
      <c r="X923" s="11">
        <v>3</v>
      </c>
      <c r="Y923" s="11">
        <v>0</v>
      </c>
      <c r="Z923" s="11">
        <v>0</v>
      </c>
      <c r="AA923" s="11">
        <f>MasterTable[[#This Row],[Landings
Night]]+MasterTable[[#This Row],[Landings
Day]]</f>
        <v>3</v>
      </c>
      <c r="AB923" s="10">
        <v>0</v>
      </c>
      <c r="AC923" s="10">
        <v>0.3</v>
      </c>
      <c r="AD923" s="11">
        <v>1</v>
      </c>
      <c r="AE923" s="21">
        <f>SUM(MasterTable[[#This Row],[ILS]:[PAR]])</f>
        <v>1</v>
      </c>
      <c r="AI923" s="11">
        <v>1</v>
      </c>
      <c r="AL923" s="11"/>
      <c r="AR923" s="140" t="str">
        <f>_xlfn.XLOOKUP(MasterTable[[#This Row],[Aircraft ID]],Aircraft!A:A,Aircraft!H:H)</f>
        <v>Airplane Multi Engine Land</v>
      </c>
      <c r="AS923" s="8" t="b">
        <f>OR((SUM(MasterTable[[#This Row],[ILS]:[PAR]]) = MasterTable[[#This Row],[APPR]]))</f>
        <v>1</v>
      </c>
      <c r="AT923" s="8" t="b">
        <f>NOT(ISBLANK(MasterTable[[#This Row],[Total
Time]]))</f>
        <v>1</v>
      </c>
    </row>
    <row r="924" spans="4:46" ht="28.8" x14ac:dyDescent="0.3">
      <c r="D924" s="22">
        <v>43084</v>
      </c>
      <c r="E924" s="8" t="s">
        <v>174</v>
      </c>
      <c r="F924" s="8" t="s">
        <v>316</v>
      </c>
      <c r="G924" s="8" t="s">
        <v>202</v>
      </c>
      <c r="I924" s="10">
        <v>2.2000000000000002</v>
      </c>
      <c r="J924" s="10">
        <v>2.2000000000000002</v>
      </c>
      <c r="L924" s="10">
        <v>0</v>
      </c>
      <c r="M924" s="13">
        <v>0</v>
      </c>
      <c r="N924" s="13"/>
      <c r="O924" s="10">
        <v>0</v>
      </c>
      <c r="P924" s="10">
        <v>0</v>
      </c>
      <c r="Q924" s="14">
        <v>0</v>
      </c>
      <c r="R924" s="14">
        <v>0</v>
      </c>
      <c r="S924" s="10">
        <v>1.2</v>
      </c>
      <c r="T924" s="10">
        <v>2.2000000000000002</v>
      </c>
      <c r="U924" s="14">
        <v>0</v>
      </c>
      <c r="V924" s="10"/>
      <c r="W924" s="11">
        <v>1</v>
      </c>
      <c r="X924" s="11">
        <v>0</v>
      </c>
      <c r="Y924" s="11">
        <v>0</v>
      </c>
      <c r="Z924" s="11">
        <v>1</v>
      </c>
      <c r="AA924" s="11">
        <f>MasterTable[[#This Row],[Landings
Night]]+MasterTable[[#This Row],[Landings
Day]]</f>
        <v>1</v>
      </c>
      <c r="AB924" s="10">
        <v>0</v>
      </c>
      <c r="AC924" s="10">
        <v>0</v>
      </c>
      <c r="AD924" s="11">
        <v>0</v>
      </c>
      <c r="AE924" s="21">
        <f>SUM(MasterTable[[#This Row],[ILS]:[PAR]])</f>
        <v>0</v>
      </c>
      <c r="AL924" s="11"/>
      <c r="AR924" s="140" t="str">
        <f>_xlfn.XLOOKUP(MasterTable[[#This Row],[Aircraft ID]],Aircraft!A:A,Aircraft!H:H)</f>
        <v>Airplane Single Engine Land</v>
      </c>
      <c r="AS924" s="8" t="b">
        <f>OR((SUM(MasterTable[[#This Row],[ILS]:[PAR]]) = MasterTable[[#This Row],[APPR]]))</f>
        <v>1</v>
      </c>
      <c r="AT924" s="8" t="b">
        <f>NOT(ISBLANK(MasterTable[[#This Row],[Total
Time]]))</f>
        <v>1</v>
      </c>
    </row>
    <row r="925" spans="4:46" ht="28.8" x14ac:dyDescent="0.3">
      <c r="D925" s="22">
        <v>43082</v>
      </c>
      <c r="E925" s="8" t="s">
        <v>174</v>
      </c>
      <c r="F925" s="8" t="s">
        <v>202</v>
      </c>
      <c r="G925" s="8" t="s">
        <v>316</v>
      </c>
      <c r="I925" s="10">
        <v>1.3</v>
      </c>
      <c r="J925" s="10">
        <v>1.3</v>
      </c>
      <c r="L925" s="10">
        <v>0</v>
      </c>
      <c r="M925" s="13">
        <v>0</v>
      </c>
      <c r="N925" s="13"/>
      <c r="O925" s="10">
        <v>0</v>
      </c>
      <c r="P925" s="10">
        <v>0</v>
      </c>
      <c r="Q925" s="14">
        <v>0</v>
      </c>
      <c r="R925" s="14">
        <v>0</v>
      </c>
      <c r="S925" s="10">
        <v>0</v>
      </c>
      <c r="T925" s="10">
        <v>1.3</v>
      </c>
      <c r="U925" s="14">
        <v>0</v>
      </c>
      <c r="V925" s="10"/>
      <c r="W925" s="11">
        <v>1</v>
      </c>
      <c r="X925" s="11">
        <v>1</v>
      </c>
      <c r="Y925" s="11">
        <v>0</v>
      </c>
      <c r="Z925" s="11">
        <v>0</v>
      </c>
      <c r="AA925" s="11">
        <f>MasterTable[[#This Row],[Landings
Night]]+MasterTable[[#This Row],[Landings
Day]]</f>
        <v>1</v>
      </c>
      <c r="AB925" s="10">
        <v>0</v>
      </c>
      <c r="AC925" s="10">
        <v>0</v>
      </c>
      <c r="AD925" s="11">
        <v>0</v>
      </c>
      <c r="AE925" s="21">
        <f>SUM(MasterTable[[#This Row],[ILS]:[PAR]])</f>
        <v>0</v>
      </c>
      <c r="AL925" s="11"/>
      <c r="AR925" s="140" t="str">
        <f>_xlfn.XLOOKUP(MasterTable[[#This Row],[Aircraft ID]],Aircraft!A:A,Aircraft!H:H)</f>
        <v>Airplane Single Engine Land</v>
      </c>
      <c r="AS925" s="8" t="b">
        <f>OR((SUM(MasterTable[[#This Row],[ILS]:[PAR]]) = MasterTable[[#This Row],[APPR]]))</f>
        <v>1</v>
      </c>
      <c r="AT925" s="8" t="b">
        <f>NOT(ISBLANK(MasterTable[[#This Row],[Total
Time]]))</f>
        <v>1</v>
      </c>
    </row>
    <row r="926" spans="4:46" ht="28.8" x14ac:dyDescent="0.3">
      <c r="D926" s="22">
        <v>43081</v>
      </c>
      <c r="E926" s="8" t="s">
        <v>50</v>
      </c>
      <c r="F926" s="8" t="s">
        <v>289</v>
      </c>
      <c r="G926" s="8" t="s">
        <v>202</v>
      </c>
      <c r="I926" s="10">
        <v>1.6</v>
      </c>
      <c r="J926" s="10">
        <v>0</v>
      </c>
      <c r="L926" s="10">
        <v>1.6</v>
      </c>
      <c r="M926" s="13">
        <v>0</v>
      </c>
      <c r="N926" s="13"/>
      <c r="O926" s="10">
        <v>0</v>
      </c>
      <c r="P926" s="10">
        <v>1.6</v>
      </c>
      <c r="Q926" s="14">
        <v>0</v>
      </c>
      <c r="R926" s="14">
        <v>0</v>
      </c>
      <c r="S926" s="10">
        <v>0</v>
      </c>
      <c r="T926" s="10">
        <v>0</v>
      </c>
      <c r="U926" s="14">
        <v>0</v>
      </c>
      <c r="V926" s="10"/>
      <c r="W926" s="11">
        <v>1</v>
      </c>
      <c r="X926" s="11">
        <v>1</v>
      </c>
      <c r="Y926" s="11">
        <v>0</v>
      </c>
      <c r="Z926" s="11">
        <v>0</v>
      </c>
      <c r="AA926" s="11">
        <f>MasterTable[[#This Row],[Landings
Night]]+MasterTable[[#This Row],[Landings
Day]]</f>
        <v>1</v>
      </c>
      <c r="AB926" s="10">
        <v>0</v>
      </c>
      <c r="AC926" s="10">
        <v>0</v>
      </c>
      <c r="AD926" s="11">
        <v>0</v>
      </c>
      <c r="AE926" s="21">
        <f>SUM(MasterTable[[#This Row],[ILS]:[PAR]])</f>
        <v>0</v>
      </c>
      <c r="AL926" s="11"/>
      <c r="AR926" s="140" t="str">
        <f>_xlfn.XLOOKUP(MasterTable[[#This Row],[Aircraft ID]],Aircraft!A:A,Aircraft!H:H)</f>
        <v>Airplane Multi Engine Land</v>
      </c>
      <c r="AS926" s="8" t="b">
        <f>OR((SUM(MasterTable[[#This Row],[ILS]:[PAR]]) = MasterTable[[#This Row],[APPR]]))</f>
        <v>1</v>
      </c>
      <c r="AT926" s="8" t="b">
        <f>NOT(ISBLANK(MasterTable[[#This Row],[Total
Time]]))</f>
        <v>1</v>
      </c>
    </row>
    <row r="927" spans="4:46" ht="28.8" x14ac:dyDescent="0.3">
      <c r="D927" s="22">
        <v>43080</v>
      </c>
      <c r="E927" s="8" t="s">
        <v>50</v>
      </c>
      <c r="F927" s="8" t="s">
        <v>202</v>
      </c>
      <c r="G927" s="8" t="s">
        <v>289</v>
      </c>
      <c r="I927" s="10">
        <v>1.7</v>
      </c>
      <c r="J927" s="10">
        <v>0</v>
      </c>
      <c r="L927" s="10">
        <v>1.7</v>
      </c>
      <c r="M927" s="13">
        <v>0</v>
      </c>
      <c r="N927" s="13"/>
      <c r="O927" s="10">
        <v>0</v>
      </c>
      <c r="P927" s="10">
        <v>1.7</v>
      </c>
      <c r="Q927" s="14">
        <v>0</v>
      </c>
      <c r="R927" s="14">
        <v>0</v>
      </c>
      <c r="S927" s="10">
        <v>0</v>
      </c>
      <c r="T927" s="10">
        <v>0</v>
      </c>
      <c r="U927" s="14">
        <v>0</v>
      </c>
      <c r="V927" s="10"/>
      <c r="W927" s="11">
        <v>1</v>
      </c>
      <c r="X927" s="11">
        <v>1</v>
      </c>
      <c r="Y927" s="11">
        <v>0</v>
      </c>
      <c r="Z927" s="11">
        <v>0</v>
      </c>
      <c r="AA927" s="11">
        <f>MasterTable[[#This Row],[Landings
Night]]+MasterTable[[#This Row],[Landings
Day]]</f>
        <v>1</v>
      </c>
      <c r="AB927" s="10">
        <v>0</v>
      </c>
      <c r="AC927" s="10">
        <v>0</v>
      </c>
      <c r="AD927" s="11">
        <v>0</v>
      </c>
      <c r="AE927" s="21">
        <f>SUM(MasterTable[[#This Row],[ILS]:[PAR]])</f>
        <v>0</v>
      </c>
      <c r="AL927" s="11"/>
      <c r="AR927" s="140" t="str">
        <f>_xlfn.XLOOKUP(MasterTable[[#This Row],[Aircraft ID]],Aircraft!A:A,Aircraft!H:H)</f>
        <v>Airplane Multi Engine Land</v>
      </c>
      <c r="AS927" s="8" t="b">
        <f>OR((SUM(MasterTable[[#This Row],[ILS]:[PAR]]) = MasterTable[[#This Row],[APPR]]))</f>
        <v>1</v>
      </c>
      <c r="AT927" s="8" t="b">
        <f>NOT(ISBLANK(MasterTable[[#This Row],[Total
Time]]))</f>
        <v>1</v>
      </c>
    </row>
    <row r="928" spans="4:46" ht="28.8" x14ac:dyDescent="0.3">
      <c r="D928" s="22">
        <v>43079</v>
      </c>
      <c r="E928" s="8" t="s">
        <v>50</v>
      </c>
      <c r="F928" s="8" t="s">
        <v>317</v>
      </c>
      <c r="G928" s="8" t="s">
        <v>202</v>
      </c>
      <c r="I928" s="10">
        <v>1.2</v>
      </c>
      <c r="J928" s="10">
        <v>0</v>
      </c>
      <c r="L928" s="10">
        <v>1.2</v>
      </c>
      <c r="M928" s="13">
        <v>0</v>
      </c>
      <c r="N928" s="13"/>
      <c r="O928" s="10">
        <v>0</v>
      </c>
      <c r="P928" s="10">
        <v>1.2</v>
      </c>
      <c r="Q928" s="14">
        <v>0</v>
      </c>
      <c r="R928" s="14">
        <v>0</v>
      </c>
      <c r="S928" s="10">
        <v>1.2</v>
      </c>
      <c r="T928" s="10">
        <v>0</v>
      </c>
      <c r="U928" s="14">
        <v>0</v>
      </c>
      <c r="V928" s="10"/>
      <c r="W928" s="11">
        <v>0</v>
      </c>
      <c r="X928" s="11">
        <v>0</v>
      </c>
      <c r="Y928" s="11">
        <v>1</v>
      </c>
      <c r="Z928" s="11">
        <v>1</v>
      </c>
      <c r="AA928" s="11">
        <f>MasterTable[[#This Row],[Landings
Night]]+MasterTable[[#This Row],[Landings
Day]]</f>
        <v>1</v>
      </c>
      <c r="AB928" s="10">
        <v>0</v>
      </c>
      <c r="AC928" s="10">
        <v>0</v>
      </c>
      <c r="AD928" s="11">
        <v>0</v>
      </c>
      <c r="AE928" s="21">
        <f>SUM(MasterTable[[#This Row],[ILS]:[PAR]])</f>
        <v>0</v>
      </c>
      <c r="AL928" s="11"/>
      <c r="AR928" s="140" t="str">
        <f>_xlfn.XLOOKUP(MasterTable[[#This Row],[Aircraft ID]],Aircraft!A:A,Aircraft!H:H)</f>
        <v>Airplane Multi Engine Land</v>
      </c>
      <c r="AS928" s="8" t="b">
        <f>OR((SUM(MasterTable[[#This Row],[ILS]:[PAR]]) = MasterTable[[#This Row],[APPR]]))</f>
        <v>1</v>
      </c>
      <c r="AT928" s="8" t="b">
        <f>NOT(ISBLANK(MasterTable[[#This Row],[Total
Time]]))</f>
        <v>1</v>
      </c>
    </row>
    <row r="929" spans="4:46" ht="28.8" x14ac:dyDescent="0.3">
      <c r="D929" s="22">
        <v>43079</v>
      </c>
      <c r="E929" s="8" t="s">
        <v>50</v>
      </c>
      <c r="F929" s="8" t="s">
        <v>202</v>
      </c>
      <c r="G929" s="8" t="s">
        <v>317</v>
      </c>
      <c r="I929" s="10">
        <v>1.7</v>
      </c>
      <c r="J929" s="10">
        <v>0</v>
      </c>
      <c r="L929" s="10">
        <v>1.7</v>
      </c>
      <c r="M929" s="13">
        <v>0</v>
      </c>
      <c r="N929" s="13"/>
      <c r="O929" s="10">
        <v>0</v>
      </c>
      <c r="P929" s="10">
        <v>1.7</v>
      </c>
      <c r="Q929" s="14">
        <v>0</v>
      </c>
      <c r="R929" s="14">
        <v>0</v>
      </c>
      <c r="S929" s="10">
        <v>0.2</v>
      </c>
      <c r="T929" s="10">
        <v>0</v>
      </c>
      <c r="U929" s="14">
        <v>0</v>
      </c>
      <c r="V929" s="10"/>
      <c r="W929" s="11">
        <v>0</v>
      </c>
      <c r="X929" s="11">
        <v>0</v>
      </c>
      <c r="Y929" s="11">
        <v>1</v>
      </c>
      <c r="Z929" s="11">
        <v>1</v>
      </c>
      <c r="AA929" s="11">
        <f>MasterTable[[#This Row],[Landings
Night]]+MasterTable[[#This Row],[Landings
Day]]</f>
        <v>1</v>
      </c>
      <c r="AB929" s="10">
        <v>0</v>
      </c>
      <c r="AC929" s="10">
        <v>0.4</v>
      </c>
      <c r="AD929" s="11">
        <v>0</v>
      </c>
      <c r="AE929" s="21">
        <f>SUM(MasterTable[[#This Row],[ILS]:[PAR]])</f>
        <v>0</v>
      </c>
      <c r="AL929" s="11"/>
      <c r="AR929" s="140" t="str">
        <f>_xlfn.XLOOKUP(MasterTable[[#This Row],[Aircraft ID]],Aircraft!A:A,Aircraft!H:H)</f>
        <v>Airplane Multi Engine Land</v>
      </c>
      <c r="AS929" s="8" t="b">
        <f>OR((SUM(MasterTable[[#This Row],[ILS]:[PAR]]) = MasterTable[[#This Row],[APPR]]))</f>
        <v>1</v>
      </c>
      <c r="AT929" s="8" t="b">
        <f>NOT(ISBLANK(MasterTable[[#This Row],[Total
Time]]))</f>
        <v>1</v>
      </c>
    </row>
    <row r="930" spans="4:46" ht="28.8" x14ac:dyDescent="0.3">
      <c r="D930" s="22">
        <v>43079</v>
      </c>
      <c r="E930" s="8" t="s">
        <v>50</v>
      </c>
      <c r="F930" s="8" t="s">
        <v>317</v>
      </c>
      <c r="G930" s="8" t="s">
        <v>202</v>
      </c>
      <c r="I930" s="10">
        <v>1.4</v>
      </c>
      <c r="J930" s="10">
        <v>0</v>
      </c>
      <c r="L930" s="10">
        <v>1.4</v>
      </c>
      <c r="M930" s="13">
        <v>0</v>
      </c>
      <c r="N930" s="13"/>
      <c r="O930" s="10">
        <v>0</v>
      </c>
      <c r="P930" s="10">
        <v>1.4</v>
      </c>
      <c r="Q930" s="14">
        <v>0</v>
      </c>
      <c r="R930" s="14">
        <v>0</v>
      </c>
      <c r="S930" s="10">
        <v>0</v>
      </c>
      <c r="T930" s="10">
        <v>0</v>
      </c>
      <c r="U930" s="14">
        <v>0</v>
      </c>
      <c r="V930" s="10"/>
      <c r="W930" s="11">
        <v>1</v>
      </c>
      <c r="X930" s="11">
        <v>1</v>
      </c>
      <c r="Y930" s="11">
        <v>0</v>
      </c>
      <c r="Z930" s="11">
        <v>0</v>
      </c>
      <c r="AA930" s="11">
        <f>MasterTable[[#This Row],[Landings
Night]]+MasterTable[[#This Row],[Landings
Day]]</f>
        <v>1</v>
      </c>
      <c r="AB930" s="10">
        <v>0</v>
      </c>
      <c r="AC930" s="10">
        <v>0</v>
      </c>
      <c r="AD930" s="11">
        <v>0</v>
      </c>
      <c r="AE930" s="21">
        <f>SUM(MasterTable[[#This Row],[ILS]:[PAR]])</f>
        <v>0</v>
      </c>
      <c r="AL930" s="11"/>
      <c r="AR930" s="140" t="str">
        <f>_xlfn.XLOOKUP(MasterTable[[#This Row],[Aircraft ID]],Aircraft!A:A,Aircraft!H:H)</f>
        <v>Airplane Multi Engine Land</v>
      </c>
      <c r="AS930" s="8" t="b">
        <f>OR((SUM(MasterTable[[#This Row],[ILS]:[PAR]]) = MasterTable[[#This Row],[APPR]]))</f>
        <v>1</v>
      </c>
      <c r="AT930" s="8" t="b">
        <f>NOT(ISBLANK(MasterTable[[#This Row],[Total
Time]]))</f>
        <v>1</v>
      </c>
    </row>
    <row r="931" spans="4:46" ht="28.8" x14ac:dyDescent="0.3">
      <c r="D931" s="22">
        <v>43077</v>
      </c>
      <c r="E931" s="8" t="s">
        <v>50</v>
      </c>
      <c r="F931" s="8" t="s">
        <v>202</v>
      </c>
      <c r="G931" s="8" t="s">
        <v>317</v>
      </c>
      <c r="I931" s="10">
        <v>1.6</v>
      </c>
      <c r="J931" s="10">
        <v>0</v>
      </c>
      <c r="L931" s="10">
        <v>1.6</v>
      </c>
      <c r="M931" s="13">
        <v>0</v>
      </c>
      <c r="N931" s="13"/>
      <c r="O931" s="10">
        <v>0</v>
      </c>
      <c r="P931" s="10">
        <v>1.6</v>
      </c>
      <c r="Q931" s="14">
        <v>0</v>
      </c>
      <c r="R931" s="14">
        <v>0</v>
      </c>
      <c r="S931" s="10">
        <v>0</v>
      </c>
      <c r="T931" s="10">
        <v>0</v>
      </c>
      <c r="U931" s="14">
        <v>0</v>
      </c>
      <c r="V931" s="10"/>
      <c r="W931" s="11">
        <v>1</v>
      </c>
      <c r="X931" s="11">
        <v>1</v>
      </c>
      <c r="Y931" s="11">
        <v>0</v>
      </c>
      <c r="Z931" s="11">
        <v>0</v>
      </c>
      <c r="AA931" s="11">
        <f>MasterTable[[#This Row],[Landings
Night]]+MasterTable[[#This Row],[Landings
Day]]</f>
        <v>1</v>
      </c>
      <c r="AB931" s="10">
        <v>0</v>
      </c>
      <c r="AC931" s="10">
        <v>0.4</v>
      </c>
      <c r="AD931" s="11">
        <v>0</v>
      </c>
      <c r="AE931" s="21">
        <f>SUM(MasterTable[[#This Row],[ILS]:[PAR]])</f>
        <v>0</v>
      </c>
      <c r="AL931" s="11"/>
      <c r="AR931" s="140" t="str">
        <f>_xlfn.XLOOKUP(MasterTable[[#This Row],[Aircraft ID]],Aircraft!A:A,Aircraft!H:H)</f>
        <v>Airplane Multi Engine Land</v>
      </c>
      <c r="AS931" s="8" t="b">
        <f>OR((SUM(MasterTable[[#This Row],[ILS]:[PAR]]) = MasterTable[[#This Row],[APPR]]))</f>
        <v>1</v>
      </c>
      <c r="AT931" s="8" t="b">
        <f>NOT(ISBLANK(MasterTable[[#This Row],[Total
Time]]))</f>
        <v>1</v>
      </c>
    </row>
    <row r="932" spans="4:46" ht="28.8" x14ac:dyDescent="0.3">
      <c r="D932" s="22">
        <v>43063</v>
      </c>
      <c r="E932" s="8" t="s">
        <v>174</v>
      </c>
      <c r="F932" s="8" t="s">
        <v>202</v>
      </c>
      <c r="G932" s="8" t="s">
        <v>220</v>
      </c>
      <c r="H932" s="8" t="s">
        <v>318</v>
      </c>
      <c r="I932" s="10">
        <v>2.2000000000000002</v>
      </c>
      <c r="J932" s="10">
        <v>2.2000000000000002</v>
      </c>
      <c r="L932" s="10">
        <v>0</v>
      </c>
      <c r="M932" s="13">
        <v>0</v>
      </c>
      <c r="N932" s="13"/>
      <c r="O932" s="10">
        <v>0</v>
      </c>
      <c r="P932" s="10">
        <v>0</v>
      </c>
      <c r="Q932" s="14">
        <v>0</v>
      </c>
      <c r="R932" s="14">
        <v>0</v>
      </c>
      <c r="S932" s="10">
        <v>1.2</v>
      </c>
      <c r="T932" s="10">
        <v>0</v>
      </c>
      <c r="U932" s="14">
        <v>0</v>
      </c>
      <c r="V932" s="10"/>
      <c r="W932" s="11">
        <v>1</v>
      </c>
      <c r="X932" s="11">
        <v>1</v>
      </c>
      <c r="Y932" s="11">
        <v>3</v>
      </c>
      <c r="Z932" s="11">
        <v>3</v>
      </c>
      <c r="AA932" s="11">
        <f>MasterTable[[#This Row],[Landings
Night]]+MasterTable[[#This Row],[Landings
Day]]</f>
        <v>4</v>
      </c>
      <c r="AB932" s="10">
        <v>0</v>
      </c>
      <c r="AC932" s="10">
        <v>0</v>
      </c>
      <c r="AD932" s="11">
        <v>0</v>
      </c>
      <c r="AE932" s="21">
        <f>SUM(MasterTable[[#This Row],[ILS]:[PAR]])</f>
        <v>0</v>
      </c>
      <c r="AL932" s="11"/>
      <c r="AR932" s="140" t="str">
        <f>_xlfn.XLOOKUP(MasterTable[[#This Row],[Aircraft ID]],Aircraft!A:A,Aircraft!H:H)</f>
        <v>Airplane Single Engine Land</v>
      </c>
      <c r="AS932" s="8" t="b">
        <f>OR((SUM(MasterTable[[#This Row],[ILS]:[PAR]]) = MasterTable[[#This Row],[APPR]]))</f>
        <v>1</v>
      </c>
      <c r="AT932" s="8" t="b">
        <f>NOT(ISBLANK(MasterTable[[#This Row],[Total
Time]]))</f>
        <v>1</v>
      </c>
    </row>
    <row r="933" spans="4:46" ht="28.8" x14ac:dyDescent="0.3">
      <c r="D933" s="22">
        <v>43063</v>
      </c>
      <c r="E933" s="8" t="s">
        <v>174</v>
      </c>
      <c r="F933" s="8" t="s">
        <v>202</v>
      </c>
      <c r="G933" s="8" t="s">
        <v>219</v>
      </c>
      <c r="I933" s="10">
        <v>1.5</v>
      </c>
      <c r="J933" s="10">
        <v>1.5</v>
      </c>
      <c r="L933" s="10">
        <v>0</v>
      </c>
      <c r="M933" s="13">
        <v>0</v>
      </c>
      <c r="N933" s="13"/>
      <c r="O933" s="10">
        <v>0</v>
      </c>
      <c r="P933" s="10">
        <v>0</v>
      </c>
      <c r="Q933" s="14">
        <v>0</v>
      </c>
      <c r="R933" s="14">
        <v>0</v>
      </c>
      <c r="S933" s="10">
        <v>0</v>
      </c>
      <c r="T933" s="10">
        <v>0</v>
      </c>
      <c r="U933" s="14">
        <v>0</v>
      </c>
      <c r="V933" s="10"/>
      <c r="W933" s="11">
        <v>2</v>
      </c>
      <c r="X933" s="11">
        <v>2</v>
      </c>
      <c r="Y933" s="11">
        <v>0</v>
      </c>
      <c r="Z933" s="11">
        <v>0</v>
      </c>
      <c r="AA933" s="11">
        <f>MasterTable[[#This Row],[Landings
Night]]+MasterTable[[#This Row],[Landings
Day]]</f>
        <v>2</v>
      </c>
      <c r="AB933" s="10">
        <v>0</v>
      </c>
      <c r="AC933" s="10">
        <v>0</v>
      </c>
      <c r="AD933" s="11">
        <v>0</v>
      </c>
      <c r="AE933" s="21">
        <f>SUM(MasterTable[[#This Row],[ILS]:[PAR]])</f>
        <v>0</v>
      </c>
      <c r="AL933" s="11"/>
      <c r="AR933" s="140" t="str">
        <f>_xlfn.XLOOKUP(MasterTable[[#This Row],[Aircraft ID]],Aircraft!A:A,Aircraft!H:H)</f>
        <v>Airplane Single Engine Land</v>
      </c>
      <c r="AS933" s="8" t="b">
        <f>OR((SUM(MasterTable[[#This Row],[ILS]:[PAR]]) = MasterTable[[#This Row],[APPR]]))</f>
        <v>1</v>
      </c>
      <c r="AT933" s="8" t="b">
        <f>NOT(ISBLANK(MasterTable[[#This Row],[Total
Time]]))</f>
        <v>1</v>
      </c>
    </row>
    <row r="934" spans="4:46" ht="28.8" x14ac:dyDescent="0.3">
      <c r="D934" s="22">
        <v>43061</v>
      </c>
      <c r="E934" s="8" t="s">
        <v>50</v>
      </c>
      <c r="F934" s="8" t="s">
        <v>202</v>
      </c>
      <c r="G934" s="8" t="s">
        <v>289</v>
      </c>
      <c r="I934" s="10">
        <v>2.2000000000000002</v>
      </c>
      <c r="J934" s="10">
        <v>0</v>
      </c>
      <c r="L934" s="10">
        <v>2.2000000000000002</v>
      </c>
      <c r="M934" s="13">
        <v>0</v>
      </c>
      <c r="N934" s="13"/>
      <c r="O934" s="10">
        <v>0</v>
      </c>
      <c r="P934" s="10">
        <v>2.2000000000000002</v>
      </c>
      <c r="Q934" s="14">
        <v>0</v>
      </c>
      <c r="R934" s="14">
        <v>0</v>
      </c>
      <c r="S934" s="10">
        <v>0</v>
      </c>
      <c r="T934" s="10">
        <v>0</v>
      </c>
      <c r="U934" s="14">
        <v>0</v>
      </c>
      <c r="V934" s="10"/>
      <c r="W934" s="11">
        <v>2</v>
      </c>
      <c r="X934" s="11">
        <v>2</v>
      </c>
      <c r="Y934" s="11">
        <v>0</v>
      </c>
      <c r="Z934" s="11">
        <v>0</v>
      </c>
      <c r="AA934" s="11">
        <f>MasterTable[[#This Row],[Landings
Night]]+MasterTable[[#This Row],[Landings
Day]]</f>
        <v>2</v>
      </c>
      <c r="AB934" s="10">
        <v>0</v>
      </c>
      <c r="AC934" s="10">
        <v>0</v>
      </c>
      <c r="AD934" s="11">
        <v>0</v>
      </c>
      <c r="AE934" s="21">
        <f>SUM(MasterTable[[#This Row],[ILS]:[PAR]])</f>
        <v>0</v>
      </c>
      <c r="AL934" s="11"/>
      <c r="AR934" s="140" t="str">
        <f>_xlfn.XLOOKUP(MasterTable[[#This Row],[Aircraft ID]],Aircraft!A:A,Aircraft!H:H)</f>
        <v>Airplane Multi Engine Land</v>
      </c>
      <c r="AS934" s="8" t="b">
        <f>OR((SUM(MasterTable[[#This Row],[ILS]:[PAR]]) = MasterTable[[#This Row],[APPR]]))</f>
        <v>1</v>
      </c>
      <c r="AT934" s="8" t="b">
        <f>NOT(ISBLANK(MasterTable[[#This Row],[Total
Time]]))</f>
        <v>1</v>
      </c>
    </row>
    <row r="935" spans="4:46" ht="28.8" x14ac:dyDescent="0.3">
      <c r="D935" s="22">
        <v>43060</v>
      </c>
      <c r="E935" s="8" t="s">
        <v>72</v>
      </c>
      <c r="F935" s="8" t="s">
        <v>293</v>
      </c>
      <c r="G935" s="8" t="s">
        <v>295</v>
      </c>
      <c r="I935" s="10">
        <v>3.2</v>
      </c>
      <c r="J935" s="10">
        <v>3.2</v>
      </c>
      <c r="L935" s="10">
        <v>0</v>
      </c>
      <c r="M935" s="13">
        <v>0</v>
      </c>
      <c r="N935" s="13"/>
      <c r="O935" s="10">
        <v>0</v>
      </c>
      <c r="P935" s="10">
        <v>0</v>
      </c>
      <c r="Q935" s="14">
        <v>0</v>
      </c>
      <c r="R935" s="14">
        <v>0</v>
      </c>
      <c r="S935" s="10">
        <v>1</v>
      </c>
      <c r="T935" s="10">
        <v>3.2</v>
      </c>
      <c r="U935" s="14">
        <v>0</v>
      </c>
      <c r="V935" s="10"/>
      <c r="W935" s="11">
        <v>2</v>
      </c>
      <c r="X935" s="11">
        <v>1</v>
      </c>
      <c r="Y935" s="11">
        <v>0</v>
      </c>
      <c r="Z935" s="11">
        <v>1</v>
      </c>
      <c r="AA935" s="11">
        <f>MasterTable[[#This Row],[Landings
Night]]+MasterTable[[#This Row],[Landings
Day]]</f>
        <v>2</v>
      </c>
      <c r="AB935" s="10">
        <v>0</v>
      </c>
      <c r="AC935" s="10">
        <v>0.2</v>
      </c>
      <c r="AD935" s="11">
        <v>0</v>
      </c>
      <c r="AE935" s="21">
        <f>SUM(MasterTable[[#This Row],[ILS]:[PAR]])</f>
        <v>1</v>
      </c>
      <c r="AF935" s="11">
        <v>1</v>
      </c>
      <c r="AL935" s="11"/>
      <c r="AR935" s="140" t="str">
        <f>_xlfn.XLOOKUP(MasterTable[[#This Row],[Aircraft ID]],Aircraft!A:A,Aircraft!H:H)</f>
        <v>Airplane Multi Engine Land</v>
      </c>
      <c r="AS935" s="8" t="b">
        <f>OR((SUM(MasterTable[[#This Row],[ILS]:[PAR]]) = MasterTable[[#This Row],[APPR]]))</f>
        <v>1</v>
      </c>
      <c r="AT935" s="8" t="b">
        <f>NOT(ISBLANK(MasterTable[[#This Row],[Total
Time]]))</f>
        <v>1</v>
      </c>
    </row>
    <row r="936" spans="4:46" ht="28.8" x14ac:dyDescent="0.3">
      <c r="D936" s="22">
        <v>43059</v>
      </c>
      <c r="E936" s="8" t="s">
        <v>174</v>
      </c>
      <c r="F936" s="8" t="s">
        <v>265</v>
      </c>
      <c r="G936" s="8" t="s">
        <v>202</v>
      </c>
      <c r="I936" s="10">
        <v>1.9</v>
      </c>
      <c r="J936" s="10">
        <v>1.9</v>
      </c>
      <c r="L936" s="10">
        <v>0</v>
      </c>
      <c r="M936" s="13">
        <v>0</v>
      </c>
      <c r="N936" s="13"/>
      <c r="O936" s="10">
        <v>0</v>
      </c>
      <c r="P936" s="10">
        <v>0</v>
      </c>
      <c r="Q936" s="14">
        <v>0</v>
      </c>
      <c r="R936" s="14">
        <v>0</v>
      </c>
      <c r="S936" s="10">
        <v>0</v>
      </c>
      <c r="T936" s="10">
        <v>0</v>
      </c>
      <c r="U936" s="14">
        <v>0</v>
      </c>
      <c r="V936" s="10"/>
      <c r="W936" s="11">
        <v>2</v>
      </c>
      <c r="X936" s="11">
        <v>2</v>
      </c>
      <c r="Y936" s="11">
        <v>0</v>
      </c>
      <c r="Z936" s="11">
        <v>0</v>
      </c>
      <c r="AA936" s="11">
        <f>MasterTable[[#This Row],[Landings
Night]]+MasterTable[[#This Row],[Landings
Day]]</f>
        <v>2</v>
      </c>
      <c r="AB936" s="10">
        <v>0</v>
      </c>
      <c r="AC936" s="10">
        <v>0</v>
      </c>
      <c r="AD936" s="11">
        <v>0</v>
      </c>
      <c r="AE936" s="21">
        <f>SUM(MasterTable[[#This Row],[ILS]:[PAR]])</f>
        <v>0</v>
      </c>
      <c r="AL936" s="11"/>
      <c r="AR936" s="140" t="str">
        <f>_xlfn.XLOOKUP(MasterTable[[#This Row],[Aircraft ID]],Aircraft!A:A,Aircraft!H:H)</f>
        <v>Airplane Single Engine Land</v>
      </c>
      <c r="AS936" s="8" t="b">
        <f>OR((SUM(MasterTable[[#This Row],[ILS]:[PAR]]) = MasterTable[[#This Row],[APPR]]))</f>
        <v>1</v>
      </c>
      <c r="AT936" s="8" t="b">
        <f>NOT(ISBLANK(MasterTable[[#This Row],[Total
Time]]))</f>
        <v>1</v>
      </c>
    </row>
    <row r="937" spans="4:46" x14ac:dyDescent="0.3">
      <c r="D937" s="22">
        <v>43049</v>
      </c>
      <c r="E937" s="8" t="s">
        <v>17</v>
      </c>
      <c r="F937" s="8" t="s">
        <v>304</v>
      </c>
      <c r="G937" s="8" t="s">
        <v>304</v>
      </c>
      <c r="I937" s="10">
        <v>1</v>
      </c>
      <c r="J937" s="10">
        <v>0</v>
      </c>
      <c r="L937" s="10">
        <v>0</v>
      </c>
      <c r="M937" s="13">
        <v>0</v>
      </c>
      <c r="N937" s="13"/>
      <c r="O937" s="10">
        <v>0</v>
      </c>
      <c r="P937" s="10">
        <v>1</v>
      </c>
      <c r="Q937" s="14">
        <v>0</v>
      </c>
      <c r="R937" s="14">
        <v>0</v>
      </c>
      <c r="S937" s="10">
        <v>0</v>
      </c>
      <c r="T937" s="10">
        <v>0</v>
      </c>
      <c r="U937" s="14">
        <v>0</v>
      </c>
      <c r="V937" s="10"/>
      <c r="W937" s="11">
        <v>1</v>
      </c>
      <c r="X937" s="11">
        <v>1</v>
      </c>
      <c r="Y937" s="11">
        <v>0</v>
      </c>
      <c r="Z937" s="11">
        <v>0</v>
      </c>
      <c r="AA937" s="11">
        <f>MasterTable[[#This Row],[Landings
Night]]+MasterTable[[#This Row],[Landings
Day]]</f>
        <v>1</v>
      </c>
      <c r="AB937" s="10">
        <v>0</v>
      </c>
      <c r="AC937" s="10">
        <v>0</v>
      </c>
      <c r="AD937" s="11">
        <v>0</v>
      </c>
      <c r="AE937" s="21">
        <f>SUM(MasterTable[[#This Row],[ILS]:[PAR]])</f>
        <v>0</v>
      </c>
      <c r="AL937" s="11"/>
      <c r="AR937" s="140" t="str">
        <f>_xlfn.XLOOKUP(MasterTable[[#This Row],[Aircraft ID]],Aircraft!A:A,Aircraft!H:H)</f>
        <v>Glider</v>
      </c>
      <c r="AS937" s="8" t="b">
        <f>OR((SUM(MasterTable[[#This Row],[ILS]:[PAR]]) = MasterTable[[#This Row],[APPR]]))</f>
        <v>1</v>
      </c>
      <c r="AT937" s="8" t="b">
        <f>NOT(ISBLANK(MasterTable[[#This Row],[Total
Time]]))</f>
        <v>1</v>
      </c>
    </row>
    <row r="938" spans="4:46" x14ac:dyDescent="0.3">
      <c r="D938" s="22">
        <v>43049</v>
      </c>
      <c r="E938" s="8" t="s">
        <v>17</v>
      </c>
      <c r="F938" s="8" t="s">
        <v>304</v>
      </c>
      <c r="G938" s="8" t="s">
        <v>304</v>
      </c>
      <c r="I938" s="10">
        <v>0.5</v>
      </c>
      <c r="J938" s="10">
        <v>0</v>
      </c>
      <c r="L938" s="10">
        <v>0</v>
      </c>
      <c r="M938" s="13">
        <v>0</v>
      </c>
      <c r="N938" s="13"/>
      <c r="O938" s="10">
        <v>0</v>
      </c>
      <c r="P938" s="10">
        <v>0.5</v>
      </c>
      <c r="Q938" s="14">
        <v>0</v>
      </c>
      <c r="R938" s="14">
        <v>0</v>
      </c>
      <c r="S938" s="10">
        <v>0</v>
      </c>
      <c r="T938" s="10">
        <v>0</v>
      </c>
      <c r="U938" s="14">
        <v>0</v>
      </c>
      <c r="V938" s="10"/>
      <c r="W938" s="11">
        <v>1</v>
      </c>
      <c r="X938" s="11">
        <v>1</v>
      </c>
      <c r="Y938" s="11">
        <v>0</v>
      </c>
      <c r="Z938" s="11">
        <v>0</v>
      </c>
      <c r="AA938" s="11">
        <f>MasterTable[[#This Row],[Landings
Night]]+MasterTable[[#This Row],[Landings
Day]]</f>
        <v>1</v>
      </c>
      <c r="AB938" s="10">
        <v>0</v>
      </c>
      <c r="AC938" s="10">
        <v>0</v>
      </c>
      <c r="AD938" s="11">
        <v>0</v>
      </c>
      <c r="AE938" s="21">
        <f>SUM(MasterTable[[#This Row],[ILS]:[PAR]])</f>
        <v>0</v>
      </c>
      <c r="AL938" s="11"/>
      <c r="AR938" s="140" t="str">
        <f>_xlfn.XLOOKUP(MasterTable[[#This Row],[Aircraft ID]],Aircraft!A:A,Aircraft!H:H)</f>
        <v>Glider</v>
      </c>
      <c r="AS938" s="8" t="b">
        <f>OR((SUM(MasterTable[[#This Row],[ILS]:[PAR]]) = MasterTable[[#This Row],[APPR]]))</f>
        <v>1</v>
      </c>
      <c r="AT938" s="8" t="b">
        <f>NOT(ISBLANK(MasterTable[[#This Row],[Total
Time]]))</f>
        <v>1</v>
      </c>
    </row>
    <row r="939" spans="4:46" x14ac:dyDescent="0.3">
      <c r="D939" s="22">
        <v>43043</v>
      </c>
      <c r="E939" s="8" t="s">
        <v>14</v>
      </c>
      <c r="F939" s="8" t="s">
        <v>304</v>
      </c>
      <c r="G939" s="8" t="s">
        <v>304</v>
      </c>
      <c r="I939" s="10">
        <v>0.5</v>
      </c>
      <c r="J939" s="10">
        <v>0</v>
      </c>
      <c r="L939" s="10">
        <v>0</v>
      </c>
      <c r="M939" s="13">
        <v>0</v>
      </c>
      <c r="N939" s="13"/>
      <c r="O939" s="10">
        <v>0</v>
      </c>
      <c r="P939" s="10">
        <v>0.5</v>
      </c>
      <c r="Q939" s="14">
        <v>0</v>
      </c>
      <c r="R939" s="14">
        <v>0</v>
      </c>
      <c r="S939" s="10">
        <v>0</v>
      </c>
      <c r="T939" s="10">
        <v>0</v>
      </c>
      <c r="U939" s="14">
        <v>0</v>
      </c>
      <c r="V939" s="10"/>
      <c r="W939" s="11">
        <v>1</v>
      </c>
      <c r="X939" s="11">
        <v>1</v>
      </c>
      <c r="Y939" s="11">
        <v>0</v>
      </c>
      <c r="Z939" s="11">
        <v>0</v>
      </c>
      <c r="AA939" s="11">
        <f>MasterTable[[#This Row],[Landings
Night]]+MasterTable[[#This Row],[Landings
Day]]</f>
        <v>1</v>
      </c>
      <c r="AB939" s="10">
        <v>0</v>
      </c>
      <c r="AC939" s="10">
        <v>0</v>
      </c>
      <c r="AD939" s="11">
        <v>0</v>
      </c>
      <c r="AE939" s="21">
        <f>SUM(MasterTable[[#This Row],[ILS]:[PAR]])</f>
        <v>0</v>
      </c>
      <c r="AL939" s="11"/>
      <c r="AR939" s="140" t="str">
        <f>_xlfn.XLOOKUP(MasterTable[[#This Row],[Aircraft ID]],Aircraft!A:A,Aircraft!H:H)</f>
        <v>Glider</v>
      </c>
      <c r="AS939" s="8" t="b">
        <f>OR((SUM(MasterTable[[#This Row],[ILS]:[PAR]]) = MasterTable[[#This Row],[APPR]]))</f>
        <v>1</v>
      </c>
      <c r="AT939" s="8" t="b">
        <f>NOT(ISBLANK(MasterTable[[#This Row],[Total
Time]]))</f>
        <v>1</v>
      </c>
    </row>
    <row r="940" spans="4:46" x14ac:dyDescent="0.3">
      <c r="D940" s="22">
        <v>43022</v>
      </c>
      <c r="E940" s="8" t="s">
        <v>14</v>
      </c>
      <c r="F940" s="8" t="s">
        <v>304</v>
      </c>
      <c r="G940" s="8" t="s">
        <v>304</v>
      </c>
      <c r="I940" s="10">
        <v>0.3</v>
      </c>
      <c r="J940" s="10">
        <v>0</v>
      </c>
      <c r="L940" s="10">
        <v>0</v>
      </c>
      <c r="M940" s="13">
        <v>0</v>
      </c>
      <c r="N940" s="13"/>
      <c r="O940" s="10">
        <v>0</v>
      </c>
      <c r="P940" s="10">
        <v>0.3</v>
      </c>
      <c r="Q940" s="14">
        <v>0</v>
      </c>
      <c r="R940" s="14">
        <v>0</v>
      </c>
      <c r="S940" s="10">
        <v>0</v>
      </c>
      <c r="T940" s="10">
        <v>0</v>
      </c>
      <c r="U940" s="14">
        <v>0</v>
      </c>
      <c r="V940" s="10"/>
      <c r="W940" s="11">
        <v>1</v>
      </c>
      <c r="X940" s="11">
        <v>1</v>
      </c>
      <c r="Y940" s="11">
        <v>0</v>
      </c>
      <c r="Z940" s="11">
        <v>0</v>
      </c>
      <c r="AA940" s="11">
        <f>MasterTable[[#This Row],[Landings
Night]]+MasterTable[[#This Row],[Landings
Day]]</f>
        <v>1</v>
      </c>
      <c r="AB940" s="10">
        <v>0</v>
      </c>
      <c r="AC940" s="10">
        <v>0</v>
      </c>
      <c r="AD940" s="11">
        <v>0</v>
      </c>
      <c r="AE940" s="21">
        <f>SUM(MasterTable[[#This Row],[ILS]:[PAR]])</f>
        <v>0</v>
      </c>
      <c r="AL940" s="11"/>
      <c r="AR940" s="140" t="str">
        <f>_xlfn.XLOOKUP(MasterTable[[#This Row],[Aircraft ID]],Aircraft!A:A,Aircraft!H:H)</f>
        <v>Glider</v>
      </c>
      <c r="AS940" s="8" t="b">
        <f>OR((SUM(MasterTable[[#This Row],[ILS]:[PAR]]) = MasterTable[[#This Row],[APPR]]))</f>
        <v>1</v>
      </c>
      <c r="AT940" s="8" t="b">
        <f>NOT(ISBLANK(MasterTable[[#This Row],[Total
Time]]))</f>
        <v>1</v>
      </c>
    </row>
    <row r="941" spans="4:46" ht="28.8" x14ac:dyDescent="0.3">
      <c r="D941" s="22">
        <v>43015</v>
      </c>
      <c r="E941" s="8" t="s">
        <v>174</v>
      </c>
      <c r="F941" s="8" t="s">
        <v>202</v>
      </c>
      <c r="G941" s="8" t="s">
        <v>202</v>
      </c>
      <c r="I941" s="10">
        <v>1.1000000000000001</v>
      </c>
      <c r="J941" s="10">
        <v>1.1000000000000001</v>
      </c>
      <c r="L941" s="10">
        <v>0</v>
      </c>
      <c r="M941" s="13">
        <v>0</v>
      </c>
      <c r="N941" s="13"/>
      <c r="O941" s="10">
        <v>0</v>
      </c>
      <c r="P941" s="10">
        <v>0</v>
      </c>
      <c r="Q941" s="14">
        <v>0</v>
      </c>
      <c r="R941" s="14">
        <v>0</v>
      </c>
      <c r="S941" s="10">
        <v>0</v>
      </c>
      <c r="T941" s="10">
        <v>0</v>
      </c>
      <c r="U941" s="14">
        <v>0</v>
      </c>
      <c r="V941" s="10"/>
      <c r="W941" s="11">
        <v>1</v>
      </c>
      <c r="X941" s="11">
        <v>1</v>
      </c>
      <c r="Y941" s="11">
        <v>0</v>
      </c>
      <c r="Z941" s="11">
        <v>0</v>
      </c>
      <c r="AA941" s="11">
        <f>MasterTable[[#This Row],[Landings
Night]]+MasterTable[[#This Row],[Landings
Day]]</f>
        <v>1</v>
      </c>
      <c r="AB941" s="10">
        <v>0</v>
      </c>
      <c r="AC941" s="10">
        <v>0</v>
      </c>
      <c r="AD941" s="11">
        <v>0</v>
      </c>
      <c r="AE941" s="21">
        <f>SUM(MasterTable[[#This Row],[ILS]:[PAR]])</f>
        <v>0</v>
      </c>
      <c r="AL941" s="11"/>
      <c r="AR941" s="140" t="str">
        <f>_xlfn.XLOOKUP(MasterTable[[#This Row],[Aircraft ID]],Aircraft!A:A,Aircraft!H:H)</f>
        <v>Airplane Single Engine Land</v>
      </c>
      <c r="AS941" s="8" t="b">
        <f>OR((SUM(MasterTable[[#This Row],[ILS]:[PAR]]) = MasterTable[[#This Row],[APPR]]))</f>
        <v>1</v>
      </c>
      <c r="AT941" s="8" t="b">
        <f>NOT(ISBLANK(MasterTable[[#This Row],[Total
Time]]))</f>
        <v>1</v>
      </c>
    </row>
    <row r="942" spans="4:46" ht="28.8" x14ac:dyDescent="0.3">
      <c r="D942" s="22">
        <v>42983</v>
      </c>
      <c r="E942" s="8" t="s">
        <v>174</v>
      </c>
      <c r="F942" s="8" t="s">
        <v>202</v>
      </c>
      <c r="G942" s="8" t="s">
        <v>265</v>
      </c>
      <c r="I942" s="10">
        <v>1.3</v>
      </c>
      <c r="J942" s="10">
        <v>1.3</v>
      </c>
      <c r="L942" s="10">
        <v>0</v>
      </c>
      <c r="M942" s="13">
        <v>0</v>
      </c>
      <c r="N942" s="13"/>
      <c r="O942" s="10">
        <v>0</v>
      </c>
      <c r="P942" s="10">
        <v>0</v>
      </c>
      <c r="Q942" s="14">
        <v>0</v>
      </c>
      <c r="R942" s="14">
        <v>0</v>
      </c>
      <c r="S942" s="10">
        <v>0</v>
      </c>
      <c r="T942" s="10">
        <v>0</v>
      </c>
      <c r="U942" s="14">
        <v>0</v>
      </c>
      <c r="V942" s="10"/>
      <c r="W942" s="11">
        <v>2</v>
      </c>
      <c r="X942" s="11">
        <v>2</v>
      </c>
      <c r="Y942" s="11">
        <v>0</v>
      </c>
      <c r="Z942" s="11">
        <v>0</v>
      </c>
      <c r="AA942" s="11">
        <f>MasterTable[[#This Row],[Landings
Night]]+MasterTable[[#This Row],[Landings
Day]]</f>
        <v>2</v>
      </c>
      <c r="AB942" s="10">
        <v>0</v>
      </c>
      <c r="AC942" s="10">
        <v>0</v>
      </c>
      <c r="AD942" s="11">
        <v>0</v>
      </c>
      <c r="AE942" s="21">
        <f>SUM(MasterTable[[#This Row],[ILS]:[PAR]])</f>
        <v>0</v>
      </c>
      <c r="AL942" s="11"/>
      <c r="AR942" s="140" t="str">
        <f>_xlfn.XLOOKUP(MasterTable[[#This Row],[Aircraft ID]],Aircraft!A:A,Aircraft!H:H)</f>
        <v>Airplane Single Engine Land</v>
      </c>
      <c r="AS942" s="8" t="b">
        <f>OR((SUM(MasterTable[[#This Row],[ILS]:[PAR]]) = MasterTable[[#This Row],[APPR]]))</f>
        <v>1</v>
      </c>
      <c r="AT942" s="8" t="b">
        <f>NOT(ISBLANK(MasterTable[[#This Row],[Total
Time]]))</f>
        <v>1</v>
      </c>
    </row>
    <row r="943" spans="4:46" ht="28.8" x14ac:dyDescent="0.3">
      <c r="D943" s="22">
        <v>42971</v>
      </c>
      <c r="E943" s="8" t="s">
        <v>72</v>
      </c>
      <c r="F943" s="8" t="s">
        <v>319</v>
      </c>
      <c r="G943" s="8" t="s">
        <v>293</v>
      </c>
      <c r="H943" s="8" t="s">
        <v>320</v>
      </c>
      <c r="I943" s="10">
        <v>3.1</v>
      </c>
      <c r="J943" s="10">
        <v>3.1</v>
      </c>
      <c r="L943" s="10">
        <v>0</v>
      </c>
      <c r="M943" s="13">
        <v>0</v>
      </c>
      <c r="N943" s="13"/>
      <c r="O943" s="10">
        <v>0</v>
      </c>
      <c r="P943" s="10">
        <v>0</v>
      </c>
      <c r="Q943" s="14">
        <v>0</v>
      </c>
      <c r="R943" s="14">
        <v>0</v>
      </c>
      <c r="S943" s="10">
        <v>0</v>
      </c>
      <c r="T943" s="10">
        <v>3.1</v>
      </c>
      <c r="U943" s="14">
        <v>0</v>
      </c>
      <c r="V943" s="10"/>
      <c r="W943" s="11">
        <v>2</v>
      </c>
      <c r="X943" s="11">
        <v>2</v>
      </c>
      <c r="Y943" s="11">
        <v>0</v>
      </c>
      <c r="Z943" s="11">
        <v>0</v>
      </c>
      <c r="AA943" s="11">
        <f>MasterTable[[#This Row],[Landings
Night]]+MasterTable[[#This Row],[Landings
Day]]</f>
        <v>2</v>
      </c>
      <c r="AB943" s="10">
        <v>0</v>
      </c>
      <c r="AC943" s="10">
        <v>0</v>
      </c>
      <c r="AD943" s="11">
        <v>0</v>
      </c>
      <c r="AE943" s="21">
        <f>SUM(MasterTable[[#This Row],[ILS]:[PAR]])</f>
        <v>1</v>
      </c>
      <c r="AI943" s="11">
        <v>1</v>
      </c>
      <c r="AL943" s="11"/>
      <c r="AR943" s="140" t="str">
        <f>_xlfn.XLOOKUP(MasterTable[[#This Row],[Aircraft ID]],Aircraft!A:A,Aircraft!H:H)</f>
        <v>Airplane Multi Engine Land</v>
      </c>
      <c r="AS943" s="8" t="b">
        <f>OR((SUM(MasterTable[[#This Row],[ILS]:[PAR]]) = MasterTable[[#This Row],[APPR]]))</f>
        <v>1</v>
      </c>
      <c r="AT943" s="8" t="b">
        <f>NOT(ISBLANK(MasterTable[[#This Row],[Total
Time]]))</f>
        <v>1</v>
      </c>
    </row>
    <row r="944" spans="4:46" ht="28.8" x14ac:dyDescent="0.3">
      <c r="D944" s="22">
        <v>42970</v>
      </c>
      <c r="E944" s="8" t="s">
        <v>72</v>
      </c>
      <c r="F944" s="8" t="s">
        <v>293</v>
      </c>
      <c r="G944" s="8" t="s">
        <v>319</v>
      </c>
      <c r="H944" s="8" t="s">
        <v>321</v>
      </c>
      <c r="I944" s="10">
        <v>5.0999999999999996</v>
      </c>
      <c r="J944" s="10">
        <v>5.0999999999999996</v>
      </c>
      <c r="L944" s="10">
        <v>0</v>
      </c>
      <c r="M944" s="13">
        <v>0</v>
      </c>
      <c r="N944" s="13"/>
      <c r="O944" s="10">
        <v>0</v>
      </c>
      <c r="P944" s="10">
        <v>0</v>
      </c>
      <c r="Q944" s="14">
        <v>0</v>
      </c>
      <c r="R944" s="14">
        <v>0</v>
      </c>
      <c r="S944" s="10">
        <v>0</v>
      </c>
      <c r="T944" s="10">
        <v>5.0999999999999996</v>
      </c>
      <c r="U944" s="14">
        <v>0</v>
      </c>
      <c r="V944" s="10"/>
      <c r="W944" s="11">
        <v>2</v>
      </c>
      <c r="X944" s="11">
        <v>2</v>
      </c>
      <c r="Y944" s="11">
        <v>0</v>
      </c>
      <c r="Z944" s="11">
        <v>0</v>
      </c>
      <c r="AA944" s="11">
        <f>MasterTable[[#This Row],[Landings
Night]]+MasterTable[[#This Row],[Landings
Day]]</f>
        <v>2</v>
      </c>
      <c r="AB944" s="10">
        <v>0.4</v>
      </c>
      <c r="AD944" s="11">
        <v>0</v>
      </c>
      <c r="AE944" s="21">
        <f>SUM(MasterTable[[#This Row],[ILS]:[PAR]])</f>
        <v>2</v>
      </c>
      <c r="AF944" s="11">
        <v>1</v>
      </c>
      <c r="AI944" s="11">
        <v>1</v>
      </c>
      <c r="AL944" s="11"/>
      <c r="AR944" s="140" t="str">
        <f>_xlfn.XLOOKUP(MasterTable[[#This Row],[Aircraft ID]],Aircraft!A:A,Aircraft!H:H)</f>
        <v>Airplane Multi Engine Land</v>
      </c>
      <c r="AS944" s="8" t="b">
        <f>OR((SUM(MasterTable[[#This Row],[ILS]:[PAR]]) = MasterTable[[#This Row],[APPR]]))</f>
        <v>1</v>
      </c>
      <c r="AT944" s="8" t="b">
        <f>NOT(ISBLANK(MasterTable[[#This Row],[Total
Time]]))</f>
        <v>1</v>
      </c>
    </row>
    <row r="945" spans="4:46" ht="28.8" x14ac:dyDescent="0.3">
      <c r="D945" s="22">
        <v>42969</v>
      </c>
      <c r="E945" s="8" t="s">
        <v>72</v>
      </c>
      <c r="F945" s="8" t="s">
        <v>202</v>
      </c>
      <c r="G945" s="8" t="s">
        <v>293</v>
      </c>
      <c r="I945" s="10">
        <v>0.7</v>
      </c>
      <c r="J945" s="10">
        <v>0.7</v>
      </c>
      <c r="L945" s="10">
        <v>0</v>
      </c>
      <c r="M945" s="13">
        <v>0</v>
      </c>
      <c r="N945" s="13"/>
      <c r="O945" s="10">
        <v>0</v>
      </c>
      <c r="P945" s="10">
        <v>0</v>
      </c>
      <c r="Q945" s="14">
        <v>0</v>
      </c>
      <c r="R945" s="14">
        <v>0</v>
      </c>
      <c r="S945" s="10">
        <v>0</v>
      </c>
      <c r="T945" s="10">
        <v>0</v>
      </c>
      <c r="U945" s="14">
        <v>0</v>
      </c>
      <c r="V945" s="10"/>
      <c r="W945" s="11">
        <v>1</v>
      </c>
      <c r="X945" s="11">
        <v>1</v>
      </c>
      <c r="Y945" s="11">
        <v>0</v>
      </c>
      <c r="Z945" s="11">
        <v>0</v>
      </c>
      <c r="AA945" s="11">
        <f>MasterTable[[#This Row],[Landings
Night]]+MasterTable[[#This Row],[Landings
Day]]</f>
        <v>1</v>
      </c>
      <c r="AB945" s="10">
        <v>0</v>
      </c>
      <c r="AC945" s="10">
        <v>0.3</v>
      </c>
      <c r="AD945" s="11">
        <v>2</v>
      </c>
      <c r="AE945" s="21">
        <f>SUM(MasterTable[[#This Row],[ILS]:[PAR]])</f>
        <v>0</v>
      </c>
      <c r="AL945" s="11"/>
      <c r="AR945" s="140" t="str">
        <f>_xlfn.XLOOKUP(MasterTable[[#This Row],[Aircraft ID]],Aircraft!A:A,Aircraft!H:H)</f>
        <v>Airplane Multi Engine Land</v>
      </c>
      <c r="AS945" s="8" t="b">
        <f>OR((SUM(MasterTable[[#This Row],[ILS]:[PAR]]) = MasterTable[[#This Row],[APPR]]))</f>
        <v>1</v>
      </c>
      <c r="AT945" s="8" t="b">
        <f>NOT(ISBLANK(MasterTable[[#This Row],[Total
Time]]))</f>
        <v>1</v>
      </c>
    </row>
    <row r="946" spans="4:46" ht="28.8" x14ac:dyDescent="0.3">
      <c r="D946" s="22">
        <v>42968</v>
      </c>
      <c r="E946" s="8" t="s">
        <v>174</v>
      </c>
      <c r="F946" s="8" t="s">
        <v>322</v>
      </c>
      <c r="G946" s="8" t="s">
        <v>202</v>
      </c>
      <c r="H946" s="8" t="s">
        <v>323</v>
      </c>
      <c r="I946" s="10">
        <v>6.5</v>
      </c>
      <c r="J946" s="10">
        <v>6.5</v>
      </c>
      <c r="L946" s="10">
        <v>0</v>
      </c>
      <c r="M946" s="13">
        <v>0</v>
      </c>
      <c r="N946" s="13"/>
      <c r="O946" s="10">
        <v>0</v>
      </c>
      <c r="P946" s="10">
        <v>0</v>
      </c>
      <c r="Q946" s="14">
        <v>0</v>
      </c>
      <c r="R946" s="14">
        <v>0</v>
      </c>
      <c r="S946" s="10">
        <v>0</v>
      </c>
      <c r="T946" s="10">
        <v>6.5</v>
      </c>
      <c r="U946" s="14">
        <v>0</v>
      </c>
      <c r="V946" s="10"/>
      <c r="W946" s="11">
        <v>5</v>
      </c>
      <c r="X946" s="11">
        <v>5</v>
      </c>
      <c r="Y946" s="11">
        <v>0</v>
      </c>
      <c r="Z946" s="11">
        <v>0</v>
      </c>
      <c r="AA946" s="11">
        <f>MasterTable[[#This Row],[Landings
Night]]+MasterTable[[#This Row],[Landings
Day]]</f>
        <v>5</v>
      </c>
      <c r="AB946" s="10">
        <v>1</v>
      </c>
      <c r="AC946" s="10">
        <v>0</v>
      </c>
      <c r="AD946" s="11">
        <v>0</v>
      </c>
      <c r="AE946" s="21">
        <f>SUM(MasterTable[[#This Row],[ILS]:[PAR]])</f>
        <v>0</v>
      </c>
      <c r="AL946" s="11"/>
      <c r="AR946" s="140" t="str">
        <f>_xlfn.XLOOKUP(MasterTable[[#This Row],[Aircraft ID]],Aircraft!A:A,Aircraft!H:H)</f>
        <v>Airplane Single Engine Land</v>
      </c>
      <c r="AS946" s="8" t="b">
        <f>OR((SUM(MasterTable[[#This Row],[ILS]:[PAR]]) = MasterTable[[#This Row],[APPR]]))</f>
        <v>1</v>
      </c>
      <c r="AT946" s="8" t="b">
        <f>NOT(ISBLANK(MasterTable[[#This Row],[Total
Time]]))</f>
        <v>1</v>
      </c>
    </row>
    <row r="947" spans="4:46" ht="28.8" x14ac:dyDescent="0.3">
      <c r="D947" s="22">
        <v>42967</v>
      </c>
      <c r="E947" s="8" t="s">
        <v>174</v>
      </c>
      <c r="F947" s="8" t="s">
        <v>202</v>
      </c>
      <c r="G947" s="8" t="s">
        <v>322</v>
      </c>
      <c r="H947" s="8" t="s">
        <v>324</v>
      </c>
      <c r="I947" s="10">
        <v>6.9</v>
      </c>
      <c r="J947" s="10">
        <v>6.9</v>
      </c>
      <c r="L947" s="10">
        <v>0</v>
      </c>
      <c r="M947" s="13">
        <v>0</v>
      </c>
      <c r="N947" s="13"/>
      <c r="O947" s="10">
        <v>0</v>
      </c>
      <c r="P947" s="10">
        <v>0</v>
      </c>
      <c r="Q947" s="14">
        <v>0</v>
      </c>
      <c r="R947" s="14">
        <v>0</v>
      </c>
      <c r="S947" s="10">
        <v>3.5</v>
      </c>
      <c r="T947" s="10">
        <v>6.9</v>
      </c>
      <c r="U947" s="14">
        <v>0</v>
      </c>
      <c r="V947" s="10"/>
      <c r="W947" s="11">
        <v>2</v>
      </c>
      <c r="X947" s="11">
        <v>2</v>
      </c>
      <c r="Y947" s="11">
        <v>2</v>
      </c>
      <c r="Z947" s="11">
        <v>2</v>
      </c>
      <c r="AA947" s="11">
        <f>MasterTable[[#This Row],[Landings
Night]]+MasterTable[[#This Row],[Landings
Day]]</f>
        <v>4</v>
      </c>
      <c r="AB947" s="10">
        <v>1</v>
      </c>
      <c r="AC947" s="10">
        <v>0</v>
      </c>
      <c r="AD947" s="11">
        <v>0</v>
      </c>
      <c r="AE947" s="21">
        <f>SUM(MasterTable[[#This Row],[ILS]:[PAR]])</f>
        <v>0</v>
      </c>
      <c r="AL947" s="11"/>
      <c r="AR947" s="140" t="str">
        <f>_xlfn.XLOOKUP(MasterTable[[#This Row],[Aircraft ID]],Aircraft!A:A,Aircraft!H:H)</f>
        <v>Airplane Single Engine Land</v>
      </c>
      <c r="AS947" s="8" t="b">
        <f>OR((SUM(MasterTable[[#This Row],[ILS]:[PAR]]) = MasterTable[[#This Row],[APPR]]))</f>
        <v>1</v>
      </c>
      <c r="AT947" s="8" t="b">
        <f>NOT(ISBLANK(MasterTable[[#This Row],[Total
Time]]))</f>
        <v>1</v>
      </c>
    </row>
    <row r="948" spans="4:46" ht="28.8" x14ac:dyDescent="0.3">
      <c r="D948" s="22">
        <v>42962</v>
      </c>
      <c r="E948" s="8" t="s">
        <v>72</v>
      </c>
      <c r="F948" s="8" t="s">
        <v>293</v>
      </c>
      <c r="G948" s="8" t="s">
        <v>295</v>
      </c>
      <c r="I948" s="10">
        <v>3.1</v>
      </c>
      <c r="J948" s="10">
        <v>3.1</v>
      </c>
      <c r="M948" s="13">
        <v>0</v>
      </c>
      <c r="N948" s="13"/>
      <c r="O948" s="10">
        <v>0</v>
      </c>
      <c r="P948" s="10">
        <v>0</v>
      </c>
      <c r="Q948" s="14">
        <v>0</v>
      </c>
      <c r="R948" s="14">
        <v>0</v>
      </c>
      <c r="T948" s="10">
        <v>3.1</v>
      </c>
      <c r="U948" s="14">
        <v>0</v>
      </c>
      <c r="V948" s="10"/>
      <c r="W948" s="11">
        <v>2</v>
      </c>
      <c r="X948" s="11">
        <v>2</v>
      </c>
      <c r="Y948" s="11">
        <v>0</v>
      </c>
      <c r="Z948" s="11">
        <v>0</v>
      </c>
      <c r="AA948" s="11">
        <f>MasterTable[[#This Row],[Landings
Night]]+MasterTable[[#This Row],[Landings
Day]]</f>
        <v>2</v>
      </c>
      <c r="AB948" s="10">
        <v>0</v>
      </c>
      <c r="AC948" s="10">
        <v>0.2</v>
      </c>
      <c r="AD948" s="11">
        <v>0</v>
      </c>
      <c r="AE948" s="21">
        <f>SUM(MasterTable[[#This Row],[ILS]:[PAR]])</f>
        <v>1</v>
      </c>
      <c r="AF948" s="11">
        <v>1</v>
      </c>
      <c r="AL948" s="11"/>
      <c r="AR948" s="140" t="str">
        <f>_xlfn.XLOOKUP(MasterTable[[#This Row],[Aircraft ID]],Aircraft!A:A,Aircraft!H:H)</f>
        <v>Airplane Multi Engine Land</v>
      </c>
      <c r="AS948" s="8" t="b">
        <f>OR((SUM(MasterTable[[#This Row],[ILS]:[PAR]]) = MasterTable[[#This Row],[APPR]]))</f>
        <v>1</v>
      </c>
      <c r="AT948" s="8" t="b">
        <f>NOT(ISBLANK(MasterTable[[#This Row],[Total
Time]]))</f>
        <v>1</v>
      </c>
    </row>
    <row r="949" spans="4:46" ht="28.8" x14ac:dyDescent="0.3">
      <c r="D949" s="22">
        <v>42958</v>
      </c>
      <c r="E949" s="8" t="s">
        <v>20</v>
      </c>
      <c r="F949" s="8" t="s">
        <v>325</v>
      </c>
      <c r="G949" s="8" t="s">
        <v>202</v>
      </c>
      <c r="I949" s="10">
        <v>0.8</v>
      </c>
      <c r="J949" s="10">
        <v>0.8</v>
      </c>
      <c r="L949" s="10">
        <v>0</v>
      </c>
      <c r="M949" s="13">
        <v>0</v>
      </c>
      <c r="N949" s="13"/>
      <c r="O949" s="10">
        <v>0</v>
      </c>
      <c r="P949" s="10">
        <v>0</v>
      </c>
      <c r="Q949" s="14">
        <v>0</v>
      </c>
      <c r="R949" s="14">
        <v>0</v>
      </c>
      <c r="S949" s="10">
        <v>0</v>
      </c>
      <c r="T949" s="10">
        <v>0.8</v>
      </c>
      <c r="U949" s="14">
        <v>0</v>
      </c>
      <c r="V949" s="10"/>
      <c r="W949" s="11">
        <v>1</v>
      </c>
      <c r="X949" s="11">
        <v>1</v>
      </c>
      <c r="Y949" s="11">
        <v>0</v>
      </c>
      <c r="Z949" s="11">
        <v>0</v>
      </c>
      <c r="AA949" s="11">
        <f>MasterTable[[#This Row],[Landings
Night]]+MasterTable[[#This Row],[Landings
Day]]</f>
        <v>1</v>
      </c>
      <c r="AB949" s="10">
        <v>0</v>
      </c>
      <c r="AC949" s="10">
        <v>0</v>
      </c>
      <c r="AD949" s="11">
        <v>0</v>
      </c>
      <c r="AE949" s="21">
        <f>SUM(MasterTable[[#This Row],[ILS]:[PAR]])</f>
        <v>0</v>
      </c>
      <c r="AL949" s="11"/>
      <c r="AR949" s="140" t="str">
        <f>_xlfn.XLOOKUP(MasterTable[[#This Row],[Aircraft ID]],Aircraft!A:A,Aircraft!H:H)</f>
        <v>Airplane Single Engine Land</v>
      </c>
      <c r="AS949" s="8" t="b">
        <f>OR((SUM(MasterTable[[#This Row],[ILS]:[PAR]]) = MasterTable[[#This Row],[APPR]]))</f>
        <v>1</v>
      </c>
      <c r="AT949" s="8" t="b">
        <f>NOT(ISBLANK(MasterTable[[#This Row],[Total
Time]]))</f>
        <v>1</v>
      </c>
    </row>
    <row r="950" spans="4:46" ht="28.8" x14ac:dyDescent="0.3">
      <c r="D950" s="22">
        <v>42958</v>
      </c>
      <c r="E950" s="8" t="s">
        <v>20</v>
      </c>
      <c r="F950" s="8" t="s">
        <v>325</v>
      </c>
      <c r="G950" s="8" t="s">
        <v>326</v>
      </c>
      <c r="I950" s="10">
        <v>2.1</v>
      </c>
      <c r="J950" s="10">
        <v>2.1</v>
      </c>
      <c r="L950" s="10">
        <v>0</v>
      </c>
      <c r="M950" s="13">
        <v>0</v>
      </c>
      <c r="N950" s="13"/>
      <c r="O950" s="10">
        <v>0</v>
      </c>
      <c r="P950" s="10">
        <v>0</v>
      </c>
      <c r="Q950" s="14">
        <v>0</v>
      </c>
      <c r="R950" s="14">
        <v>0</v>
      </c>
      <c r="S950" s="10">
        <v>0</v>
      </c>
      <c r="T950" s="10">
        <v>0</v>
      </c>
      <c r="U950" s="14">
        <v>0</v>
      </c>
      <c r="V950" s="10"/>
      <c r="W950" s="11">
        <v>4</v>
      </c>
      <c r="X950" s="11">
        <v>4</v>
      </c>
      <c r="Y950" s="11">
        <v>0</v>
      </c>
      <c r="Z950" s="11">
        <v>0</v>
      </c>
      <c r="AA950" s="11">
        <f>MasterTable[[#This Row],[Landings
Night]]+MasterTable[[#This Row],[Landings
Day]]</f>
        <v>4</v>
      </c>
      <c r="AB950" s="10">
        <v>0</v>
      </c>
      <c r="AC950" s="10">
        <v>0</v>
      </c>
      <c r="AD950" s="11">
        <v>0</v>
      </c>
      <c r="AE950" s="21">
        <f>SUM(MasterTable[[#This Row],[ILS]:[PAR]])</f>
        <v>0</v>
      </c>
      <c r="AL950" s="11"/>
      <c r="AP950" s="27" t="b">
        <v>1</v>
      </c>
      <c r="AR950" s="140" t="str">
        <f>_xlfn.XLOOKUP(MasterTable[[#This Row],[Aircraft ID]],Aircraft!A:A,Aircraft!H:H)</f>
        <v>Airplane Single Engine Land</v>
      </c>
      <c r="AS950" s="8" t="b">
        <f>OR((SUM(MasterTable[[#This Row],[ILS]:[PAR]]) = MasterTable[[#This Row],[APPR]]))</f>
        <v>1</v>
      </c>
      <c r="AT950" s="8" t="b">
        <f>NOT(ISBLANK(MasterTable[[#This Row],[Total
Time]]))</f>
        <v>1</v>
      </c>
    </row>
    <row r="951" spans="4:46" ht="28.8" x14ac:dyDescent="0.3">
      <c r="D951" s="22">
        <v>42957</v>
      </c>
      <c r="E951" s="8" t="s">
        <v>20</v>
      </c>
      <c r="F951" s="8" t="s">
        <v>202</v>
      </c>
      <c r="G951" s="8" t="s">
        <v>325</v>
      </c>
      <c r="I951" s="10">
        <v>2.2000000000000002</v>
      </c>
      <c r="J951" s="10">
        <v>2.2000000000000002</v>
      </c>
      <c r="L951" s="10">
        <v>0</v>
      </c>
      <c r="M951" s="13">
        <v>0</v>
      </c>
      <c r="N951" s="13"/>
      <c r="O951" s="10">
        <v>0</v>
      </c>
      <c r="P951" s="10">
        <v>0</v>
      </c>
      <c r="Q951" s="14">
        <v>0</v>
      </c>
      <c r="R951" s="14">
        <v>0</v>
      </c>
      <c r="S951" s="10">
        <v>0</v>
      </c>
      <c r="T951" s="10">
        <v>2.2000000000000002</v>
      </c>
      <c r="U951" s="14">
        <v>0</v>
      </c>
      <c r="V951" s="10"/>
      <c r="W951" s="11">
        <v>6</v>
      </c>
      <c r="X951" s="11">
        <v>6</v>
      </c>
      <c r="Y951" s="11">
        <v>0</v>
      </c>
      <c r="Z951" s="11">
        <v>0</v>
      </c>
      <c r="AA951" s="11">
        <f>MasterTable[[#This Row],[Landings
Night]]+MasterTable[[#This Row],[Landings
Day]]</f>
        <v>6</v>
      </c>
      <c r="AB951" s="10">
        <v>0</v>
      </c>
      <c r="AC951" s="10">
        <v>0</v>
      </c>
      <c r="AD951" s="11">
        <v>0</v>
      </c>
      <c r="AE951" s="21">
        <f>SUM(MasterTable[[#This Row],[ILS]:[PAR]])</f>
        <v>0</v>
      </c>
      <c r="AL951" s="11"/>
      <c r="AR951" s="140" t="str">
        <f>_xlfn.XLOOKUP(MasterTable[[#This Row],[Aircraft ID]],Aircraft!A:A,Aircraft!H:H)</f>
        <v>Airplane Single Engine Land</v>
      </c>
      <c r="AS951" s="8" t="b">
        <f>OR((SUM(MasterTable[[#This Row],[ILS]:[PAR]]) = MasterTable[[#This Row],[APPR]]))</f>
        <v>1</v>
      </c>
      <c r="AT951" s="8" t="b">
        <f>NOT(ISBLANK(MasterTable[[#This Row],[Total
Time]]))</f>
        <v>1</v>
      </c>
    </row>
    <row r="952" spans="4:46" ht="28.8" x14ac:dyDescent="0.3">
      <c r="D952" s="22">
        <v>42956</v>
      </c>
      <c r="E952" s="8" t="s">
        <v>174</v>
      </c>
      <c r="F952" s="8" t="s">
        <v>202</v>
      </c>
      <c r="G952" s="8" t="s">
        <v>202</v>
      </c>
      <c r="I952" s="10">
        <v>1</v>
      </c>
      <c r="J952" s="10">
        <v>1</v>
      </c>
      <c r="L952" s="10">
        <v>0</v>
      </c>
      <c r="M952" s="13">
        <v>0</v>
      </c>
      <c r="N952" s="13"/>
      <c r="O952" s="10">
        <v>0</v>
      </c>
      <c r="P952" s="10">
        <v>1</v>
      </c>
      <c r="Q952" s="14">
        <v>0</v>
      </c>
      <c r="R952" s="14">
        <v>0</v>
      </c>
      <c r="S952" s="10">
        <v>0</v>
      </c>
      <c r="T952" s="10">
        <v>0</v>
      </c>
      <c r="U952" s="14">
        <v>0</v>
      </c>
      <c r="V952" s="10"/>
      <c r="W952" s="11">
        <v>1</v>
      </c>
      <c r="X952" s="11">
        <v>1</v>
      </c>
      <c r="Y952" s="11">
        <v>0</v>
      </c>
      <c r="Z952" s="11">
        <v>0</v>
      </c>
      <c r="AA952" s="11">
        <f>MasterTable[[#This Row],[Landings
Night]]+MasterTable[[#This Row],[Landings
Day]]</f>
        <v>1</v>
      </c>
      <c r="AB952" s="10">
        <v>0</v>
      </c>
      <c r="AC952" s="10">
        <v>0</v>
      </c>
      <c r="AD952" s="11">
        <v>0</v>
      </c>
      <c r="AE952" s="21">
        <f>SUM(MasterTable[[#This Row],[ILS]:[PAR]])</f>
        <v>0</v>
      </c>
      <c r="AL952" s="11"/>
      <c r="AR952" s="140" t="str">
        <f>_xlfn.XLOOKUP(MasterTable[[#This Row],[Aircraft ID]],Aircraft!A:A,Aircraft!H:H)</f>
        <v>Airplane Single Engine Land</v>
      </c>
      <c r="AS952" s="8" t="b">
        <f>OR((SUM(MasterTable[[#This Row],[ILS]:[PAR]]) = MasterTable[[#This Row],[APPR]]))</f>
        <v>1</v>
      </c>
      <c r="AT952" s="8" t="b">
        <f>NOT(ISBLANK(MasterTable[[#This Row],[Total
Time]]))</f>
        <v>1</v>
      </c>
    </row>
    <row r="953" spans="4:46" ht="28.8" x14ac:dyDescent="0.3">
      <c r="D953" s="22">
        <v>42955</v>
      </c>
      <c r="E953" s="8" t="s">
        <v>20</v>
      </c>
      <c r="F953" s="8" t="s">
        <v>202</v>
      </c>
      <c r="G953" s="8" t="s">
        <v>202</v>
      </c>
      <c r="I953" s="10">
        <v>1</v>
      </c>
      <c r="J953" s="10">
        <v>1</v>
      </c>
      <c r="L953" s="10">
        <v>0</v>
      </c>
      <c r="M953" s="13">
        <v>0</v>
      </c>
      <c r="N953" s="13"/>
      <c r="O953" s="10">
        <v>0</v>
      </c>
      <c r="P953" s="10">
        <v>1</v>
      </c>
      <c r="Q953" s="14">
        <v>0</v>
      </c>
      <c r="R953" s="14">
        <v>0</v>
      </c>
      <c r="S953" s="10">
        <v>0</v>
      </c>
      <c r="T953" s="10">
        <v>0</v>
      </c>
      <c r="U953" s="14">
        <v>0</v>
      </c>
      <c r="V953" s="10"/>
      <c r="W953" s="11">
        <v>4</v>
      </c>
      <c r="X953" s="11">
        <v>4</v>
      </c>
      <c r="Y953" s="11">
        <v>0</v>
      </c>
      <c r="Z953" s="11">
        <v>0</v>
      </c>
      <c r="AA953" s="11">
        <f>MasterTable[[#This Row],[Landings
Night]]+MasterTable[[#This Row],[Landings
Day]]</f>
        <v>4</v>
      </c>
      <c r="AB953" s="10">
        <v>0</v>
      </c>
      <c r="AC953" s="10">
        <v>0</v>
      </c>
      <c r="AD953" s="11">
        <v>0</v>
      </c>
      <c r="AE953" s="21">
        <f>SUM(MasterTable[[#This Row],[ILS]:[PAR]])</f>
        <v>0</v>
      </c>
      <c r="AL953" s="11"/>
      <c r="AR953" s="140" t="str">
        <f>_xlfn.XLOOKUP(MasterTable[[#This Row],[Aircraft ID]],Aircraft!A:A,Aircraft!H:H)</f>
        <v>Airplane Single Engine Land</v>
      </c>
      <c r="AS953" s="8" t="b">
        <f>OR((SUM(MasterTable[[#This Row],[ILS]:[PAR]]) = MasterTable[[#This Row],[APPR]]))</f>
        <v>1</v>
      </c>
      <c r="AT953" s="8" t="b">
        <f>NOT(ISBLANK(MasterTable[[#This Row],[Total
Time]]))</f>
        <v>1</v>
      </c>
    </row>
    <row r="954" spans="4:46" ht="28.8" x14ac:dyDescent="0.3">
      <c r="D954" s="22">
        <v>42954</v>
      </c>
      <c r="E954" s="8" t="s">
        <v>20</v>
      </c>
      <c r="F954" s="8" t="s">
        <v>202</v>
      </c>
      <c r="G954" s="8" t="s">
        <v>202</v>
      </c>
      <c r="I954" s="10">
        <v>0.6</v>
      </c>
      <c r="J954" s="10">
        <v>0.6</v>
      </c>
      <c r="L954" s="10">
        <v>0</v>
      </c>
      <c r="M954" s="13">
        <v>0</v>
      </c>
      <c r="N954" s="13"/>
      <c r="O954" s="10">
        <v>0</v>
      </c>
      <c r="P954" s="10">
        <v>0.6</v>
      </c>
      <c r="Q954" s="14">
        <v>0</v>
      </c>
      <c r="R954" s="14">
        <v>0</v>
      </c>
      <c r="S954" s="10">
        <v>0</v>
      </c>
      <c r="T954" s="10">
        <v>0</v>
      </c>
      <c r="U954" s="14">
        <v>0</v>
      </c>
      <c r="V954" s="10"/>
      <c r="W954" s="11">
        <v>1</v>
      </c>
      <c r="X954" s="11">
        <v>1</v>
      </c>
      <c r="Y954" s="11">
        <v>0</v>
      </c>
      <c r="Z954" s="11">
        <v>0</v>
      </c>
      <c r="AA954" s="11">
        <f>MasterTable[[#This Row],[Landings
Night]]+MasterTable[[#This Row],[Landings
Day]]</f>
        <v>1</v>
      </c>
      <c r="AB954" s="10">
        <v>0</v>
      </c>
      <c r="AC954" s="10">
        <v>0</v>
      </c>
      <c r="AD954" s="11">
        <v>0</v>
      </c>
      <c r="AE954" s="21">
        <f>SUM(MasterTable[[#This Row],[ILS]:[PAR]])</f>
        <v>0</v>
      </c>
      <c r="AL954" s="11"/>
      <c r="AR954" s="140" t="str">
        <f>_xlfn.XLOOKUP(MasterTable[[#This Row],[Aircraft ID]],Aircraft!A:A,Aircraft!H:H)</f>
        <v>Airplane Single Engine Land</v>
      </c>
      <c r="AS954" s="8" t="b">
        <f>OR((SUM(MasterTable[[#This Row],[ILS]:[PAR]]) = MasterTable[[#This Row],[APPR]]))</f>
        <v>1</v>
      </c>
      <c r="AT954" s="8" t="b">
        <f>NOT(ISBLANK(MasterTable[[#This Row],[Total
Time]]))</f>
        <v>1</v>
      </c>
    </row>
    <row r="955" spans="4:46" ht="28.8" x14ac:dyDescent="0.3">
      <c r="D955" s="22">
        <v>42954</v>
      </c>
      <c r="E955" s="8" t="s">
        <v>174</v>
      </c>
      <c r="F955" s="8" t="s">
        <v>202</v>
      </c>
      <c r="G955" s="8" t="s">
        <v>202</v>
      </c>
      <c r="I955" s="10">
        <v>0.8</v>
      </c>
      <c r="J955" s="10">
        <v>0.8</v>
      </c>
      <c r="L955" s="10">
        <v>0</v>
      </c>
      <c r="M955" s="13">
        <v>0</v>
      </c>
      <c r="N955" s="13"/>
      <c r="O955" s="10">
        <v>0</v>
      </c>
      <c r="P955" s="10">
        <v>0</v>
      </c>
      <c r="Q955" s="14">
        <v>0</v>
      </c>
      <c r="R955" s="14">
        <v>0</v>
      </c>
      <c r="S955" s="10">
        <v>0</v>
      </c>
      <c r="T955" s="10">
        <v>0</v>
      </c>
      <c r="U955" s="14">
        <v>0</v>
      </c>
      <c r="V955" s="10"/>
      <c r="W955" s="11">
        <v>2</v>
      </c>
      <c r="X955" s="11">
        <v>2</v>
      </c>
      <c r="Y955" s="11">
        <v>0</v>
      </c>
      <c r="Z955" s="11">
        <v>0</v>
      </c>
      <c r="AA955" s="11">
        <f>MasterTable[[#This Row],[Landings
Night]]+MasterTable[[#This Row],[Landings
Day]]</f>
        <v>2</v>
      </c>
      <c r="AB955" s="10">
        <v>0</v>
      </c>
      <c r="AC955" s="10">
        <v>0</v>
      </c>
      <c r="AD955" s="11">
        <v>0</v>
      </c>
      <c r="AE955" s="21">
        <f>SUM(MasterTable[[#This Row],[ILS]:[PAR]])</f>
        <v>0</v>
      </c>
      <c r="AL955" s="11"/>
      <c r="AR955" s="140" t="str">
        <f>_xlfn.XLOOKUP(MasterTable[[#This Row],[Aircraft ID]],Aircraft!A:A,Aircraft!H:H)</f>
        <v>Airplane Single Engine Land</v>
      </c>
      <c r="AS955" s="8" t="b">
        <f>OR((SUM(MasterTable[[#This Row],[ILS]:[PAR]]) = MasterTable[[#This Row],[APPR]]))</f>
        <v>1</v>
      </c>
      <c r="AT955" s="8" t="b">
        <f>NOT(ISBLANK(MasterTable[[#This Row],[Total
Time]]))</f>
        <v>1</v>
      </c>
    </row>
    <row r="956" spans="4:46" ht="28.8" x14ac:dyDescent="0.3">
      <c r="D956" s="22">
        <v>42953</v>
      </c>
      <c r="E956" s="8" t="s">
        <v>174</v>
      </c>
      <c r="F956" s="8" t="s">
        <v>202</v>
      </c>
      <c r="G956" s="8" t="s">
        <v>202</v>
      </c>
      <c r="I956" s="10">
        <v>0.9</v>
      </c>
      <c r="J956" s="10">
        <v>0.9</v>
      </c>
      <c r="L956" s="10">
        <v>0</v>
      </c>
      <c r="M956" s="13">
        <v>0</v>
      </c>
      <c r="N956" s="13"/>
      <c r="O956" s="10">
        <v>0</v>
      </c>
      <c r="P956" s="10">
        <v>0</v>
      </c>
      <c r="Q956" s="14">
        <v>0</v>
      </c>
      <c r="R956" s="14">
        <v>0</v>
      </c>
      <c r="S956" s="10">
        <v>0</v>
      </c>
      <c r="T956" s="10">
        <v>0</v>
      </c>
      <c r="U956" s="14">
        <v>0</v>
      </c>
      <c r="V956" s="10"/>
      <c r="W956" s="11">
        <v>4</v>
      </c>
      <c r="X956" s="11">
        <v>4</v>
      </c>
      <c r="Y956" s="11">
        <v>0</v>
      </c>
      <c r="Z956" s="11">
        <v>0</v>
      </c>
      <c r="AA956" s="11">
        <f>MasterTable[[#This Row],[Landings
Night]]+MasterTable[[#This Row],[Landings
Day]]</f>
        <v>4</v>
      </c>
      <c r="AB956" s="10">
        <v>0</v>
      </c>
      <c r="AC956" s="10">
        <v>0</v>
      </c>
      <c r="AD956" s="11">
        <v>0</v>
      </c>
      <c r="AE956" s="21">
        <f>SUM(MasterTable[[#This Row],[ILS]:[PAR]])</f>
        <v>0</v>
      </c>
      <c r="AL956" s="11"/>
      <c r="AR956" s="140" t="str">
        <f>_xlfn.XLOOKUP(MasterTable[[#This Row],[Aircraft ID]],Aircraft!A:A,Aircraft!H:H)</f>
        <v>Airplane Single Engine Land</v>
      </c>
      <c r="AS956" s="8" t="b">
        <f>OR((SUM(MasterTable[[#This Row],[ILS]:[PAR]]) = MasterTable[[#This Row],[APPR]]))</f>
        <v>1</v>
      </c>
      <c r="AT956" s="8" t="b">
        <f>NOT(ISBLANK(MasterTable[[#This Row],[Total
Time]]))</f>
        <v>1</v>
      </c>
    </row>
    <row r="957" spans="4:46" ht="28.8" x14ac:dyDescent="0.3">
      <c r="D957" s="22">
        <v>42951</v>
      </c>
      <c r="E957" s="8" t="s">
        <v>174</v>
      </c>
      <c r="F957" s="8" t="s">
        <v>202</v>
      </c>
      <c r="G957" s="8" t="s">
        <v>327</v>
      </c>
      <c r="H957" s="8" t="s">
        <v>328</v>
      </c>
      <c r="I957" s="10">
        <v>2.6</v>
      </c>
      <c r="J957" s="10">
        <v>2.6</v>
      </c>
      <c r="L957" s="10">
        <v>0</v>
      </c>
      <c r="M957" s="13">
        <v>0</v>
      </c>
      <c r="N957" s="13"/>
      <c r="O957" s="10">
        <v>0</v>
      </c>
      <c r="P957" s="10">
        <v>0</v>
      </c>
      <c r="Q957" s="14">
        <v>0</v>
      </c>
      <c r="R957" s="14">
        <v>0</v>
      </c>
      <c r="S957" s="10">
        <v>2.6</v>
      </c>
      <c r="T957" s="10">
        <v>0</v>
      </c>
      <c r="U957" s="14">
        <v>0</v>
      </c>
      <c r="V957" s="10"/>
      <c r="W957" s="11">
        <v>0</v>
      </c>
      <c r="X957" s="11">
        <v>0</v>
      </c>
      <c r="Y957" s="11">
        <v>10</v>
      </c>
      <c r="Z957" s="11">
        <v>10</v>
      </c>
      <c r="AA957" s="11">
        <f>MasterTable[[#This Row],[Landings
Night]]+MasterTable[[#This Row],[Landings
Day]]</f>
        <v>10</v>
      </c>
      <c r="AB957" s="10">
        <v>0.3</v>
      </c>
      <c r="AC957" s="10">
        <v>0</v>
      </c>
      <c r="AD957" s="11">
        <v>0</v>
      </c>
      <c r="AE957" s="21">
        <f>SUM(MasterTable[[#This Row],[ILS]:[PAR]])</f>
        <v>1</v>
      </c>
      <c r="AH957" s="11">
        <v>1</v>
      </c>
      <c r="AL957" s="11"/>
      <c r="AR957" s="140" t="str">
        <f>_xlfn.XLOOKUP(MasterTable[[#This Row],[Aircraft ID]],Aircraft!A:A,Aircraft!H:H)</f>
        <v>Airplane Single Engine Land</v>
      </c>
      <c r="AS957" s="8" t="b">
        <f>OR((SUM(MasterTable[[#This Row],[ILS]:[PAR]]) = MasterTable[[#This Row],[APPR]]))</f>
        <v>1</v>
      </c>
      <c r="AT957" s="8" t="b">
        <f>NOT(ISBLANK(MasterTable[[#This Row],[Total
Time]]))</f>
        <v>1</v>
      </c>
    </row>
    <row r="958" spans="4:46" ht="28.8" x14ac:dyDescent="0.3">
      <c r="D958" s="22">
        <v>42950</v>
      </c>
      <c r="E958" s="8" t="s">
        <v>20</v>
      </c>
      <c r="F958" s="8" t="s">
        <v>202</v>
      </c>
      <c r="G958" s="8" t="s">
        <v>202</v>
      </c>
      <c r="I958" s="10">
        <v>1</v>
      </c>
      <c r="J958" s="10">
        <v>1</v>
      </c>
      <c r="L958" s="10">
        <v>0</v>
      </c>
      <c r="M958" s="13">
        <v>0</v>
      </c>
      <c r="N958" s="13"/>
      <c r="O958" s="10">
        <v>0</v>
      </c>
      <c r="P958" s="10">
        <v>1</v>
      </c>
      <c r="Q958" s="14">
        <v>0</v>
      </c>
      <c r="R958" s="14">
        <v>0</v>
      </c>
      <c r="S958" s="10">
        <v>0</v>
      </c>
      <c r="T958" s="10">
        <v>0</v>
      </c>
      <c r="U958" s="14">
        <v>0</v>
      </c>
      <c r="V958" s="10"/>
      <c r="W958" s="11">
        <v>2</v>
      </c>
      <c r="X958" s="11">
        <v>2</v>
      </c>
      <c r="Y958" s="11">
        <v>0</v>
      </c>
      <c r="Z958" s="11">
        <v>0</v>
      </c>
      <c r="AA958" s="11">
        <f>MasterTable[[#This Row],[Landings
Night]]+MasterTable[[#This Row],[Landings
Day]]</f>
        <v>2</v>
      </c>
      <c r="AB958" s="10">
        <v>0</v>
      </c>
      <c r="AC958" s="10">
        <v>0</v>
      </c>
      <c r="AD958" s="11">
        <v>0</v>
      </c>
      <c r="AE958" s="21">
        <f>SUM(MasterTable[[#This Row],[ILS]:[PAR]])</f>
        <v>0</v>
      </c>
      <c r="AL958" s="11"/>
      <c r="AR958" s="140" t="str">
        <f>_xlfn.XLOOKUP(MasterTable[[#This Row],[Aircraft ID]],Aircraft!A:A,Aircraft!H:H)</f>
        <v>Airplane Single Engine Land</v>
      </c>
      <c r="AS958" s="8" t="b">
        <f>OR((SUM(MasterTable[[#This Row],[ILS]:[PAR]]) = MasterTable[[#This Row],[APPR]]))</f>
        <v>1</v>
      </c>
      <c r="AT958" s="8" t="b">
        <f>NOT(ISBLANK(MasterTable[[#This Row],[Total
Time]]))</f>
        <v>1</v>
      </c>
    </row>
    <row r="959" spans="4:46" ht="28.8" x14ac:dyDescent="0.3">
      <c r="D959" s="22">
        <v>42949</v>
      </c>
      <c r="E959" s="8" t="s">
        <v>174</v>
      </c>
      <c r="F959" s="8" t="s">
        <v>202</v>
      </c>
      <c r="G959" s="8" t="s">
        <v>329</v>
      </c>
      <c r="H959" s="8" t="s">
        <v>330</v>
      </c>
      <c r="I959" s="10">
        <v>6.1</v>
      </c>
      <c r="J959" s="10">
        <v>6.1</v>
      </c>
      <c r="L959" s="10">
        <v>0</v>
      </c>
      <c r="M959" s="13">
        <v>0</v>
      </c>
      <c r="N959" s="13"/>
      <c r="O959" s="10">
        <v>0</v>
      </c>
      <c r="P959" s="10">
        <v>0</v>
      </c>
      <c r="Q959" s="14">
        <v>0</v>
      </c>
      <c r="R959" s="14">
        <v>0</v>
      </c>
      <c r="S959" s="10">
        <v>0</v>
      </c>
      <c r="T959" s="10">
        <v>6.1</v>
      </c>
      <c r="U959" s="14">
        <v>0</v>
      </c>
      <c r="V959" s="10"/>
      <c r="W959" s="11">
        <v>3</v>
      </c>
      <c r="X959" s="11">
        <v>3</v>
      </c>
      <c r="Y959" s="11">
        <v>0</v>
      </c>
      <c r="Z959" s="11">
        <v>0</v>
      </c>
      <c r="AA959" s="11">
        <f>MasterTable[[#This Row],[Landings
Night]]+MasterTable[[#This Row],[Landings
Day]]</f>
        <v>3</v>
      </c>
      <c r="AB959" s="10">
        <v>0</v>
      </c>
      <c r="AC959" s="10">
        <v>0</v>
      </c>
      <c r="AD959" s="11">
        <v>0</v>
      </c>
      <c r="AE959" s="21">
        <f>SUM(MasterTable[[#This Row],[ILS]:[PAR]])</f>
        <v>0</v>
      </c>
      <c r="AL959" s="11"/>
      <c r="AR959" s="140" t="str">
        <f>_xlfn.XLOOKUP(MasterTable[[#This Row],[Aircraft ID]],Aircraft!A:A,Aircraft!H:H)</f>
        <v>Airplane Single Engine Land</v>
      </c>
      <c r="AS959" s="8" t="b">
        <f>OR((SUM(MasterTable[[#This Row],[ILS]:[PAR]]) = MasterTable[[#This Row],[APPR]]))</f>
        <v>1</v>
      </c>
      <c r="AT959" s="8" t="b">
        <f>NOT(ISBLANK(MasterTable[[#This Row],[Total
Time]]))</f>
        <v>1</v>
      </c>
    </row>
    <row r="960" spans="4:46" ht="28.8" x14ac:dyDescent="0.3">
      <c r="D960" s="22">
        <v>42948</v>
      </c>
      <c r="E960" s="8" t="s">
        <v>20</v>
      </c>
      <c r="F960" s="8" t="s">
        <v>202</v>
      </c>
      <c r="G960" s="8" t="s">
        <v>202</v>
      </c>
      <c r="I960" s="10">
        <v>1</v>
      </c>
      <c r="J960" s="10">
        <v>1</v>
      </c>
      <c r="L960" s="10">
        <v>0</v>
      </c>
      <c r="M960" s="13">
        <v>0</v>
      </c>
      <c r="N960" s="13"/>
      <c r="O960" s="10">
        <v>0</v>
      </c>
      <c r="P960" s="10">
        <v>0</v>
      </c>
      <c r="Q960" s="14">
        <v>0</v>
      </c>
      <c r="R960" s="14">
        <v>0</v>
      </c>
      <c r="S960" s="10">
        <v>0</v>
      </c>
      <c r="T960" s="10">
        <v>0</v>
      </c>
      <c r="U960" s="14">
        <v>0</v>
      </c>
      <c r="V960" s="10"/>
      <c r="W960" s="11">
        <v>2</v>
      </c>
      <c r="X960" s="11">
        <v>2</v>
      </c>
      <c r="Y960" s="11">
        <v>0</v>
      </c>
      <c r="Z960" s="11">
        <v>0</v>
      </c>
      <c r="AA960" s="11">
        <f>MasterTable[[#This Row],[Landings
Night]]+MasterTable[[#This Row],[Landings
Day]]</f>
        <v>2</v>
      </c>
      <c r="AB960" s="10">
        <v>0</v>
      </c>
      <c r="AC960" s="10">
        <v>0</v>
      </c>
      <c r="AD960" s="11">
        <v>0</v>
      </c>
      <c r="AE960" s="21">
        <f>SUM(MasterTable[[#This Row],[ILS]:[PAR]])</f>
        <v>0</v>
      </c>
      <c r="AL960" s="11"/>
      <c r="AR960" s="140" t="str">
        <f>_xlfn.XLOOKUP(MasterTable[[#This Row],[Aircraft ID]],Aircraft!A:A,Aircraft!H:H)</f>
        <v>Airplane Single Engine Land</v>
      </c>
      <c r="AS960" s="8" t="b">
        <f>OR((SUM(MasterTable[[#This Row],[ILS]:[PAR]]) = MasterTable[[#This Row],[APPR]]))</f>
        <v>1</v>
      </c>
      <c r="AT960" s="8" t="b">
        <f>NOT(ISBLANK(MasterTable[[#This Row],[Total
Time]]))</f>
        <v>1</v>
      </c>
    </row>
    <row r="961" spans="4:46" ht="28.8" x14ac:dyDescent="0.3">
      <c r="D961" s="22">
        <v>42947</v>
      </c>
      <c r="E961" s="8" t="s">
        <v>72</v>
      </c>
      <c r="F961" s="8" t="s">
        <v>293</v>
      </c>
      <c r="G961" s="8" t="s">
        <v>331</v>
      </c>
      <c r="I961" s="10">
        <v>1.3</v>
      </c>
      <c r="J961" s="10">
        <v>1.3</v>
      </c>
      <c r="L961" s="10">
        <v>0</v>
      </c>
      <c r="M961" s="13">
        <v>0</v>
      </c>
      <c r="N961" s="13"/>
      <c r="O961" s="10">
        <v>0</v>
      </c>
      <c r="P961" s="10">
        <v>0</v>
      </c>
      <c r="Q961" s="14">
        <v>0</v>
      </c>
      <c r="R961" s="14">
        <v>0</v>
      </c>
      <c r="S961" s="10">
        <v>0</v>
      </c>
      <c r="T961" s="10">
        <v>1.3</v>
      </c>
      <c r="U961" s="14">
        <v>0</v>
      </c>
      <c r="V961" s="10"/>
      <c r="W961" s="11">
        <v>2</v>
      </c>
      <c r="X961" s="11">
        <v>2</v>
      </c>
      <c r="Y961" s="11">
        <v>0</v>
      </c>
      <c r="Z961" s="11">
        <v>0</v>
      </c>
      <c r="AA961" s="11">
        <f>MasterTable[[#This Row],[Landings
Night]]+MasterTable[[#This Row],[Landings
Day]]</f>
        <v>2</v>
      </c>
      <c r="AB961" s="10">
        <v>0.1</v>
      </c>
      <c r="AC961" s="10">
        <v>0</v>
      </c>
      <c r="AD961" s="11">
        <v>0</v>
      </c>
      <c r="AE961" s="21">
        <f>SUM(MasterTable[[#This Row],[ILS]:[PAR]])</f>
        <v>1</v>
      </c>
      <c r="AF961" s="11">
        <v>1</v>
      </c>
      <c r="AL961" s="11"/>
      <c r="AR961" s="140" t="str">
        <f>_xlfn.XLOOKUP(MasterTable[[#This Row],[Aircraft ID]],Aircraft!A:A,Aircraft!H:H)</f>
        <v>Airplane Multi Engine Land</v>
      </c>
      <c r="AS961" s="8" t="b">
        <f>OR((SUM(MasterTable[[#This Row],[ILS]:[PAR]]) = MasterTable[[#This Row],[APPR]]))</f>
        <v>1</v>
      </c>
      <c r="AT961" s="8" t="b">
        <f>NOT(ISBLANK(MasterTable[[#This Row],[Total
Time]]))</f>
        <v>1</v>
      </c>
    </row>
    <row r="962" spans="4:46" ht="28.8" x14ac:dyDescent="0.3">
      <c r="D962" s="22">
        <v>42947</v>
      </c>
      <c r="E962" s="8" t="s">
        <v>20</v>
      </c>
      <c r="F962" s="8" t="s">
        <v>202</v>
      </c>
      <c r="G962" s="8" t="s">
        <v>241</v>
      </c>
      <c r="I962" s="10">
        <v>1.4</v>
      </c>
      <c r="J962" s="10">
        <v>1.4</v>
      </c>
      <c r="L962" s="10">
        <v>0</v>
      </c>
      <c r="M962" s="13">
        <v>0</v>
      </c>
      <c r="N962" s="13"/>
      <c r="O962" s="10">
        <v>0</v>
      </c>
      <c r="P962" s="10">
        <v>1.4</v>
      </c>
      <c r="Q962" s="14">
        <v>0</v>
      </c>
      <c r="R962" s="14">
        <v>0</v>
      </c>
      <c r="S962" s="10">
        <v>0</v>
      </c>
      <c r="T962" s="10">
        <v>0</v>
      </c>
      <c r="U962" s="14">
        <v>0</v>
      </c>
      <c r="V962" s="10"/>
      <c r="W962" s="11">
        <v>11</v>
      </c>
      <c r="X962" s="11">
        <v>11</v>
      </c>
      <c r="Y962" s="11">
        <v>0</v>
      </c>
      <c r="Z962" s="11">
        <v>0</v>
      </c>
      <c r="AA962" s="11">
        <f>MasterTable[[#This Row],[Landings
Night]]+MasterTable[[#This Row],[Landings
Day]]</f>
        <v>11</v>
      </c>
      <c r="AB962" s="10">
        <v>0</v>
      </c>
      <c r="AC962" s="10">
        <v>0</v>
      </c>
      <c r="AD962" s="11">
        <v>0</v>
      </c>
      <c r="AE962" s="21">
        <f>SUM(MasterTable[[#This Row],[ILS]:[PAR]])</f>
        <v>0</v>
      </c>
      <c r="AL962" s="11"/>
      <c r="AR962" s="140" t="str">
        <f>_xlfn.XLOOKUP(MasterTable[[#This Row],[Aircraft ID]],Aircraft!A:A,Aircraft!H:H)</f>
        <v>Airplane Single Engine Land</v>
      </c>
      <c r="AS962" s="8" t="b">
        <f>OR((SUM(MasterTable[[#This Row],[ILS]:[PAR]]) = MasterTable[[#This Row],[APPR]]))</f>
        <v>1</v>
      </c>
      <c r="AT962" s="8" t="b">
        <f>NOT(ISBLANK(MasterTable[[#This Row],[Total
Time]]))</f>
        <v>1</v>
      </c>
    </row>
    <row r="963" spans="4:46" ht="28.8" x14ac:dyDescent="0.3">
      <c r="D963" s="22">
        <v>42943</v>
      </c>
      <c r="E963" s="8" t="s">
        <v>20</v>
      </c>
      <c r="F963" s="8" t="s">
        <v>202</v>
      </c>
      <c r="G963" s="8" t="s">
        <v>202</v>
      </c>
      <c r="I963" s="10">
        <v>0.8</v>
      </c>
      <c r="J963" s="10">
        <v>0.8</v>
      </c>
      <c r="L963" s="10">
        <v>0</v>
      </c>
      <c r="M963" s="13">
        <v>0</v>
      </c>
      <c r="N963" s="13"/>
      <c r="O963" s="10">
        <v>0</v>
      </c>
      <c r="P963" s="10">
        <v>0.8</v>
      </c>
      <c r="Q963" s="14">
        <v>0</v>
      </c>
      <c r="R963" s="14">
        <v>0</v>
      </c>
      <c r="S963" s="10">
        <v>0</v>
      </c>
      <c r="T963" s="10">
        <v>0</v>
      </c>
      <c r="U963" s="14">
        <v>0</v>
      </c>
      <c r="V963" s="10"/>
      <c r="W963" s="11">
        <v>3</v>
      </c>
      <c r="X963" s="11">
        <v>3</v>
      </c>
      <c r="Y963" s="11">
        <v>0</v>
      </c>
      <c r="Z963" s="11">
        <v>0</v>
      </c>
      <c r="AA963" s="11">
        <f>MasterTable[[#This Row],[Landings
Night]]+MasterTable[[#This Row],[Landings
Day]]</f>
        <v>3</v>
      </c>
      <c r="AB963" s="10">
        <v>0</v>
      </c>
      <c r="AC963" s="10">
        <v>0</v>
      </c>
      <c r="AD963" s="11">
        <v>0</v>
      </c>
      <c r="AE963" s="21">
        <f>SUM(MasterTable[[#This Row],[ILS]:[PAR]])</f>
        <v>0</v>
      </c>
      <c r="AL963" s="11"/>
      <c r="AR963" s="140" t="str">
        <f>_xlfn.XLOOKUP(MasterTable[[#This Row],[Aircraft ID]],Aircraft!A:A,Aircraft!H:H)</f>
        <v>Airplane Single Engine Land</v>
      </c>
      <c r="AS963" s="8" t="b">
        <f>OR((SUM(MasterTable[[#This Row],[ILS]:[PAR]]) = MasterTable[[#This Row],[APPR]]))</f>
        <v>1</v>
      </c>
      <c r="AT963" s="8" t="b">
        <f>NOT(ISBLANK(MasterTable[[#This Row],[Total
Time]]))</f>
        <v>1</v>
      </c>
    </row>
    <row r="964" spans="4:46" ht="28.8" x14ac:dyDescent="0.3">
      <c r="D964" s="22">
        <v>42938</v>
      </c>
      <c r="E964" s="8" t="s">
        <v>72</v>
      </c>
      <c r="F964" s="8" t="s">
        <v>293</v>
      </c>
      <c r="G964" s="8" t="s">
        <v>303</v>
      </c>
      <c r="I964" s="10">
        <v>1</v>
      </c>
      <c r="J964" s="10">
        <v>1</v>
      </c>
      <c r="L964" s="10">
        <v>0</v>
      </c>
      <c r="M964" s="13">
        <v>0</v>
      </c>
      <c r="N964" s="13"/>
      <c r="O964" s="10">
        <v>0</v>
      </c>
      <c r="P964" s="10">
        <v>0</v>
      </c>
      <c r="Q964" s="14">
        <v>0</v>
      </c>
      <c r="R964" s="14">
        <v>0</v>
      </c>
      <c r="S964" s="10">
        <v>0</v>
      </c>
      <c r="T964" s="10">
        <v>0</v>
      </c>
      <c r="U964" s="14">
        <v>0</v>
      </c>
      <c r="V964" s="10"/>
      <c r="W964" s="11">
        <v>2</v>
      </c>
      <c r="X964" s="11">
        <v>2</v>
      </c>
      <c r="Y964" s="11">
        <v>0</v>
      </c>
      <c r="Z964" s="11">
        <v>0</v>
      </c>
      <c r="AA964" s="11">
        <f>MasterTable[[#This Row],[Landings
Night]]+MasterTable[[#This Row],[Landings
Day]]</f>
        <v>2</v>
      </c>
      <c r="AB964" s="10">
        <v>0</v>
      </c>
      <c r="AC964" s="10">
        <v>0</v>
      </c>
      <c r="AD964" s="11">
        <v>0</v>
      </c>
      <c r="AE964" s="21">
        <f>SUM(MasterTable[[#This Row],[ILS]:[PAR]])</f>
        <v>1</v>
      </c>
      <c r="AI964" s="11">
        <v>1</v>
      </c>
      <c r="AL964" s="11"/>
      <c r="AR964" s="140" t="str">
        <f>_xlfn.XLOOKUP(MasterTable[[#This Row],[Aircraft ID]],Aircraft!A:A,Aircraft!H:H)</f>
        <v>Airplane Multi Engine Land</v>
      </c>
      <c r="AS964" s="8" t="b">
        <f>OR((SUM(MasterTable[[#This Row],[ILS]:[PAR]]) = MasterTable[[#This Row],[APPR]]))</f>
        <v>1</v>
      </c>
      <c r="AT964" s="8" t="b">
        <f>NOT(ISBLANK(MasterTable[[#This Row],[Total
Time]]))</f>
        <v>1</v>
      </c>
    </row>
    <row r="965" spans="4:46" ht="28.8" x14ac:dyDescent="0.3">
      <c r="D965" s="22">
        <v>42935</v>
      </c>
      <c r="E965" s="8" t="s">
        <v>174</v>
      </c>
      <c r="F965" s="8" t="s">
        <v>202</v>
      </c>
      <c r="G965" s="8" t="s">
        <v>202</v>
      </c>
      <c r="I965" s="10">
        <v>1.4</v>
      </c>
      <c r="J965" s="10">
        <v>1.4</v>
      </c>
      <c r="L965" s="10">
        <v>0</v>
      </c>
      <c r="M965" s="13">
        <v>0</v>
      </c>
      <c r="N965" s="13"/>
      <c r="O965" s="10">
        <v>0</v>
      </c>
      <c r="P965" s="10">
        <v>1.4</v>
      </c>
      <c r="Q965" s="14">
        <v>0</v>
      </c>
      <c r="R965" s="14">
        <v>0</v>
      </c>
      <c r="S965" s="10">
        <v>0</v>
      </c>
      <c r="T965" s="10">
        <v>0</v>
      </c>
      <c r="U965" s="14">
        <v>0</v>
      </c>
      <c r="V965" s="10"/>
      <c r="W965" s="11">
        <v>1</v>
      </c>
      <c r="X965" s="11">
        <v>1</v>
      </c>
      <c r="Y965" s="11">
        <v>0</v>
      </c>
      <c r="Z965" s="11">
        <v>0</v>
      </c>
      <c r="AA965" s="11">
        <f>MasterTable[[#This Row],[Landings
Night]]+MasterTable[[#This Row],[Landings
Day]]</f>
        <v>1</v>
      </c>
      <c r="AB965" s="10">
        <v>0</v>
      </c>
      <c r="AC965" s="10">
        <v>0</v>
      </c>
      <c r="AD965" s="11">
        <v>0</v>
      </c>
      <c r="AE965" s="21">
        <f>SUM(MasterTable[[#This Row],[ILS]:[PAR]])</f>
        <v>0</v>
      </c>
      <c r="AL965" s="11"/>
      <c r="AR965" s="140" t="str">
        <f>_xlfn.XLOOKUP(MasterTable[[#This Row],[Aircraft ID]],Aircraft!A:A,Aircraft!H:H)</f>
        <v>Airplane Single Engine Land</v>
      </c>
      <c r="AS965" s="8" t="b">
        <f>OR((SUM(MasterTable[[#This Row],[ILS]:[PAR]]) = MasterTable[[#This Row],[APPR]]))</f>
        <v>1</v>
      </c>
      <c r="AT965" s="8" t="b">
        <f>NOT(ISBLANK(MasterTable[[#This Row],[Total
Time]]))</f>
        <v>1</v>
      </c>
    </row>
    <row r="966" spans="4:46" ht="28.8" x14ac:dyDescent="0.3">
      <c r="D966" s="22">
        <v>42934</v>
      </c>
      <c r="E966" s="8" t="s">
        <v>50</v>
      </c>
      <c r="F966" s="8" t="s">
        <v>202</v>
      </c>
      <c r="G966" s="8" t="s">
        <v>332</v>
      </c>
      <c r="H966" s="8" t="s">
        <v>333</v>
      </c>
      <c r="I966" s="10">
        <v>1.5</v>
      </c>
      <c r="L966" s="10">
        <v>0</v>
      </c>
      <c r="M966" s="13">
        <v>0</v>
      </c>
      <c r="N966" s="13"/>
      <c r="O966" s="10">
        <v>0</v>
      </c>
      <c r="P966" s="10">
        <v>1.5</v>
      </c>
      <c r="Q966" s="14">
        <v>0</v>
      </c>
      <c r="R966" s="14">
        <v>0</v>
      </c>
      <c r="S966" s="10">
        <v>0</v>
      </c>
      <c r="T966" s="10">
        <v>1.5</v>
      </c>
      <c r="U966" s="14">
        <v>0</v>
      </c>
      <c r="V966" s="10"/>
      <c r="W966" s="11">
        <v>3</v>
      </c>
      <c r="X966" s="11">
        <v>3</v>
      </c>
      <c r="Y966" s="11">
        <v>0</v>
      </c>
      <c r="Z966" s="11">
        <v>0</v>
      </c>
      <c r="AA966" s="11">
        <f>MasterTable[[#This Row],[Landings
Night]]+MasterTable[[#This Row],[Landings
Day]]</f>
        <v>3</v>
      </c>
      <c r="AB966" s="10">
        <v>0</v>
      </c>
      <c r="AC966" s="10">
        <v>0</v>
      </c>
      <c r="AD966" s="11">
        <v>0</v>
      </c>
      <c r="AE966" s="21">
        <f>SUM(MasterTable[[#This Row],[ILS]:[PAR]])</f>
        <v>0</v>
      </c>
      <c r="AL966" s="11"/>
      <c r="AR966" s="140" t="str">
        <f>_xlfn.XLOOKUP(MasterTable[[#This Row],[Aircraft ID]],Aircraft!A:A,Aircraft!H:H)</f>
        <v>Airplane Multi Engine Land</v>
      </c>
      <c r="AS966" s="8" t="b">
        <f>OR((SUM(MasterTable[[#This Row],[ILS]:[PAR]]) = MasterTable[[#This Row],[APPR]]))</f>
        <v>1</v>
      </c>
      <c r="AT966" s="8" t="b">
        <f>NOT(ISBLANK(MasterTable[[#This Row],[Total
Time]]))</f>
        <v>1</v>
      </c>
    </row>
    <row r="967" spans="4:46" ht="28.8" x14ac:dyDescent="0.3">
      <c r="D967" s="22">
        <v>42932</v>
      </c>
      <c r="E967" s="8" t="s">
        <v>174</v>
      </c>
      <c r="F967" s="8" t="s">
        <v>233</v>
      </c>
      <c r="G967" s="8" t="s">
        <v>202</v>
      </c>
      <c r="I967" s="10">
        <v>0.7</v>
      </c>
      <c r="J967" s="10">
        <v>0.7</v>
      </c>
      <c r="L967" s="10">
        <v>0</v>
      </c>
      <c r="M967" s="13">
        <v>0</v>
      </c>
      <c r="N967" s="13"/>
      <c r="O967" s="10">
        <v>0</v>
      </c>
      <c r="P967" s="10">
        <v>0</v>
      </c>
      <c r="Q967" s="14">
        <v>0</v>
      </c>
      <c r="R967" s="14">
        <v>0</v>
      </c>
      <c r="S967" s="10">
        <v>0</v>
      </c>
      <c r="T967" s="10">
        <v>0.7</v>
      </c>
      <c r="U967" s="14">
        <v>0</v>
      </c>
      <c r="V967" s="10"/>
      <c r="W967" s="11">
        <v>1</v>
      </c>
      <c r="X967" s="11">
        <v>1</v>
      </c>
      <c r="Y967" s="11">
        <v>0</v>
      </c>
      <c r="Z967" s="11">
        <v>0</v>
      </c>
      <c r="AA967" s="11">
        <f>MasterTable[[#This Row],[Landings
Night]]+MasterTable[[#This Row],[Landings
Day]]</f>
        <v>1</v>
      </c>
      <c r="AB967" s="10">
        <v>0</v>
      </c>
      <c r="AC967" s="10">
        <v>0</v>
      </c>
      <c r="AD967" s="11">
        <v>0</v>
      </c>
      <c r="AE967" s="21">
        <f>SUM(MasterTable[[#This Row],[ILS]:[PAR]])</f>
        <v>0</v>
      </c>
      <c r="AL967" s="11"/>
      <c r="AR967" s="140" t="str">
        <f>_xlfn.XLOOKUP(MasterTable[[#This Row],[Aircraft ID]],Aircraft!A:A,Aircraft!H:H)</f>
        <v>Airplane Single Engine Land</v>
      </c>
      <c r="AS967" s="8" t="b">
        <f>OR((SUM(MasterTable[[#This Row],[ILS]:[PAR]]) = MasterTable[[#This Row],[APPR]]))</f>
        <v>1</v>
      </c>
      <c r="AT967" s="8" t="b">
        <f>NOT(ISBLANK(MasterTable[[#This Row],[Total
Time]]))</f>
        <v>1</v>
      </c>
    </row>
    <row r="968" spans="4:46" ht="28.8" x14ac:dyDescent="0.3">
      <c r="D968" s="22">
        <v>42932</v>
      </c>
      <c r="E968" s="8" t="s">
        <v>174</v>
      </c>
      <c r="F968" s="8" t="s">
        <v>224</v>
      </c>
      <c r="G968" s="8" t="s">
        <v>233</v>
      </c>
      <c r="I968" s="10">
        <v>1.5</v>
      </c>
      <c r="J968" s="10">
        <v>1.5</v>
      </c>
      <c r="L968" s="10">
        <v>0</v>
      </c>
      <c r="M968" s="13">
        <v>0</v>
      </c>
      <c r="N968" s="13"/>
      <c r="O968" s="10">
        <v>0</v>
      </c>
      <c r="P968" s="10">
        <v>0</v>
      </c>
      <c r="Q968" s="14">
        <v>0</v>
      </c>
      <c r="R968" s="14">
        <v>0</v>
      </c>
      <c r="S968" s="10">
        <v>0</v>
      </c>
      <c r="T968" s="10">
        <v>1.5</v>
      </c>
      <c r="U968" s="14">
        <v>0</v>
      </c>
      <c r="V968" s="10"/>
      <c r="W968" s="11">
        <v>2</v>
      </c>
      <c r="X968" s="11">
        <v>2</v>
      </c>
      <c r="Y968" s="11">
        <v>0</v>
      </c>
      <c r="Z968" s="11">
        <v>0</v>
      </c>
      <c r="AA968" s="11">
        <f>MasterTable[[#This Row],[Landings
Night]]+MasterTable[[#This Row],[Landings
Day]]</f>
        <v>2</v>
      </c>
      <c r="AB968" s="10">
        <v>0</v>
      </c>
      <c r="AC968" s="10">
        <v>0</v>
      </c>
      <c r="AD968" s="11">
        <v>0</v>
      </c>
      <c r="AE968" s="21">
        <f>SUM(MasterTable[[#This Row],[ILS]:[PAR]])</f>
        <v>0</v>
      </c>
      <c r="AL968" s="11"/>
      <c r="AR968" s="140" t="str">
        <f>_xlfn.XLOOKUP(MasterTable[[#This Row],[Aircraft ID]],Aircraft!A:A,Aircraft!H:H)</f>
        <v>Airplane Single Engine Land</v>
      </c>
      <c r="AS968" s="8" t="b">
        <f>OR((SUM(MasterTable[[#This Row],[ILS]:[PAR]]) = MasterTable[[#This Row],[APPR]]))</f>
        <v>1</v>
      </c>
      <c r="AT968" s="8" t="b">
        <f>NOT(ISBLANK(MasterTable[[#This Row],[Total
Time]]))</f>
        <v>1</v>
      </c>
    </row>
    <row r="969" spans="4:46" ht="28.8" x14ac:dyDescent="0.3">
      <c r="D969" s="22">
        <v>42931</v>
      </c>
      <c r="E969" s="8" t="s">
        <v>174</v>
      </c>
      <c r="F969" s="8" t="s">
        <v>334</v>
      </c>
      <c r="G969" s="8" t="s">
        <v>224</v>
      </c>
      <c r="I969" s="10">
        <v>0.9</v>
      </c>
      <c r="J969" s="10">
        <v>0.9</v>
      </c>
      <c r="L969" s="10">
        <v>0</v>
      </c>
      <c r="M969" s="13">
        <v>0</v>
      </c>
      <c r="N969" s="13"/>
      <c r="O969" s="10">
        <v>0</v>
      </c>
      <c r="P969" s="10">
        <v>0</v>
      </c>
      <c r="Q969" s="14">
        <v>0</v>
      </c>
      <c r="R969" s="14">
        <v>0</v>
      </c>
      <c r="S969" s="10">
        <v>0</v>
      </c>
      <c r="T969" s="10">
        <v>0.9</v>
      </c>
      <c r="U969" s="14">
        <v>0</v>
      </c>
      <c r="V969" s="10"/>
      <c r="W969" s="11">
        <v>1</v>
      </c>
      <c r="X969" s="11">
        <v>1</v>
      </c>
      <c r="Y969" s="11">
        <v>0</v>
      </c>
      <c r="Z969" s="11">
        <v>0</v>
      </c>
      <c r="AA969" s="11">
        <f>MasterTable[[#This Row],[Landings
Night]]+MasterTable[[#This Row],[Landings
Day]]</f>
        <v>1</v>
      </c>
      <c r="AB969" s="10">
        <v>0</v>
      </c>
      <c r="AC969" s="10">
        <v>0</v>
      </c>
      <c r="AD969" s="11">
        <v>0</v>
      </c>
      <c r="AE969" s="21">
        <f>SUM(MasterTable[[#This Row],[ILS]:[PAR]])</f>
        <v>0</v>
      </c>
      <c r="AL969" s="11"/>
      <c r="AR969" s="140" t="str">
        <f>_xlfn.XLOOKUP(MasterTable[[#This Row],[Aircraft ID]],Aircraft!A:A,Aircraft!H:H)</f>
        <v>Airplane Single Engine Land</v>
      </c>
      <c r="AS969" s="8" t="b">
        <f>OR((SUM(MasterTable[[#This Row],[ILS]:[PAR]]) = MasterTable[[#This Row],[APPR]]))</f>
        <v>1</v>
      </c>
      <c r="AT969" s="8" t="b">
        <f>NOT(ISBLANK(MasterTable[[#This Row],[Total
Time]]))</f>
        <v>1</v>
      </c>
    </row>
    <row r="970" spans="4:46" ht="28.8" x14ac:dyDescent="0.3">
      <c r="D970" s="22">
        <v>42931</v>
      </c>
      <c r="E970" s="8" t="s">
        <v>174</v>
      </c>
      <c r="F970" s="8" t="s">
        <v>202</v>
      </c>
      <c r="G970" s="8" t="s">
        <v>334</v>
      </c>
      <c r="I970" s="10">
        <v>1.5</v>
      </c>
      <c r="J970" s="10">
        <v>1.5</v>
      </c>
      <c r="L970" s="10">
        <v>0</v>
      </c>
      <c r="M970" s="13">
        <v>0</v>
      </c>
      <c r="N970" s="13"/>
      <c r="O970" s="10">
        <v>0</v>
      </c>
      <c r="P970" s="10">
        <v>0</v>
      </c>
      <c r="Q970" s="14">
        <v>0</v>
      </c>
      <c r="R970" s="14">
        <v>0</v>
      </c>
      <c r="S970" s="10">
        <v>0</v>
      </c>
      <c r="T970" s="10">
        <v>1.5</v>
      </c>
      <c r="U970" s="14">
        <v>0</v>
      </c>
      <c r="V970" s="10"/>
      <c r="W970" s="11">
        <v>1</v>
      </c>
      <c r="X970" s="11">
        <v>1</v>
      </c>
      <c r="Y970" s="11">
        <v>0</v>
      </c>
      <c r="Z970" s="11">
        <v>0</v>
      </c>
      <c r="AA970" s="11">
        <f>MasterTable[[#This Row],[Landings
Night]]+MasterTable[[#This Row],[Landings
Day]]</f>
        <v>1</v>
      </c>
      <c r="AB970" s="10">
        <v>0.2</v>
      </c>
      <c r="AC970" s="10">
        <v>0</v>
      </c>
      <c r="AD970" s="11">
        <v>0</v>
      </c>
      <c r="AE970" s="21">
        <f>SUM(MasterTable[[#This Row],[ILS]:[PAR]])</f>
        <v>0</v>
      </c>
      <c r="AL970" s="11"/>
      <c r="AR970" s="140" t="str">
        <f>_xlfn.XLOOKUP(MasterTable[[#This Row],[Aircraft ID]],Aircraft!A:A,Aircraft!H:H)</f>
        <v>Airplane Single Engine Land</v>
      </c>
      <c r="AS970" s="8" t="b">
        <f>OR((SUM(MasterTable[[#This Row],[ILS]:[PAR]]) = MasterTable[[#This Row],[APPR]]))</f>
        <v>1</v>
      </c>
      <c r="AT970" s="8" t="b">
        <f>NOT(ISBLANK(MasterTable[[#This Row],[Total
Time]]))</f>
        <v>1</v>
      </c>
    </row>
    <row r="971" spans="4:46" ht="28.8" x14ac:dyDescent="0.3">
      <c r="D971" s="22">
        <v>42929</v>
      </c>
      <c r="E971" s="8" t="s">
        <v>72</v>
      </c>
      <c r="F971" s="8" t="s">
        <v>293</v>
      </c>
      <c r="G971" s="8" t="s">
        <v>293</v>
      </c>
      <c r="H971" s="8" t="s">
        <v>335</v>
      </c>
      <c r="I971" s="10">
        <v>2.8</v>
      </c>
      <c r="J971" s="10">
        <v>2.8</v>
      </c>
      <c r="L971" s="10">
        <v>0</v>
      </c>
      <c r="M971" s="13">
        <v>0</v>
      </c>
      <c r="N971" s="13"/>
      <c r="O971" s="10">
        <v>0</v>
      </c>
      <c r="P971" s="10">
        <v>0</v>
      </c>
      <c r="Q971" s="14">
        <v>0</v>
      </c>
      <c r="R971" s="14">
        <v>0</v>
      </c>
      <c r="S971" s="10">
        <v>0</v>
      </c>
      <c r="T971" s="10">
        <v>2.8</v>
      </c>
      <c r="U971" s="14">
        <v>0</v>
      </c>
      <c r="V971" s="10"/>
      <c r="W971" s="11">
        <v>3</v>
      </c>
      <c r="X971" s="11">
        <v>3</v>
      </c>
      <c r="Y971" s="11">
        <v>0</v>
      </c>
      <c r="Z971" s="11">
        <v>0</v>
      </c>
      <c r="AA971" s="11">
        <f>MasterTable[[#This Row],[Landings
Night]]+MasterTable[[#This Row],[Landings
Day]]</f>
        <v>3</v>
      </c>
      <c r="AB971" s="10">
        <v>0.2</v>
      </c>
      <c r="AC971" s="10">
        <v>0</v>
      </c>
      <c r="AD971" s="11">
        <v>0</v>
      </c>
      <c r="AE971" s="21">
        <f>SUM(MasterTable[[#This Row],[ILS]:[PAR]])</f>
        <v>1</v>
      </c>
      <c r="AF971" s="11">
        <v>1</v>
      </c>
      <c r="AL971" s="11"/>
      <c r="AR971" s="140" t="str">
        <f>_xlfn.XLOOKUP(MasterTable[[#This Row],[Aircraft ID]],Aircraft!A:A,Aircraft!H:H)</f>
        <v>Airplane Multi Engine Land</v>
      </c>
      <c r="AS971" s="8" t="b">
        <f>OR((SUM(MasterTable[[#This Row],[ILS]:[PAR]]) = MasterTable[[#This Row],[APPR]]))</f>
        <v>1</v>
      </c>
      <c r="AT971" s="8" t="b">
        <f>NOT(ISBLANK(MasterTable[[#This Row],[Total
Time]]))</f>
        <v>1</v>
      </c>
    </row>
    <row r="972" spans="4:46" ht="28.8" x14ac:dyDescent="0.3">
      <c r="D972" s="22">
        <v>42929</v>
      </c>
      <c r="E972" s="8" t="s">
        <v>174</v>
      </c>
      <c r="F972" s="8" t="s">
        <v>202</v>
      </c>
      <c r="G972" s="8" t="s">
        <v>202</v>
      </c>
      <c r="I972" s="10">
        <v>0.8</v>
      </c>
      <c r="J972" s="10">
        <v>0.8</v>
      </c>
      <c r="L972" s="10">
        <v>0</v>
      </c>
      <c r="M972" s="13">
        <v>0</v>
      </c>
      <c r="N972" s="13"/>
      <c r="O972" s="10">
        <v>0</v>
      </c>
      <c r="P972" s="10">
        <v>0</v>
      </c>
      <c r="Q972" s="14">
        <v>0</v>
      </c>
      <c r="R972" s="14">
        <v>0</v>
      </c>
      <c r="S972" s="10">
        <v>0</v>
      </c>
      <c r="T972" s="10">
        <v>0</v>
      </c>
      <c r="U972" s="14">
        <v>0</v>
      </c>
      <c r="V972" s="10"/>
      <c r="W972" s="11">
        <v>3</v>
      </c>
      <c r="X972" s="11">
        <v>3</v>
      </c>
      <c r="Y972" s="11">
        <v>0</v>
      </c>
      <c r="Z972" s="11">
        <v>0</v>
      </c>
      <c r="AA972" s="11">
        <f>MasterTable[[#This Row],[Landings
Night]]+MasterTable[[#This Row],[Landings
Day]]</f>
        <v>3</v>
      </c>
      <c r="AB972" s="10">
        <v>0</v>
      </c>
      <c r="AC972" s="10">
        <v>0</v>
      </c>
      <c r="AD972" s="11">
        <v>0</v>
      </c>
      <c r="AE972" s="21">
        <f>SUM(MasterTable[[#This Row],[ILS]:[PAR]])</f>
        <v>0</v>
      </c>
      <c r="AL972" s="11"/>
      <c r="AR972" s="140" t="str">
        <f>_xlfn.XLOOKUP(MasterTable[[#This Row],[Aircraft ID]],Aircraft!A:A,Aircraft!H:H)</f>
        <v>Airplane Single Engine Land</v>
      </c>
      <c r="AS972" s="8" t="b">
        <f>OR((SUM(MasterTable[[#This Row],[ILS]:[PAR]]) = MasterTable[[#This Row],[APPR]]))</f>
        <v>1</v>
      </c>
      <c r="AT972" s="8" t="b">
        <f>NOT(ISBLANK(MasterTable[[#This Row],[Total
Time]]))</f>
        <v>1</v>
      </c>
    </row>
    <row r="973" spans="4:46" ht="28.8" x14ac:dyDescent="0.3">
      <c r="D973" s="22">
        <v>42928</v>
      </c>
      <c r="E973" s="8" t="s">
        <v>72</v>
      </c>
      <c r="F973" s="8" t="s">
        <v>202</v>
      </c>
      <c r="G973" s="8" t="s">
        <v>293</v>
      </c>
      <c r="H973" s="8" t="s">
        <v>336</v>
      </c>
      <c r="I973" s="10">
        <v>2.2000000000000002</v>
      </c>
      <c r="J973" s="10">
        <v>2.2000000000000002</v>
      </c>
      <c r="L973" s="10">
        <v>0</v>
      </c>
      <c r="M973" s="13">
        <v>0</v>
      </c>
      <c r="N973" s="13"/>
      <c r="O973" s="10">
        <v>0</v>
      </c>
      <c r="P973" s="10">
        <v>0</v>
      </c>
      <c r="Q973" s="14">
        <v>0</v>
      </c>
      <c r="R973" s="14">
        <v>0</v>
      </c>
      <c r="S973" s="10">
        <v>0</v>
      </c>
      <c r="T973" s="10">
        <v>2.2000000000000002</v>
      </c>
      <c r="U973" s="14">
        <v>0</v>
      </c>
      <c r="V973" s="10"/>
      <c r="W973" s="11">
        <v>3</v>
      </c>
      <c r="X973" s="11">
        <v>3</v>
      </c>
      <c r="Y973" s="11">
        <v>0</v>
      </c>
      <c r="Z973" s="11">
        <v>0</v>
      </c>
      <c r="AA973" s="11">
        <f>MasterTable[[#This Row],[Landings
Night]]+MasterTable[[#This Row],[Landings
Day]]</f>
        <v>3</v>
      </c>
      <c r="AB973" s="10">
        <v>0.2</v>
      </c>
      <c r="AC973" s="10">
        <v>0</v>
      </c>
      <c r="AD973" s="11">
        <v>0</v>
      </c>
      <c r="AE973" s="21">
        <f>SUM(MasterTable[[#This Row],[ILS]:[PAR]])</f>
        <v>1</v>
      </c>
      <c r="AF973" s="11">
        <v>1</v>
      </c>
      <c r="AL973" s="11"/>
      <c r="AR973" s="140" t="str">
        <f>_xlfn.XLOOKUP(MasterTable[[#This Row],[Aircraft ID]],Aircraft!A:A,Aircraft!H:H)</f>
        <v>Airplane Multi Engine Land</v>
      </c>
      <c r="AS973" s="8" t="b">
        <f>OR((SUM(MasterTable[[#This Row],[ILS]:[PAR]]) = MasterTable[[#This Row],[APPR]]))</f>
        <v>1</v>
      </c>
      <c r="AT973" s="8" t="b">
        <f>NOT(ISBLANK(MasterTable[[#This Row],[Total
Time]]))</f>
        <v>1</v>
      </c>
    </row>
    <row r="974" spans="4:46" ht="28.8" x14ac:dyDescent="0.3">
      <c r="D974" s="22">
        <v>42928</v>
      </c>
      <c r="E974" s="8" t="s">
        <v>174</v>
      </c>
      <c r="F974" s="8" t="s">
        <v>202</v>
      </c>
      <c r="G974" s="8" t="s">
        <v>202</v>
      </c>
      <c r="I974" s="10">
        <v>0.9</v>
      </c>
      <c r="J974" s="10">
        <v>0.9</v>
      </c>
      <c r="L974" s="10">
        <v>0</v>
      </c>
      <c r="M974" s="13">
        <v>0</v>
      </c>
      <c r="N974" s="13"/>
      <c r="O974" s="10">
        <v>0</v>
      </c>
      <c r="P974" s="10">
        <v>0</v>
      </c>
      <c r="Q974" s="14">
        <v>0</v>
      </c>
      <c r="R974" s="14">
        <v>0</v>
      </c>
      <c r="S974" s="10">
        <v>0</v>
      </c>
      <c r="T974" s="10">
        <v>0</v>
      </c>
      <c r="U974" s="14">
        <v>0</v>
      </c>
      <c r="V974" s="10"/>
      <c r="W974" s="11">
        <v>1</v>
      </c>
      <c r="X974" s="11">
        <v>1</v>
      </c>
      <c r="Y974" s="11">
        <v>0</v>
      </c>
      <c r="Z974" s="11">
        <v>0</v>
      </c>
      <c r="AA974" s="11">
        <f>MasterTable[[#This Row],[Landings
Night]]+MasterTable[[#This Row],[Landings
Day]]</f>
        <v>1</v>
      </c>
      <c r="AB974" s="10">
        <v>0</v>
      </c>
      <c r="AC974" s="10">
        <v>0</v>
      </c>
      <c r="AD974" s="11">
        <v>0</v>
      </c>
      <c r="AE974" s="21">
        <f>SUM(MasterTable[[#This Row],[ILS]:[PAR]])</f>
        <v>0</v>
      </c>
      <c r="AL974" s="11"/>
      <c r="AR974" s="140" t="str">
        <f>_xlfn.XLOOKUP(MasterTable[[#This Row],[Aircraft ID]],Aircraft!A:A,Aircraft!H:H)</f>
        <v>Airplane Single Engine Land</v>
      </c>
      <c r="AS974" s="8" t="b">
        <f>OR((SUM(MasterTable[[#This Row],[ILS]:[PAR]]) = MasterTable[[#This Row],[APPR]]))</f>
        <v>1</v>
      </c>
      <c r="AT974" s="8" t="b">
        <f>NOT(ISBLANK(MasterTable[[#This Row],[Total
Time]]))</f>
        <v>1</v>
      </c>
    </row>
    <row r="975" spans="4:46" ht="28.8" x14ac:dyDescent="0.3">
      <c r="D975" s="22">
        <v>42926</v>
      </c>
      <c r="E975" s="8" t="s">
        <v>174</v>
      </c>
      <c r="F975" s="8" t="s">
        <v>202</v>
      </c>
      <c r="G975" s="8" t="s">
        <v>265</v>
      </c>
      <c r="I975" s="10">
        <v>1.1000000000000001</v>
      </c>
      <c r="J975" s="10">
        <v>1.1000000000000001</v>
      </c>
      <c r="L975" s="10">
        <v>0</v>
      </c>
      <c r="M975" s="13">
        <v>0</v>
      </c>
      <c r="N975" s="13"/>
      <c r="O975" s="10">
        <v>0</v>
      </c>
      <c r="P975" s="10">
        <v>0</v>
      </c>
      <c r="Q975" s="14">
        <v>0</v>
      </c>
      <c r="R975" s="14">
        <v>0</v>
      </c>
      <c r="S975" s="10">
        <v>0</v>
      </c>
      <c r="T975" s="10">
        <v>0</v>
      </c>
      <c r="U975" s="14">
        <v>0</v>
      </c>
      <c r="V975" s="10"/>
      <c r="W975" s="11">
        <v>2</v>
      </c>
      <c r="X975" s="11">
        <v>2</v>
      </c>
      <c r="Y975" s="11">
        <v>0</v>
      </c>
      <c r="Z975" s="11">
        <v>0</v>
      </c>
      <c r="AA975" s="11">
        <f>MasterTable[[#This Row],[Landings
Night]]+MasterTable[[#This Row],[Landings
Day]]</f>
        <v>2</v>
      </c>
      <c r="AB975" s="10">
        <v>0</v>
      </c>
      <c r="AC975" s="10">
        <v>0</v>
      </c>
      <c r="AD975" s="11">
        <v>0</v>
      </c>
      <c r="AE975" s="21">
        <f>SUM(MasterTable[[#This Row],[ILS]:[PAR]])</f>
        <v>0</v>
      </c>
      <c r="AL975" s="11"/>
      <c r="AR975" s="140" t="str">
        <f>_xlfn.XLOOKUP(MasterTable[[#This Row],[Aircraft ID]],Aircraft!A:A,Aircraft!H:H)</f>
        <v>Airplane Single Engine Land</v>
      </c>
      <c r="AS975" s="8" t="b">
        <f>OR((SUM(MasterTable[[#This Row],[ILS]:[PAR]]) = MasterTable[[#This Row],[APPR]]))</f>
        <v>1</v>
      </c>
      <c r="AT975" s="8" t="b">
        <f>NOT(ISBLANK(MasterTable[[#This Row],[Total
Time]]))</f>
        <v>1</v>
      </c>
    </row>
    <row r="976" spans="4:46" ht="28.8" x14ac:dyDescent="0.3">
      <c r="D976" s="22">
        <v>42922</v>
      </c>
      <c r="E976" s="8" t="s">
        <v>174</v>
      </c>
      <c r="F976" s="8" t="s">
        <v>202</v>
      </c>
      <c r="G976" s="8" t="s">
        <v>202</v>
      </c>
      <c r="I976" s="10">
        <v>1.1000000000000001</v>
      </c>
      <c r="J976" s="10">
        <v>1.1000000000000001</v>
      </c>
      <c r="L976" s="10">
        <v>0</v>
      </c>
      <c r="M976" s="13">
        <v>0</v>
      </c>
      <c r="N976" s="13"/>
      <c r="O976" s="10">
        <v>0</v>
      </c>
      <c r="P976" s="10">
        <v>0</v>
      </c>
      <c r="Q976" s="14">
        <v>0</v>
      </c>
      <c r="R976" s="14">
        <v>0</v>
      </c>
      <c r="S976" s="10">
        <v>0</v>
      </c>
      <c r="T976" s="10">
        <v>0</v>
      </c>
      <c r="U976" s="14">
        <v>0</v>
      </c>
      <c r="V976" s="10"/>
      <c r="W976" s="11">
        <v>1</v>
      </c>
      <c r="X976" s="11">
        <v>1</v>
      </c>
      <c r="Y976" s="11">
        <v>0</v>
      </c>
      <c r="Z976" s="11">
        <v>0</v>
      </c>
      <c r="AA976" s="11">
        <f>MasterTable[[#This Row],[Landings
Night]]+MasterTable[[#This Row],[Landings
Day]]</f>
        <v>1</v>
      </c>
      <c r="AB976" s="10">
        <v>0</v>
      </c>
      <c r="AC976" s="10">
        <v>0</v>
      </c>
      <c r="AD976" s="11">
        <v>0</v>
      </c>
      <c r="AE976" s="21">
        <f>SUM(MasterTable[[#This Row],[ILS]:[PAR]])</f>
        <v>0</v>
      </c>
      <c r="AL976" s="11"/>
      <c r="AR976" s="140" t="str">
        <f>_xlfn.XLOOKUP(MasterTable[[#This Row],[Aircraft ID]],Aircraft!A:A,Aircraft!H:H)</f>
        <v>Airplane Single Engine Land</v>
      </c>
      <c r="AS976" s="8" t="b">
        <f>OR((SUM(MasterTable[[#This Row],[ILS]:[PAR]]) = MasterTable[[#This Row],[APPR]]))</f>
        <v>1</v>
      </c>
      <c r="AT976" s="8" t="b">
        <f>NOT(ISBLANK(MasterTable[[#This Row],[Total
Time]]))</f>
        <v>1</v>
      </c>
    </row>
    <row r="977" spans="4:46" ht="28.8" x14ac:dyDescent="0.3">
      <c r="D977" s="22">
        <v>42918</v>
      </c>
      <c r="E977" s="8" t="s">
        <v>174</v>
      </c>
      <c r="F977" s="8" t="s">
        <v>202</v>
      </c>
      <c r="G977" s="8" t="s">
        <v>202</v>
      </c>
      <c r="I977" s="10">
        <v>1.3</v>
      </c>
      <c r="J977" s="10">
        <v>1.3</v>
      </c>
      <c r="L977" s="10">
        <v>0</v>
      </c>
      <c r="M977" s="13">
        <v>0</v>
      </c>
      <c r="N977" s="13"/>
      <c r="O977" s="10">
        <v>0</v>
      </c>
      <c r="P977" s="10">
        <v>0</v>
      </c>
      <c r="Q977" s="14">
        <v>0</v>
      </c>
      <c r="R977" s="14">
        <v>0</v>
      </c>
      <c r="S977" s="10">
        <v>0</v>
      </c>
      <c r="T977" s="10">
        <v>0</v>
      </c>
      <c r="U977" s="14">
        <v>0</v>
      </c>
      <c r="V977" s="10"/>
      <c r="W977" s="11">
        <v>1</v>
      </c>
      <c r="X977" s="11">
        <v>1</v>
      </c>
      <c r="Y977" s="11">
        <v>0</v>
      </c>
      <c r="Z977" s="11">
        <v>0</v>
      </c>
      <c r="AA977" s="11">
        <f>MasterTable[[#This Row],[Landings
Night]]+MasterTable[[#This Row],[Landings
Day]]</f>
        <v>1</v>
      </c>
      <c r="AB977" s="10">
        <v>0</v>
      </c>
      <c r="AC977" s="10">
        <v>0.4</v>
      </c>
      <c r="AD977" s="11">
        <v>2</v>
      </c>
      <c r="AE977" s="21">
        <f>SUM(MasterTable[[#This Row],[ILS]:[PAR]])</f>
        <v>0</v>
      </c>
      <c r="AL977" s="11"/>
      <c r="AR977" s="140" t="str">
        <f>_xlfn.XLOOKUP(MasterTable[[#This Row],[Aircraft ID]],Aircraft!A:A,Aircraft!H:H)</f>
        <v>Airplane Single Engine Land</v>
      </c>
      <c r="AS977" s="8" t="b">
        <f>OR((SUM(MasterTable[[#This Row],[ILS]:[PAR]]) = MasterTable[[#This Row],[APPR]]))</f>
        <v>1</v>
      </c>
      <c r="AT977" s="8" t="b">
        <f>NOT(ISBLANK(MasterTable[[#This Row],[Total
Time]]))</f>
        <v>1</v>
      </c>
    </row>
    <row r="978" spans="4:46" ht="28.8" x14ac:dyDescent="0.3">
      <c r="D978" s="22">
        <v>42917</v>
      </c>
      <c r="E978" s="8" t="s">
        <v>174</v>
      </c>
      <c r="F978" s="8" t="s">
        <v>202</v>
      </c>
      <c r="G978" s="8" t="s">
        <v>202</v>
      </c>
      <c r="I978" s="10">
        <v>1.4</v>
      </c>
      <c r="J978" s="10">
        <v>1.4</v>
      </c>
      <c r="L978" s="10">
        <v>0</v>
      </c>
      <c r="M978" s="13">
        <v>0</v>
      </c>
      <c r="N978" s="13"/>
      <c r="O978" s="10">
        <v>0</v>
      </c>
      <c r="P978" s="10">
        <v>0</v>
      </c>
      <c r="Q978" s="14">
        <v>0</v>
      </c>
      <c r="R978" s="14">
        <v>0</v>
      </c>
      <c r="S978" s="10">
        <v>0</v>
      </c>
      <c r="T978" s="10">
        <v>0</v>
      </c>
      <c r="U978" s="14">
        <v>0</v>
      </c>
      <c r="V978" s="10"/>
      <c r="W978" s="11">
        <v>1</v>
      </c>
      <c r="X978" s="11">
        <v>1</v>
      </c>
      <c r="Y978" s="11">
        <v>0</v>
      </c>
      <c r="Z978" s="11">
        <v>0</v>
      </c>
      <c r="AA978" s="11">
        <f>MasterTable[[#This Row],[Landings
Night]]+MasterTable[[#This Row],[Landings
Day]]</f>
        <v>1</v>
      </c>
      <c r="AB978" s="10">
        <v>0</v>
      </c>
      <c r="AC978" s="10">
        <v>0</v>
      </c>
      <c r="AD978" s="11">
        <v>0</v>
      </c>
      <c r="AE978" s="21">
        <f>SUM(MasterTable[[#This Row],[ILS]:[PAR]])</f>
        <v>0</v>
      </c>
      <c r="AL978" s="11"/>
      <c r="AR978" s="140" t="str">
        <f>_xlfn.XLOOKUP(MasterTable[[#This Row],[Aircraft ID]],Aircraft!A:A,Aircraft!H:H)</f>
        <v>Airplane Single Engine Land</v>
      </c>
      <c r="AS978" s="8" t="b">
        <f>OR((SUM(MasterTable[[#This Row],[ILS]:[PAR]]) = MasterTable[[#This Row],[APPR]]))</f>
        <v>1</v>
      </c>
      <c r="AT978" s="8" t="b">
        <f>NOT(ISBLANK(MasterTable[[#This Row],[Total
Time]]))</f>
        <v>1</v>
      </c>
    </row>
    <row r="979" spans="4:46" ht="28.8" x14ac:dyDescent="0.3">
      <c r="D979" s="22">
        <v>42915</v>
      </c>
      <c r="E979" s="8" t="s">
        <v>174</v>
      </c>
      <c r="F979" s="8" t="s">
        <v>202</v>
      </c>
      <c r="G979" s="8" t="s">
        <v>265</v>
      </c>
      <c r="I979" s="10">
        <v>1.9</v>
      </c>
      <c r="J979" s="10">
        <v>1.9</v>
      </c>
      <c r="L979" s="10">
        <v>0</v>
      </c>
      <c r="M979" s="13">
        <v>0</v>
      </c>
      <c r="N979" s="13"/>
      <c r="O979" s="10">
        <v>0</v>
      </c>
      <c r="P979" s="10">
        <v>0</v>
      </c>
      <c r="Q979" s="14">
        <v>0</v>
      </c>
      <c r="R979" s="14">
        <v>0</v>
      </c>
      <c r="S979" s="10">
        <v>0</v>
      </c>
      <c r="T979" s="10">
        <v>0</v>
      </c>
      <c r="U979" s="14">
        <v>0</v>
      </c>
      <c r="V979" s="10"/>
      <c r="W979" s="11">
        <v>2</v>
      </c>
      <c r="X979" s="11">
        <v>2</v>
      </c>
      <c r="Y979" s="11">
        <v>0</v>
      </c>
      <c r="Z979" s="11">
        <v>0</v>
      </c>
      <c r="AA979" s="11">
        <f>MasterTable[[#This Row],[Landings
Night]]+MasterTable[[#This Row],[Landings
Day]]</f>
        <v>2</v>
      </c>
      <c r="AB979" s="10">
        <v>0</v>
      </c>
      <c r="AC979" s="10">
        <v>0</v>
      </c>
      <c r="AD979" s="11">
        <v>0</v>
      </c>
      <c r="AE979" s="21">
        <f>SUM(MasterTable[[#This Row],[ILS]:[PAR]])</f>
        <v>0</v>
      </c>
      <c r="AL979" s="11"/>
      <c r="AR979" s="140" t="str">
        <f>_xlfn.XLOOKUP(MasterTable[[#This Row],[Aircraft ID]],Aircraft!A:A,Aircraft!H:H)</f>
        <v>Airplane Single Engine Land</v>
      </c>
      <c r="AS979" s="8" t="b">
        <f>OR((SUM(MasterTable[[#This Row],[ILS]:[PAR]]) = MasterTable[[#This Row],[APPR]]))</f>
        <v>1</v>
      </c>
      <c r="AT979" s="8" t="b">
        <f>NOT(ISBLANK(MasterTable[[#This Row],[Total
Time]]))</f>
        <v>1</v>
      </c>
    </row>
    <row r="980" spans="4:46" ht="28.8" x14ac:dyDescent="0.3">
      <c r="D980" s="22">
        <v>42903</v>
      </c>
      <c r="E980" s="8" t="s">
        <v>174</v>
      </c>
      <c r="F980" s="8" t="s">
        <v>202</v>
      </c>
      <c r="G980" s="8" t="s">
        <v>283</v>
      </c>
      <c r="I980" s="10">
        <v>2.1</v>
      </c>
      <c r="J980" s="10">
        <v>2.1</v>
      </c>
      <c r="L980" s="10">
        <v>0</v>
      </c>
      <c r="M980" s="13">
        <v>0</v>
      </c>
      <c r="N980" s="13"/>
      <c r="O980" s="10">
        <v>0</v>
      </c>
      <c r="P980" s="10">
        <v>0</v>
      </c>
      <c r="Q980" s="14">
        <v>0</v>
      </c>
      <c r="R980" s="14">
        <v>0</v>
      </c>
      <c r="S980" s="10">
        <v>0</v>
      </c>
      <c r="T980" s="10">
        <v>2.1</v>
      </c>
      <c r="U980" s="14">
        <v>0</v>
      </c>
      <c r="V980" s="10"/>
      <c r="W980" s="11">
        <v>2</v>
      </c>
      <c r="X980" s="11">
        <v>2</v>
      </c>
      <c r="Y980" s="11">
        <v>0</v>
      </c>
      <c r="Z980" s="11">
        <v>0</v>
      </c>
      <c r="AA980" s="11">
        <f>MasterTable[[#This Row],[Landings
Night]]+MasterTable[[#This Row],[Landings
Day]]</f>
        <v>2</v>
      </c>
      <c r="AB980" s="10">
        <v>0</v>
      </c>
      <c r="AC980" s="10">
        <v>0</v>
      </c>
      <c r="AD980" s="11">
        <v>0</v>
      </c>
      <c r="AE980" s="21">
        <f>SUM(MasterTable[[#This Row],[ILS]:[PAR]])</f>
        <v>0</v>
      </c>
      <c r="AL980" s="11"/>
      <c r="AR980" s="140" t="str">
        <f>_xlfn.XLOOKUP(MasterTable[[#This Row],[Aircraft ID]],Aircraft!A:A,Aircraft!H:H)</f>
        <v>Airplane Single Engine Land</v>
      </c>
      <c r="AS980" s="8" t="b">
        <f>OR((SUM(MasterTable[[#This Row],[ILS]:[PAR]]) = MasterTable[[#This Row],[APPR]]))</f>
        <v>1</v>
      </c>
      <c r="AT980" s="8" t="b">
        <f>NOT(ISBLANK(MasterTable[[#This Row],[Total
Time]]))</f>
        <v>1</v>
      </c>
    </row>
    <row r="981" spans="4:46" ht="28.8" x14ac:dyDescent="0.3">
      <c r="D981" s="22">
        <v>42886</v>
      </c>
      <c r="E981" s="8" t="s">
        <v>174</v>
      </c>
      <c r="F981" s="8" t="s">
        <v>202</v>
      </c>
      <c r="G981" s="8" t="s">
        <v>337</v>
      </c>
      <c r="I981" s="10">
        <v>3.6</v>
      </c>
      <c r="J981" s="10">
        <v>3.6</v>
      </c>
      <c r="L981" s="10">
        <v>0</v>
      </c>
      <c r="M981" s="13">
        <v>0</v>
      </c>
      <c r="N981" s="13"/>
      <c r="O981" s="10">
        <v>0</v>
      </c>
      <c r="P981" s="10">
        <v>0</v>
      </c>
      <c r="Q981" s="14">
        <v>0</v>
      </c>
      <c r="R981" s="14">
        <v>0</v>
      </c>
      <c r="S981" s="10">
        <v>0</v>
      </c>
      <c r="T981" s="10">
        <v>3.6</v>
      </c>
      <c r="U981" s="14">
        <v>0</v>
      </c>
      <c r="V981" s="10"/>
      <c r="W981" s="11">
        <v>2</v>
      </c>
      <c r="X981" s="11">
        <v>2</v>
      </c>
      <c r="Y981" s="11">
        <v>0</v>
      </c>
      <c r="Z981" s="11">
        <v>0</v>
      </c>
      <c r="AA981" s="11">
        <f>MasterTable[[#This Row],[Landings
Night]]+MasterTable[[#This Row],[Landings
Day]]</f>
        <v>2</v>
      </c>
      <c r="AB981" s="10">
        <v>0.2</v>
      </c>
      <c r="AC981" s="10">
        <v>0</v>
      </c>
      <c r="AD981" s="11">
        <v>0</v>
      </c>
      <c r="AE981" s="21">
        <f>SUM(MasterTable[[#This Row],[ILS]:[PAR]])</f>
        <v>1</v>
      </c>
      <c r="AH981" s="11">
        <v>1</v>
      </c>
      <c r="AL981" s="11"/>
      <c r="AR981" s="140" t="str">
        <f>_xlfn.XLOOKUP(MasterTable[[#This Row],[Aircraft ID]],Aircraft!A:A,Aircraft!H:H)</f>
        <v>Airplane Single Engine Land</v>
      </c>
      <c r="AS981" s="8" t="b">
        <f>OR((SUM(MasterTable[[#This Row],[ILS]:[PAR]]) = MasterTable[[#This Row],[APPR]]))</f>
        <v>1</v>
      </c>
      <c r="AT981" s="8" t="b">
        <f>NOT(ISBLANK(MasterTable[[#This Row],[Total
Time]]))</f>
        <v>1</v>
      </c>
    </row>
    <row r="982" spans="4:46" ht="28.8" x14ac:dyDescent="0.3">
      <c r="D982" s="22">
        <v>42885</v>
      </c>
      <c r="E982" s="8" t="s">
        <v>174</v>
      </c>
      <c r="F982" s="8" t="s">
        <v>202</v>
      </c>
      <c r="G982" s="8" t="s">
        <v>202</v>
      </c>
      <c r="I982" s="10">
        <v>1</v>
      </c>
      <c r="J982" s="10">
        <v>1</v>
      </c>
      <c r="L982" s="10">
        <v>0</v>
      </c>
      <c r="M982" s="13">
        <v>0</v>
      </c>
      <c r="N982" s="13"/>
      <c r="O982" s="10">
        <v>0</v>
      </c>
      <c r="P982" s="10">
        <v>0</v>
      </c>
      <c r="Q982" s="14">
        <v>0</v>
      </c>
      <c r="R982" s="14">
        <v>0</v>
      </c>
      <c r="S982" s="10">
        <v>0</v>
      </c>
      <c r="T982" s="10">
        <v>0</v>
      </c>
      <c r="U982" s="14">
        <v>0</v>
      </c>
      <c r="V982" s="10"/>
      <c r="W982" s="11">
        <v>1</v>
      </c>
      <c r="X982" s="11">
        <v>1</v>
      </c>
      <c r="Y982" s="11">
        <v>0</v>
      </c>
      <c r="Z982" s="11">
        <v>0</v>
      </c>
      <c r="AA982" s="11">
        <f>MasterTable[[#This Row],[Landings
Night]]+MasterTable[[#This Row],[Landings
Day]]</f>
        <v>1</v>
      </c>
      <c r="AB982" s="10">
        <v>0</v>
      </c>
      <c r="AC982" s="10">
        <v>0</v>
      </c>
      <c r="AD982" s="11">
        <v>0</v>
      </c>
      <c r="AE982" s="21">
        <f>SUM(MasterTable[[#This Row],[ILS]:[PAR]])</f>
        <v>0</v>
      </c>
      <c r="AL982" s="11"/>
      <c r="AR982" s="140" t="str">
        <f>_xlfn.XLOOKUP(MasterTable[[#This Row],[Aircraft ID]],Aircraft!A:A,Aircraft!H:H)</f>
        <v>Airplane Single Engine Land</v>
      </c>
      <c r="AS982" s="8" t="b">
        <f>OR((SUM(MasterTable[[#This Row],[ILS]:[PAR]]) = MasterTable[[#This Row],[APPR]]))</f>
        <v>1</v>
      </c>
      <c r="AT982" s="8" t="b">
        <f>NOT(ISBLANK(MasterTable[[#This Row],[Total
Time]]))</f>
        <v>1</v>
      </c>
    </row>
    <row r="983" spans="4:46" ht="28.8" x14ac:dyDescent="0.3">
      <c r="D983" s="22">
        <v>42869</v>
      </c>
      <c r="E983" s="8" t="s">
        <v>174</v>
      </c>
      <c r="F983" s="8" t="s">
        <v>202</v>
      </c>
      <c r="G983" s="8" t="s">
        <v>202</v>
      </c>
      <c r="I983" s="10">
        <v>1.1000000000000001</v>
      </c>
      <c r="J983" s="10">
        <v>1.1000000000000001</v>
      </c>
      <c r="L983" s="10">
        <v>0</v>
      </c>
      <c r="M983" s="13">
        <v>0</v>
      </c>
      <c r="N983" s="13"/>
      <c r="O983" s="10">
        <v>0</v>
      </c>
      <c r="P983" s="10">
        <v>0</v>
      </c>
      <c r="Q983" s="14">
        <v>0</v>
      </c>
      <c r="R983" s="14">
        <v>0</v>
      </c>
      <c r="S983" s="10">
        <v>0</v>
      </c>
      <c r="T983" s="10">
        <v>0</v>
      </c>
      <c r="U983" s="14">
        <v>0</v>
      </c>
      <c r="V983" s="10"/>
      <c r="W983" s="11">
        <v>1</v>
      </c>
      <c r="X983" s="11">
        <v>1</v>
      </c>
      <c r="Y983" s="11">
        <v>0</v>
      </c>
      <c r="Z983" s="11">
        <v>0</v>
      </c>
      <c r="AA983" s="11">
        <f>MasterTable[[#This Row],[Landings
Night]]+MasterTable[[#This Row],[Landings
Day]]</f>
        <v>1</v>
      </c>
      <c r="AB983" s="10">
        <v>0</v>
      </c>
      <c r="AC983" s="10">
        <v>0</v>
      </c>
      <c r="AD983" s="11">
        <v>0</v>
      </c>
      <c r="AE983" s="21">
        <f>SUM(MasterTable[[#This Row],[ILS]:[PAR]])</f>
        <v>1</v>
      </c>
      <c r="AH983" s="11">
        <v>1</v>
      </c>
      <c r="AL983" s="11"/>
      <c r="AR983" s="140" t="str">
        <f>_xlfn.XLOOKUP(MasterTable[[#This Row],[Aircraft ID]],Aircraft!A:A,Aircraft!H:H)</f>
        <v>Airplane Single Engine Land</v>
      </c>
      <c r="AS983" s="8" t="b">
        <f>OR((SUM(MasterTable[[#This Row],[ILS]:[PAR]]) = MasterTable[[#This Row],[APPR]]))</f>
        <v>1</v>
      </c>
      <c r="AT983" s="8" t="b">
        <f>NOT(ISBLANK(MasterTable[[#This Row],[Total
Time]]))</f>
        <v>1</v>
      </c>
    </row>
    <row r="984" spans="4:46" ht="28.8" x14ac:dyDescent="0.3">
      <c r="D984" s="22">
        <v>42841</v>
      </c>
      <c r="E984" s="8" t="s">
        <v>174</v>
      </c>
      <c r="F984" s="8" t="s">
        <v>202</v>
      </c>
      <c r="G984" s="8" t="s">
        <v>202</v>
      </c>
      <c r="H984" s="8" t="s">
        <v>338</v>
      </c>
      <c r="I984" s="10">
        <v>1.3</v>
      </c>
      <c r="J984" s="10">
        <v>1.3</v>
      </c>
      <c r="L984" s="10">
        <v>0</v>
      </c>
      <c r="M984" s="13">
        <v>0</v>
      </c>
      <c r="N984" s="13"/>
      <c r="O984" s="10">
        <v>0</v>
      </c>
      <c r="P984" s="10">
        <v>0</v>
      </c>
      <c r="Q984" s="14">
        <v>0</v>
      </c>
      <c r="R984" s="14">
        <v>0</v>
      </c>
      <c r="S984" s="10">
        <v>0</v>
      </c>
      <c r="T984" s="10">
        <v>0</v>
      </c>
      <c r="U984" s="14">
        <v>0</v>
      </c>
      <c r="V984" s="10"/>
      <c r="W984" s="11">
        <v>3</v>
      </c>
      <c r="X984" s="11">
        <v>3</v>
      </c>
      <c r="Y984" s="11">
        <v>0</v>
      </c>
      <c r="Z984" s="11">
        <v>0</v>
      </c>
      <c r="AA984" s="11">
        <f>MasterTable[[#This Row],[Landings
Night]]+MasterTable[[#This Row],[Landings
Day]]</f>
        <v>3</v>
      </c>
      <c r="AB984" s="10">
        <v>0</v>
      </c>
      <c r="AC984" s="10">
        <v>0.3</v>
      </c>
      <c r="AD984" s="11">
        <v>0</v>
      </c>
      <c r="AE984" s="21">
        <f>SUM(MasterTable[[#This Row],[ILS]:[PAR]])</f>
        <v>1</v>
      </c>
      <c r="AH984" s="11">
        <v>1</v>
      </c>
      <c r="AL984" s="11"/>
      <c r="AR984" s="140" t="str">
        <f>_xlfn.XLOOKUP(MasterTable[[#This Row],[Aircraft ID]],Aircraft!A:A,Aircraft!H:H)</f>
        <v>Airplane Single Engine Land</v>
      </c>
      <c r="AS984" s="8" t="b">
        <f>OR((SUM(MasterTable[[#This Row],[ILS]:[PAR]]) = MasterTable[[#This Row],[APPR]]))</f>
        <v>1</v>
      </c>
      <c r="AT984" s="8" t="b">
        <f>NOT(ISBLANK(MasterTable[[#This Row],[Total
Time]]))</f>
        <v>1</v>
      </c>
    </row>
    <row r="985" spans="4:46" ht="28.8" x14ac:dyDescent="0.3">
      <c r="D985" s="22">
        <v>42839</v>
      </c>
      <c r="E985" s="8" t="s">
        <v>174</v>
      </c>
      <c r="F985" s="8" t="s">
        <v>202</v>
      </c>
      <c r="G985" s="8" t="s">
        <v>204</v>
      </c>
      <c r="I985" s="10">
        <v>2.7</v>
      </c>
      <c r="J985" s="10">
        <v>2.7</v>
      </c>
      <c r="L985" s="10">
        <v>0</v>
      </c>
      <c r="M985" s="13">
        <v>0</v>
      </c>
      <c r="N985" s="13"/>
      <c r="O985" s="10">
        <v>0</v>
      </c>
      <c r="P985" s="10">
        <v>0</v>
      </c>
      <c r="Q985" s="14">
        <v>0</v>
      </c>
      <c r="R985" s="14">
        <v>0</v>
      </c>
      <c r="S985" s="10">
        <v>0.7</v>
      </c>
      <c r="T985" s="10">
        <v>2.7</v>
      </c>
      <c r="U985" s="14">
        <v>0</v>
      </c>
      <c r="V985" s="10"/>
      <c r="W985" s="11">
        <v>2</v>
      </c>
      <c r="X985" s="11">
        <v>1</v>
      </c>
      <c r="Y985" s="11">
        <v>0</v>
      </c>
      <c r="Z985" s="11">
        <v>1</v>
      </c>
      <c r="AA985" s="11">
        <f>MasterTable[[#This Row],[Landings
Night]]+MasterTable[[#This Row],[Landings
Day]]</f>
        <v>2</v>
      </c>
      <c r="AB985" s="10">
        <v>0</v>
      </c>
      <c r="AC985" s="10">
        <v>0.3</v>
      </c>
      <c r="AD985" s="11">
        <v>0</v>
      </c>
      <c r="AE985" s="21">
        <f>SUM(MasterTable[[#This Row],[ILS]:[PAR]])</f>
        <v>1</v>
      </c>
      <c r="AG985" s="11">
        <v>1</v>
      </c>
      <c r="AL985" s="11"/>
      <c r="AR985" s="140" t="str">
        <f>_xlfn.XLOOKUP(MasterTable[[#This Row],[Aircraft ID]],Aircraft!A:A,Aircraft!H:H)</f>
        <v>Airplane Single Engine Land</v>
      </c>
      <c r="AS985" s="8" t="b">
        <f>OR((SUM(MasterTable[[#This Row],[ILS]:[PAR]]) = MasterTable[[#This Row],[APPR]]))</f>
        <v>1</v>
      </c>
      <c r="AT985" s="8" t="b">
        <f>NOT(ISBLANK(MasterTable[[#This Row],[Total
Time]]))</f>
        <v>1</v>
      </c>
    </row>
    <row r="986" spans="4:46" ht="28.8" x14ac:dyDescent="0.3">
      <c r="D986" s="22">
        <v>42835</v>
      </c>
      <c r="E986" s="8" t="s">
        <v>174</v>
      </c>
      <c r="F986" s="8" t="s">
        <v>202</v>
      </c>
      <c r="G986" s="8" t="s">
        <v>202</v>
      </c>
      <c r="I986" s="10">
        <v>1.2</v>
      </c>
      <c r="J986" s="10">
        <v>1.2</v>
      </c>
      <c r="L986" s="10">
        <v>0</v>
      </c>
      <c r="M986" s="13">
        <v>0</v>
      </c>
      <c r="N986" s="13"/>
      <c r="O986" s="10">
        <v>0</v>
      </c>
      <c r="P986" s="10">
        <v>0</v>
      </c>
      <c r="Q986" s="14">
        <v>0</v>
      </c>
      <c r="R986" s="14">
        <v>0</v>
      </c>
      <c r="S986" s="10">
        <v>0</v>
      </c>
      <c r="T986" s="10">
        <v>0</v>
      </c>
      <c r="U986" s="14">
        <v>0</v>
      </c>
      <c r="V986" s="10"/>
      <c r="W986" s="11">
        <v>1</v>
      </c>
      <c r="X986" s="11">
        <v>1</v>
      </c>
      <c r="Y986" s="11">
        <v>0</v>
      </c>
      <c r="Z986" s="11">
        <v>0</v>
      </c>
      <c r="AA986" s="11">
        <f>MasterTable[[#This Row],[Landings
Night]]+MasterTable[[#This Row],[Landings
Day]]</f>
        <v>1</v>
      </c>
      <c r="AB986" s="10">
        <v>0</v>
      </c>
      <c r="AC986" s="10">
        <v>0</v>
      </c>
      <c r="AD986" s="11">
        <v>0</v>
      </c>
      <c r="AE986" s="21">
        <f>SUM(MasterTable[[#This Row],[ILS]:[PAR]])</f>
        <v>0</v>
      </c>
      <c r="AL986" s="11"/>
      <c r="AR986" s="140" t="str">
        <f>_xlfn.XLOOKUP(MasterTable[[#This Row],[Aircraft ID]],Aircraft!A:A,Aircraft!H:H)</f>
        <v>Airplane Single Engine Land</v>
      </c>
      <c r="AS986" s="8" t="b">
        <f>OR((SUM(MasterTable[[#This Row],[ILS]:[PAR]]) = MasterTable[[#This Row],[APPR]]))</f>
        <v>1</v>
      </c>
      <c r="AT986" s="8" t="b">
        <f>NOT(ISBLANK(MasterTable[[#This Row],[Total
Time]]))</f>
        <v>1</v>
      </c>
    </row>
    <row r="987" spans="4:46" ht="28.8" x14ac:dyDescent="0.3">
      <c r="D987" s="22">
        <v>42834</v>
      </c>
      <c r="E987" s="8" t="s">
        <v>174</v>
      </c>
      <c r="F987" s="8" t="s">
        <v>202</v>
      </c>
      <c r="G987" s="8" t="s">
        <v>202</v>
      </c>
      <c r="I987" s="10">
        <v>1</v>
      </c>
      <c r="J987" s="10">
        <v>1</v>
      </c>
      <c r="L987" s="10">
        <v>0</v>
      </c>
      <c r="M987" s="13">
        <v>0</v>
      </c>
      <c r="N987" s="13"/>
      <c r="O987" s="10">
        <v>0</v>
      </c>
      <c r="P987" s="10">
        <v>0</v>
      </c>
      <c r="Q987" s="14">
        <v>0</v>
      </c>
      <c r="R987" s="14">
        <v>0</v>
      </c>
      <c r="S987" s="10">
        <v>0</v>
      </c>
      <c r="T987" s="10">
        <v>0</v>
      </c>
      <c r="U987" s="14">
        <v>0</v>
      </c>
      <c r="V987" s="10"/>
      <c r="W987" s="11">
        <v>1</v>
      </c>
      <c r="X987" s="11">
        <v>1</v>
      </c>
      <c r="Y987" s="11">
        <v>0</v>
      </c>
      <c r="Z987" s="11">
        <v>0</v>
      </c>
      <c r="AA987" s="11">
        <f>MasterTable[[#This Row],[Landings
Night]]+MasterTable[[#This Row],[Landings
Day]]</f>
        <v>1</v>
      </c>
      <c r="AB987" s="10">
        <v>0</v>
      </c>
      <c r="AC987" s="10">
        <v>0</v>
      </c>
      <c r="AD987" s="11">
        <v>0</v>
      </c>
      <c r="AE987" s="21">
        <f>SUM(MasterTable[[#This Row],[ILS]:[PAR]])</f>
        <v>0</v>
      </c>
      <c r="AL987" s="11"/>
      <c r="AR987" s="140" t="str">
        <f>_xlfn.XLOOKUP(MasterTable[[#This Row],[Aircraft ID]],Aircraft!A:A,Aircraft!H:H)</f>
        <v>Airplane Single Engine Land</v>
      </c>
      <c r="AS987" s="8" t="b">
        <f>OR((SUM(MasterTable[[#This Row],[ILS]:[PAR]]) = MasterTable[[#This Row],[APPR]]))</f>
        <v>1</v>
      </c>
      <c r="AT987" s="8" t="b">
        <f>NOT(ISBLANK(MasterTable[[#This Row],[Total
Time]]))</f>
        <v>1</v>
      </c>
    </row>
    <row r="988" spans="4:46" ht="28.8" x14ac:dyDescent="0.3">
      <c r="D988" s="22">
        <v>42812</v>
      </c>
      <c r="E988" s="8" t="s">
        <v>174</v>
      </c>
      <c r="F988" s="8" t="s">
        <v>248</v>
      </c>
      <c r="G988" s="8" t="s">
        <v>202</v>
      </c>
      <c r="H988" s="8" t="s">
        <v>339</v>
      </c>
      <c r="I988" s="10">
        <v>3.9</v>
      </c>
      <c r="J988" s="10">
        <v>3.9</v>
      </c>
      <c r="L988" s="10">
        <v>0</v>
      </c>
      <c r="M988" s="13">
        <v>0</v>
      </c>
      <c r="N988" s="13"/>
      <c r="O988" s="10">
        <v>0</v>
      </c>
      <c r="P988" s="10">
        <v>0</v>
      </c>
      <c r="Q988" s="14">
        <v>0</v>
      </c>
      <c r="R988" s="14">
        <v>0</v>
      </c>
      <c r="S988" s="10">
        <v>0</v>
      </c>
      <c r="T988" s="10">
        <v>3.9</v>
      </c>
      <c r="U988" s="14">
        <v>0</v>
      </c>
      <c r="V988" s="10"/>
      <c r="W988" s="11">
        <v>2</v>
      </c>
      <c r="X988" s="11">
        <v>2</v>
      </c>
      <c r="Y988" s="11">
        <v>0</v>
      </c>
      <c r="Z988" s="11">
        <v>0</v>
      </c>
      <c r="AA988" s="11">
        <f>MasterTable[[#This Row],[Landings
Night]]+MasterTable[[#This Row],[Landings
Day]]</f>
        <v>2</v>
      </c>
      <c r="AB988" s="10">
        <v>0</v>
      </c>
      <c r="AC988" s="10">
        <v>0</v>
      </c>
      <c r="AD988" s="11">
        <v>0</v>
      </c>
      <c r="AE988" s="21">
        <f>SUM(MasterTable[[#This Row],[ILS]:[PAR]])</f>
        <v>0</v>
      </c>
      <c r="AL988" s="11"/>
      <c r="AR988" s="140" t="str">
        <f>_xlfn.XLOOKUP(MasterTable[[#This Row],[Aircraft ID]],Aircraft!A:A,Aircraft!H:H)</f>
        <v>Airplane Single Engine Land</v>
      </c>
      <c r="AS988" s="8" t="b">
        <f>OR((SUM(MasterTable[[#This Row],[ILS]:[PAR]]) = MasterTable[[#This Row],[APPR]]))</f>
        <v>1</v>
      </c>
      <c r="AT988" s="8" t="b">
        <f>NOT(ISBLANK(MasterTable[[#This Row],[Total
Time]]))</f>
        <v>1</v>
      </c>
    </row>
    <row r="989" spans="4:46" ht="28.8" x14ac:dyDescent="0.3">
      <c r="D989" s="22">
        <v>42811</v>
      </c>
      <c r="E989" s="8" t="s">
        <v>174</v>
      </c>
      <c r="F989" s="8" t="s">
        <v>202</v>
      </c>
      <c r="G989" s="8" t="s">
        <v>248</v>
      </c>
      <c r="H989" s="8" t="s">
        <v>340</v>
      </c>
      <c r="I989" s="10">
        <v>4</v>
      </c>
      <c r="J989" s="10">
        <v>4</v>
      </c>
      <c r="L989" s="10">
        <v>0</v>
      </c>
      <c r="M989" s="13">
        <v>0</v>
      </c>
      <c r="N989" s="13"/>
      <c r="O989" s="10">
        <v>0</v>
      </c>
      <c r="P989" s="10">
        <v>0</v>
      </c>
      <c r="Q989" s="14">
        <v>0</v>
      </c>
      <c r="R989" s="14">
        <v>0</v>
      </c>
      <c r="S989" s="10">
        <v>1</v>
      </c>
      <c r="T989" s="10">
        <v>4</v>
      </c>
      <c r="U989" s="14">
        <v>0</v>
      </c>
      <c r="V989" s="10"/>
      <c r="W989" s="11">
        <v>2</v>
      </c>
      <c r="X989" s="11">
        <v>2</v>
      </c>
      <c r="Y989" s="11">
        <v>0</v>
      </c>
      <c r="Z989" s="11">
        <v>0</v>
      </c>
      <c r="AA989" s="11">
        <f>MasterTable[[#This Row],[Landings
Night]]+MasterTable[[#This Row],[Landings
Day]]</f>
        <v>2</v>
      </c>
      <c r="AB989" s="10">
        <v>0</v>
      </c>
      <c r="AC989" s="10">
        <v>0</v>
      </c>
      <c r="AD989" s="11">
        <v>0</v>
      </c>
      <c r="AE989" s="21">
        <f>SUM(MasterTable[[#This Row],[ILS]:[PAR]])</f>
        <v>0</v>
      </c>
      <c r="AL989" s="11"/>
      <c r="AR989" s="140" t="str">
        <f>_xlfn.XLOOKUP(MasterTable[[#This Row],[Aircraft ID]],Aircraft!A:A,Aircraft!H:H)</f>
        <v>Airplane Single Engine Land</v>
      </c>
      <c r="AS989" s="8" t="b">
        <f>OR((SUM(MasterTable[[#This Row],[ILS]:[PAR]]) = MasterTable[[#This Row],[APPR]]))</f>
        <v>1</v>
      </c>
      <c r="AT989" s="8" t="b">
        <f>NOT(ISBLANK(MasterTable[[#This Row],[Total
Time]]))</f>
        <v>1</v>
      </c>
    </row>
    <row r="990" spans="4:46" ht="28.8" x14ac:dyDescent="0.3">
      <c r="D990" s="22">
        <v>42797</v>
      </c>
      <c r="E990" s="8" t="s">
        <v>174</v>
      </c>
      <c r="F990" s="8" t="s">
        <v>220</v>
      </c>
      <c r="G990" s="8" t="s">
        <v>202</v>
      </c>
      <c r="I990" s="10">
        <v>0.7</v>
      </c>
      <c r="J990" s="10">
        <v>0.7</v>
      </c>
      <c r="L990" s="10">
        <v>0</v>
      </c>
      <c r="M990" s="13">
        <v>0</v>
      </c>
      <c r="N990" s="13"/>
      <c r="O990" s="10">
        <v>0</v>
      </c>
      <c r="P990" s="10">
        <v>0</v>
      </c>
      <c r="Q990" s="14">
        <v>0</v>
      </c>
      <c r="R990" s="14">
        <v>0</v>
      </c>
      <c r="S990" s="10">
        <v>0</v>
      </c>
      <c r="T990" s="10">
        <v>0</v>
      </c>
      <c r="U990" s="14">
        <v>0</v>
      </c>
      <c r="V990" s="10"/>
      <c r="W990" s="11">
        <v>1</v>
      </c>
      <c r="X990" s="11">
        <v>1</v>
      </c>
      <c r="Y990" s="11">
        <v>0</v>
      </c>
      <c r="Z990" s="11">
        <v>0</v>
      </c>
      <c r="AA990" s="11">
        <f>MasterTable[[#This Row],[Landings
Night]]+MasterTable[[#This Row],[Landings
Day]]</f>
        <v>1</v>
      </c>
      <c r="AB990" s="10">
        <v>0</v>
      </c>
      <c r="AC990" s="10">
        <v>0</v>
      </c>
      <c r="AD990" s="11">
        <v>0</v>
      </c>
      <c r="AE990" s="21">
        <f>SUM(MasterTable[[#This Row],[ILS]:[PAR]])</f>
        <v>0</v>
      </c>
      <c r="AL990" s="11"/>
      <c r="AR990" s="140" t="str">
        <f>_xlfn.XLOOKUP(MasterTable[[#This Row],[Aircraft ID]],Aircraft!A:A,Aircraft!H:H)</f>
        <v>Airplane Single Engine Land</v>
      </c>
      <c r="AS990" s="8" t="b">
        <f>OR((SUM(MasterTable[[#This Row],[ILS]:[PAR]]) = MasterTable[[#This Row],[APPR]]))</f>
        <v>1</v>
      </c>
      <c r="AT990" s="8" t="b">
        <f>NOT(ISBLANK(MasterTable[[#This Row],[Total
Time]]))</f>
        <v>1</v>
      </c>
    </row>
    <row r="991" spans="4:46" ht="28.8" x14ac:dyDescent="0.3">
      <c r="D991" s="22">
        <v>42797</v>
      </c>
      <c r="E991" s="8" t="s">
        <v>68</v>
      </c>
      <c r="F991" s="8" t="s">
        <v>220</v>
      </c>
      <c r="G991" s="8" t="s">
        <v>220</v>
      </c>
      <c r="H991" s="8" t="s">
        <v>341</v>
      </c>
      <c r="I991" s="10">
        <v>1.2</v>
      </c>
      <c r="J991" s="10">
        <v>1.2</v>
      </c>
      <c r="L991" s="10">
        <v>0</v>
      </c>
      <c r="M991" s="13">
        <v>0</v>
      </c>
      <c r="N991" s="13"/>
      <c r="O991" s="10">
        <v>0</v>
      </c>
      <c r="P991" s="10">
        <v>0</v>
      </c>
      <c r="Q991" s="14">
        <v>0</v>
      </c>
      <c r="R991" s="14">
        <v>0</v>
      </c>
      <c r="S991" s="10">
        <v>0</v>
      </c>
      <c r="T991" s="10">
        <v>0</v>
      </c>
      <c r="U991" s="14">
        <v>0</v>
      </c>
      <c r="V991" s="10"/>
      <c r="W991" s="11">
        <v>2</v>
      </c>
      <c r="X991" s="11">
        <v>2</v>
      </c>
      <c r="Y991" s="11">
        <v>0</v>
      </c>
      <c r="Z991" s="11">
        <v>0</v>
      </c>
      <c r="AA991" s="11">
        <f>MasterTable[[#This Row],[Landings
Night]]+MasterTable[[#This Row],[Landings
Day]]</f>
        <v>2</v>
      </c>
      <c r="AB991" s="10">
        <v>0</v>
      </c>
      <c r="AC991" s="10">
        <v>0.3</v>
      </c>
      <c r="AD991" s="11">
        <v>0</v>
      </c>
      <c r="AE991" s="21">
        <f>SUM(MasterTable[[#This Row],[ILS]:[PAR]])</f>
        <v>1</v>
      </c>
      <c r="AI991" s="11">
        <v>1</v>
      </c>
      <c r="AL991" s="11"/>
      <c r="AP991" s="27" t="b">
        <v>1</v>
      </c>
      <c r="AR991" s="140" t="str">
        <f>_xlfn.XLOOKUP(MasterTable[[#This Row],[Aircraft ID]],Aircraft!A:A,Aircraft!H:H)</f>
        <v>Airplane Multi Engine Land</v>
      </c>
      <c r="AS991" s="8" t="b">
        <f>OR((SUM(MasterTable[[#This Row],[ILS]:[PAR]]) = MasterTable[[#This Row],[APPR]]))</f>
        <v>1</v>
      </c>
      <c r="AT991" s="8" t="b">
        <f>NOT(ISBLANK(MasterTable[[#This Row],[Total
Time]]))</f>
        <v>1</v>
      </c>
    </row>
    <row r="992" spans="4:46" ht="28.8" x14ac:dyDescent="0.3">
      <c r="D992" s="22">
        <v>42796</v>
      </c>
      <c r="E992" s="8" t="s">
        <v>68</v>
      </c>
      <c r="F992" s="8" t="s">
        <v>220</v>
      </c>
      <c r="G992" s="8" t="s">
        <v>220</v>
      </c>
      <c r="I992" s="10">
        <v>1.2</v>
      </c>
      <c r="J992" s="10">
        <v>0</v>
      </c>
      <c r="L992" s="10">
        <v>0</v>
      </c>
      <c r="M992" s="13">
        <v>0</v>
      </c>
      <c r="N992" s="13"/>
      <c r="O992" s="10">
        <v>0</v>
      </c>
      <c r="P992" s="10">
        <v>1.2</v>
      </c>
      <c r="Q992" s="14">
        <v>0</v>
      </c>
      <c r="R992" s="14">
        <v>0</v>
      </c>
      <c r="S992" s="10">
        <v>1</v>
      </c>
      <c r="T992" s="10">
        <v>0</v>
      </c>
      <c r="U992" s="14">
        <v>0</v>
      </c>
      <c r="V992" s="10"/>
      <c r="W992" s="11">
        <v>1</v>
      </c>
      <c r="X992" s="11">
        <v>1</v>
      </c>
      <c r="Y992" s="11">
        <v>7</v>
      </c>
      <c r="Z992" s="11">
        <v>7</v>
      </c>
      <c r="AA992" s="11">
        <f>MasterTable[[#This Row],[Landings
Night]]+MasterTable[[#This Row],[Landings
Day]]</f>
        <v>8</v>
      </c>
      <c r="AB992" s="10">
        <v>0</v>
      </c>
      <c r="AC992" s="10">
        <v>0</v>
      </c>
      <c r="AD992" s="11">
        <v>0</v>
      </c>
      <c r="AE992" s="21">
        <f>SUM(MasterTable[[#This Row],[ILS]:[PAR]])</f>
        <v>0</v>
      </c>
      <c r="AL992" s="11"/>
      <c r="AR992" s="140" t="str">
        <f>_xlfn.XLOOKUP(MasterTable[[#This Row],[Aircraft ID]],Aircraft!A:A,Aircraft!H:H)</f>
        <v>Airplane Multi Engine Land</v>
      </c>
      <c r="AS992" s="8" t="b">
        <f>OR((SUM(MasterTable[[#This Row],[ILS]:[PAR]]) = MasterTable[[#This Row],[APPR]]))</f>
        <v>1</v>
      </c>
      <c r="AT992" s="8" t="b">
        <f>NOT(ISBLANK(MasterTable[[#This Row],[Total
Time]]))</f>
        <v>1</v>
      </c>
    </row>
    <row r="993" spans="4:46" ht="28.8" x14ac:dyDescent="0.3">
      <c r="D993" s="22">
        <v>42796</v>
      </c>
      <c r="E993" s="8" t="s">
        <v>174</v>
      </c>
      <c r="F993" s="8" t="s">
        <v>202</v>
      </c>
      <c r="G993" s="8" t="s">
        <v>220</v>
      </c>
      <c r="I993" s="10">
        <v>0.6</v>
      </c>
      <c r="J993" s="10">
        <v>0.6</v>
      </c>
      <c r="L993" s="10">
        <v>0</v>
      </c>
      <c r="M993" s="13">
        <v>0</v>
      </c>
      <c r="N993" s="13"/>
      <c r="O993" s="10">
        <v>0</v>
      </c>
      <c r="P993" s="10">
        <v>0</v>
      </c>
      <c r="Q993" s="14">
        <v>0</v>
      </c>
      <c r="R993" s="14">
        <v>0</v>
      </c>
      <c r="S993" s="10">
        <v>0</v>
      </c>
      <c r="T993" s="10">
        <v>0</v>
      </c>
      <c r="U993" s="14">
        <v>0</v>
      </c>
      <c r="V993" s="10"/>
      <c r="W993" s="11">
        <v>1</v>
      </c>
      <c r="X993" s="11">
        <v>1</v>
      </c>
      <c r="Y993" s="11">
        <v>0</v>
      </c>
      <c r="Z993" s="11">
        <v>0</v>
      </c>
      <c r="AA993" s="11">
        <f>MasterTable[[#This Row],[Landings
Night]]+MasterTable[[#This Row],[Landings
Day]]</f>
        <v>1</v>
      </c>
      <c r="AB993" s="10">
        <v>0</v>
      </c>
      <c r="AC993" s="10">
        <v>0</v>
      </c>
      <c r="AD993" s="11">
        <v>0</v>
      </c>
      <c r="AE993" s="21">
        <f>SUM(MasterTable[[#This Row],[ILS]:[PAR]])</f>
        <v>0</v>
      </c>
      <c r="AL993" s="11"/>
      <c r="AR993" s="140" t="str">
        <f>_xlfn.XLOOKUP(MasterTable[[#This Row],[Aircraft ID]],Aircraft!A:A,Aircraft!H:H)</f>
        <v>Airplane Single Engine Land</v>
      </c>
      <c r="AS993" s="8" t="b">
        <f>OR((SUM(MasterTable[[#This Row],[ILS]:[PAR]]) = MasterTable[[#This Row],[APPR]]))</f>
        <v>1</v>
      </c>
      <c r="AT993" s="8" t="b">
        <f>NOT(ISBLANK(MasterTable[[#This Row],[Total
Time]]))</f>
        <v>1</v>
      </c>
    </row>
    <row r="994" spans="4:46" ht="28.8" x14ac:dyDescent="0.3">
      <c r="D994" s="22">
        <v>42794</v>
      </c>
      <c r="E994" s="8" t="s">
        <v>68</v>
      </c>
      <c r="F994" s="8" t="s">
        <v>220</v>
      </c>
      <c r="G994" s="8" t="s">
        <v>220</v>
      </c>
      <c r="H994" s="8" t="s">
        <v>342</v>
      </c>
      <c r="I994" s="10">
        <v>2.8</v>
      </c>
      <c r="J994" s="10">
        <v>0</v>
      </c>
      <c r="L994" s="10">
        <v>0</v>
      </c>
      <c r="M994" s="13">
        <v>0</v>
      </c>
      <c r="N994" s="13"/>
      <c r="O994" s="10">
        <v>0</v>
      </c>
      <c r="P994" s="10">
        <v>2.8</v>
      </c>
      <c r="Q994" s="14">
        <v>0</v>
      </c>
      <c r="R994" s="14">
        <v>0</v>
      </c>
      <c r="T994" s="10">
        <v>0</v>
      </c>
      <c r="U994" s="14">
        <v>0</v>
      </c>
      <c r="V994" s="10"/>
      <c r="W994" s="11">
        <v>6</v>
      </c>
      <c r="X994" s="11">
        <v>6</v>
      </c>
      <c r="Y994" s="11">
        <v>0</v>
      </c>
      <c r="Z994" s="11">
        <v>0</v>
      </c>
      <c r="AA994" s="11">
        <f>MasterTable[[#This Row],[Landings
Night]]+MasterTable[[#This Row],[Landings
Day]]</f>
        <v>6</v>
      </c>
      <c r="AB994" s="10">
        <v>0</v>
      </c>
      <c r="AC994" s="10">
        <v>0.4</v>
      </c>
      <c r="AD994" s="11">
        <v>0</v>
      </c>
      <c r="AE994" s="21">
        <f>SUM(MasterTable[[#This Row],[ILS]:[PAR]])</f>
        <v>1</v>
      </c>
      <c r="AI994" s="11">
        <v>1</v>
      </c>
      <c r="AL994" s="11"/>
      <c r="AM994" s="8" t="s">
        <v>535</v>
      </c>
      <c r="AR994" s="140" t="str">
        <f>_xlfn.XLOOKUP(MasterTable[[#This Row],[Aircraft ID]],Aircraft!A:A,Aircraft!H:H)</f>
        <v>Airplane Multi Engine Land</v>
      </c>
      <c r="AS994" s="8" t="b">
        <f>OR((SUM(MasterTable[[#This Row],[ILS]:[PAR]]) = MasterTable[[#This Row],[APPR]]))</f>
        <v>1</v>
      </c>
      <c r="AT994" s="8" t="b">
        <f>NOT(ISBLANK(MasterTable[[#This Row],[Total
Time]]))</f>
        <v>1</v>
      </c>
    </row>
    <row r="995" spans="4:46" ht="28.8" x14ac:dyDescent="0.3">
      <c r="D995" s="22">
        <v>42794</v>
      </c>
      <c r="E995" s="8" t="s">
        <v>174</v>
      </c>
      <c r="F995" s="8" t="s">
        <v>202</v>
      </c>
      <c r="G995" s="8" t="s">
        <v>220</v>
      </c>
      <c r="I995" s="10">
        <v>1.4</v>
      </c>
      <c r="J995" s="10">
        <v>1.4</v>
      </c>
      <c r="L995" s="10">
        <v>0</v>
      </c>
      <c r="M995" s="13">
        <v>0</v>
      </c>
      <c r="N995" s="13"/>
      <c r="O995" s="10">
        <v>0</v>
      </c>
      <c r="P995" s="10">
        <v>0</v>
      </c>
      <c r="Q995" s="14">
        <v>0</v>
      </c>
      <c r="R995" s="14">
        <v>0</v>
      </c>
      <c r="S995" s="10">
        <v>0</v>
      </c>
      <c r="T995" s="10">
        <v>0</v>
      </c>
      <c r="U995" s="14">
        <v>0</v>
      </c>
      <c r="V995" s="10"/>
      <c r="W995" s="11">
        <v>1</v>
      </c>
      <c r="X995" s="11">
        <v>1</v>
      </c>
      <c r="Y995" s="11">
        <v>0</v>
      </c>
      <c r="Z995" s="11">
        <v>0</v>
      </c>
      <c r="AA995" s="11">
        <f>MasterTable[[#This Row],[Landings
Night]]+MasterTable[[#This Row],[Landings
Day]]</f>
        <v>1</v>
      </c>
      <c r="AB995" s="10">
        <v>0</v>
      </c>
      <c r="AC995" s="10">
        <v>0</v>
      </c>
      <c r="AD995" s="11">
        <v>0</v>
      </c>
      <c r="AE995" s="21">
        <f>SUM(MasterTable[[#This Row],[ILS]:[PAR]])</f>
        <v>0</v>
      </c>
      <c r="AL995" s="11"/>
      <c r="AR995" s="140" t="str">
        <f>_xlfn.XLOOKUP(MasterTable[[#This Row],[Aircraft ID]],Aircraft!A:A,Aircraft!H:H)</f>
        <v>Airplane Single Engine Land</v>
      </c>
      <c r="AS995" s="8" t="b">
        <f>OR((SUM(MasterTable[[#This Row],[ILS]:[PAR]]) = MasterTable[[#This Row],[APPR]]))</f>
        <v>1</v>
      </c>
      <c r="AT995" s="8" t="b">
        <f>NOT(ISBLANK(MasterTable[[#This Row],[Total
Time]]))</f>
        <v>1</v>
      </c>
    </row>
    <row r="996" spans="4:46" ht="28.8" x14ac:dyDescent="0.3">
      <c r="D996" s="22">
        <v>42792</v>
      </c>
      <c r="E996" s="8" t="s">
        <v>174</v>
      </c>
      <c r="F996" s="8" t="s">
        <v>202</v>
      </c>
      <c r="G996" s="8" t="s">
        <v>202</v>
      </c>
      <c r="I996" s="10">
        <v>0.8</v>
      </c>
      <c r="J996" s="10">
        <v>0.8</v>
      </c>
      <c r="L996" s="10">
        <v>0</v>
      </c>
      <c r="M996" s="13">
        <v>0</v>
      </c>
      <c r="N996" s="13"/>
      <c r="O996" s="10">
        <v>0</v>
      </c>
      <c r="P996" s="10">
        <v>0</v>
      </c>
      <c r="Q996" s="14">
        <v>0</v>
      </c>
      <c r="R996" s="14">
        <v>0</v>
      </c>
      <c r="S996" s="10">
        <v>0</v>
      </c>
      <c r="T996" s="10">
        <v>0</v>
      </c>
      <c r="U996" s="14">
        <v>0</v>
      </c>
      <c r="V996" s="10"/>
      <c r="W996" s="11">
        <v>1</v>
      </c>
      <c r="X996" s="11">
        <v>1</v>
      </c>
      <c r="Y996" s="11">
        <v>0</v>
      </c>
      <c r="Z996" s="11">
        <v>0</v>
      </c>
      <c r="AA996" s="11">
        <f>MasterTable[[#This Row],[Landings
Night]]+MasterTable[[#This Row],[Landings
Day]]</f>
        <v>1</v>
      </c>
      <c r="AB996" s="10">
        <v>0</v>
      </c>
      <c r="AC996" s="10">
        <v>0</v>
      </c>
      <c r="AD996" s="11">
        <v>0</v>
      </c>
      <c r="AE996" s="21">
        <f>SUM(MasterTable[[#This Row],[ILS]:[PAR]])</f>
        <v>0</v>
      </c>
      <c r="AL996" s="11"/>
      <c r="AR996" s="140" t="str">
        <f>_xlfn.XLOOKUP(MasterTable[[#This Row],[Aircraft ID]],Aircraft!A:A,Aircraft!H:H)</f>
        <v>Airplane Single Engine Land</v>
      </c>
      <c r="AS996" s="8" t="b">
        <f>OR((SUM(MasterTable[[#This Row],[ILS]:[PAR]]) = MasterTable[[#This Row],[APPR]]))</f>
        <v>1</v>
      </c>
      <c r="AT996" s="8" t="b">
        <f>NOT(ISBLANK(MasterTable[[#This Row],[Total
Time]]))</f>
        <v>1</v>
      </c>
    </row>
    <row r="997" spans="4:46" ht="28.8" x14ac:dyDescent="0.3">
      <c r="D997" s="22">
        <v>42770</v>
      </c>
      <c r="E997" s="8" t="s">
        <v>174</v>
      </c>
      <c r="F997" s="8" t="s">
        <v>202</v>
      </c>
      <c r="G997" s="8" t="s">
        <v>220</v>
      </c>
      <c r="I997" s="10">
        <v>1.4</v>
      </c>
      <c r="J997" s="10">
        <v>1.4</v>
      </c>
      <c r="L997" s="10">
        <v>0</v>
      </c>
      <c r="M997" s="13">
        <v>0</v>
      </c>
      <c r="N997" s="13"/>
      <c r="O997" s="10">
        <v>0</v>
      </c>
      <c r="P997" s="10">
        <v>0</v>
      </c>
      <c r="Q997" s="14">
        <v>0</v>
      </c>
      <c r="R997" s="14">
        <v>0</v>
      </c>
      <c r="S997" s="10">
        <v>0.2</v>
      </c>
      <c r="T997" s="10">
        <v>0</v>
      </c>
      <c r="U997" s="14">
        <v>0</v>
      </c>
      <c r="V997" s="10"/>
      <c r="W997" s="11">
        <v>2</v>
      </c>
      <c r="X997" s="11">
        <v>1</v>
      </c>
      <c r="Y997" s="11">
        <v>0</v>
      </c>
      <c r="Z997" s="11">
        <v>1</v>
      </c>
      <c r="AA997" s="11">
        <f>MasterTable[[#This Row],[Landings
Night]]+MasterTable[[#This Row],[Landings
Day]]</f>
        <v>2</v>
      </c>
      <c r="AB997" s="10">
        <v>0</v>
      </c>
      <c r="AC997" s="10">
        <v>0</v>
      </c>
      <c r="AD997" s="11">
        <v>0</v>
      </c>
      <c r="AE997" s="21">
        <f>SUM(MasterTable[[#This Row],[ILS]:[PAR]])</f>
        <v>0</v>
      </c>
      <c r="AL997" s="11"/>
      <c r="AR997" s="140" t="str">
        <f>_xlfn.XLOOKUP(MasterTable[[#This Row],[Aircraft ID]],Aircraft!A:A,Aircraft!H:H)</f>
        <v>Airplane Single Engine Land</v>
      </c>
      <c r="AS997" s="8" t="b">
        <f>OR((SUM(MasterTable[[#This Row],[ILS]:[PAR]]) = MasterTable[[#This Row],[APPR]]))</f>
        <v>1</v>
      </c>
      <c r="AT997" s="8" t="b">
        <f>NOT(ISBLANK(MasterTable[[#This Row],[Total
Time]]))</f>
        <v>1</v>
      </c>
    </row>
    <row r="998" spans="4:46" ht="28.8" x14ac:dyDescent="0.3">
      <c r="D998" s="22">
        <v>42763</v>
      </c>
      <c r="E998" s="8" t="s">
        <v>68</v>
      </c>
      <c r="F998" s="8" t="s">
        <v>220</v>
      </c>
      <c r="G998" s="8" t="s">
        <v>220</v>
      </c>
      <c r="H998" s="8" t="s">
        <v>342</v>
      </c>
      <c r="I998" s="10">
        <v>2.4</v>
      </c>
      <c r="J998" s="10">
        <v>0</v>
      </c>
      <c r="L998" s="10">
        <v>0</v>
      </c>
      <c r="M998" s="13">
        <v>0</v>
      </c>
      <c r="N998" s="13"/>
      <c r="O998" s="10">
        <v>0</v>
      </c>
      <c r="P998" s="10">
        <v>2.4</v>
      </c>
      <c r="Q998" s="14">
        <v>0</v>
      </c>
      <c r="R998" s="14">
        <v>0</v>
      </c>
      <c r="S998" s="10">
        <v>0</v>
      </c>
      <c r="T998" s="10">
        <v>0</v>
      </c>
      <c r="U998" s="14">
        <v>0</v>
      </c>
      <c r="V998" s="10"/>
      <c r="W998" s="11">
        <v>4</v>
      </c>
      <c r="X998" s="11">
        <v>4</v>
      </c>
      <c r="Y998" s="11">
        <v>0</v>
      </c>
      <c r="Z998" s="11">
        <v>0</v>
      </c>
      <c r="AA998" s="11">
        <f>MasterTable[[#This Row],[Landings
Night]]+MasterTable[[#This Row],[Landings
Day]]</f>
        <v>4</v>
      </c>
      <c r="AB998" s="10">
        <v>0</v>
      </c>
      <c r="AC998" s="10">
        <v>0</v>
      </c>
      <c r="AD998" s="11">
        <v>0</v>
      </c>
      <c r="AE998" s="21">
        <f>SUM(MasterTable[[#This Row],[ILS]:[PAR]])</f>
        <v>0</v>
      </c>
      <c r="AL998" s="11"/>
      <c r="AR998" s="140" t="str">
        <f>_xlfn.XLOOKUP(MasterTable[[#This Row],[Aircraft ID]],Aircraft!A:A,Aircraft!H:H)</f>
        <v>Airplane Multi Engine Land</v>
      </c>
      <c r="AS998" s="8" t="b">
        <f>OR((SUM(MasterTable[[#This Row],[ILS]:[PAR]]) = MasterTable[[#This Row],[APPR]]))</f>
        <v>1</v>
      </c>
      <c r="AT998" s="8" t="b">
        <f>NOT(ISBLANK(MasterTable[[#This Row],[Total
Time]]))</f>
        <v>1</v>
      </c>
    </row>
    <row r="999" spans="4:46" ht="28.8" x14ac:dyDescent="0.3">
      <c r="D999" s="22">
        <v>42763</v>
      </c>
      <c r="E999" s="8" t="s">
        <v>68</v>
      </c>
      <c r="F999" s="8" t="s">
        <v>220</v>
      </c>
      <c r="G999" s="8" t="s">
        <v>220</v>
      </c>
      <c r="H999" s="8" t="s">
        <v>343</v>
      </c>
      <c r="I999" s="10">
        <v>3.4</v>
      </c>
      <c r="J999" s="10">
        <v>0</v>
      </c>
      <c r="L999" s="10">
        <v>0</v>
      </c>
      <c r="M999" s="13">
        <v>0</v>
      </c>
      <c r="N999" s="13"/>
      <c r="O999" s="10">
        <v>0</v>
      </c>
      <c r="P999" s="10">
        <v>3.4</v>
      </c>
      <c r="Q999" s="14">
        <v>0</v>
      </c>
      <c r="R999" s="14">
        <v>0</v>
      </c>
      <c r="S999" s="10">
        <v>2.2000000000000002</v>
      </c>
      <c r="T999" s="10">
        <v>3.2</v>
      </c>
      <c r="U999" s="14">
        <v>0</v>
      </c>
      <c r="V999" s="10"/>
      <c r="W999" s="11">
        <v>3</v>
      </c>
      <c r="X999" s="11">
        <v>3</v>
      </c>
      <c r="Y999" s="11">
        <v>3</v>
      </c>
      <c r="Z999" s="11">
        <v>3</v>
      </c>
      <c r="AA999" s="11">
        <f>MasterTable[[#This Row],[Landings
Night]]+MasterTable[[#This Row],[Landings
Day]]</f>
        <v>6</v>
      </c>
      <c r="AB999" s="10">
        <v>0</v>
      </c>
      <c r="AC999" s="10">
        <v>2.2999999999999998</v>
      </c>
      <c r="AD999" s="11">
        <v>1</v>
      </c>
      <c r="AE999" s="21">
        <f>SUM(MasterTable[[#This Row],[ILS]:[PAR]])</f>
        <v>3</v>
      </c>
      <c r="AF999" s="11">
        <v>2</v>
      </c>
      <c r="AI999" s="11">
        <v>1</v>
      </c>
      <c r="AL999" s="11"/>
      <c r="AR999" s="140" t="str">
        <f>_xlfn.XLOOKUP(MasterTable[[#This Row],[Aircraft ID]],Aircraft!A:A,Aircraft!H:H)</f>
        <v>Airplane Multi Engine Land</v>
      </c>
      <c r="AS999" s="8" t="b">
        <f>OR((SUM(MasterTable[[#This Row],[ILS]:[PAR]]) = MasterTable[[#This Row],[APPR]]))</f>
        <v>1</v>
      </c>
      <c r="AT999" s="8" t="b">
        <f>NOT(ISBLANK(MasterTable[[#This Row],[Total
Time]]))</f>
        <v>1</v>
      </c>
    </row>
    <row r="1000" spans="4:46" ht="28.8" x14ac:dyDescent="0.3">
      <c r="D1000" s="22">
        <v>42763</v>
      </c>
      <c r="E1000" s="8" t="s">
        <v>174</v>
      </c>
      <c r="F1000" s="8" t="s">
        <v>202</v>
      </c>
      <c r="G1000" s="8" t="s">
        <v>220</v>
      </c>
      <c r="I1000" s="10">
        <v>1.3</v>
      </c>
      <c r="J1000" s="10">
        <v>1.3</v>
      </c>
      <c r="L1000" s="10">
        <v>0</v>
      </c>
      <c r="M1000" s="13">
        <v>0</v>
      </c>
      <c r="N1000" s="13"/>
      <c r="O1000" s="10">
        <v>0</v>
      </c>
      <c r="P1000" s="10">
        <v>0</v>
      </c>
      <c r="Q1000" s="14">
        <v>0</v>
      </c>
      <c r="R1000" s="14">
        <v>0</v>
      </c>
      <c r="S1000" s="10">
        <v>0.7</v>
      </c>
      <c r="T1000" s="10">
        <v>0</v>
      </c>
      <c r="U1000" s="14">
        <v>0</v>
      </c>
      <c r="V1000" s="10"/>
      <c r="W1000" s="11">
        <v>2</v>
      </c>
      <c r="X1000" s="11">
        <v>1</v>
      </c>
      <c r="Y1000" s="11">
        <v>0</v>
      </c>
      <c r="Z1000" s="11">
        <v>1</v>
      </c>
      <c r="AA1000" s="11">
        <f>MasterTable[[#This Row],[Landings
Night]]+MasterTable[[#This Row],[Landings
Day]]</f>
        <v>2</v>
      </c>
      <c r="AB1000" s="10">
        <v>0</v>
      </c>
      <c r="AC1000" s="10">
        <v>0</v>
      </c>
      <c r="AD1000" s="11">
        <v>0</v>
      </c>
      <c r="AE1000" s="21">
        <f>SUM(MasterTable[[#This Row],[ILS]:[PAR]])</f>
        <v>0</v>
      </c>
      <c r="AL1000" s="11"/>
      <c r="AR1000" s="140" t="str">
        <f>_xlfn.XLOOKUP(MasterTable[[#This Row],[Aircraft ID]],Aircraft!A:A,Aircraft!H:H)</f>
        <v>Airplane Single Engine Land</v>
      </c>
      <c r="AS1000" s="8" t="b">
        <f>OR((SUM(MasterTable[[#This Row],[ILS]:[PAR]]) = MasterTable[[#This Row],[APPR]]))</f>
        <v>1</v>
      </c>
      <c r="AT1000" s="8" t="b">
        <f>NOT(ISBLANK(MasterTable[[#This Row],[Total
Time]]))</f>
        <v>1</v>
      </c>
    </row>
    <row r="1001" spans="4:46" ht="28.8" x14ac:dyDescent="0.3">
      <c r="D1001" s="22">
        <v>42761</v>
      </c>
      <c r="E1001" s="8" t="s">
        <v>68</v>
      </c>
      <c r="F1001" s="8" t="s">
        <v>220</v>
      </c>
      <c r="G1001" s="8" t="s">
        <v>265</v>
      </c>
      <c r="I1001" s="10">
        <v>2.1</v>
      </c>
      <c r="J1001" s="10">
        <v>0</v>
      </c>
      <c r="L1001" s="10">
        <v>0</v>
      </c>
      <c r="M1001" s="13">
        <v>0</v>
      </c>
      <c r="N1001" s="13"/>
      <c r="O1001" s="10">
        <v>0</v>
      </c>
      <c r="P1001" s="10">
        <v>2.1</v>
      </c>
      <c r="Q1001" s="14">
        <v>0</v>
      </c>
      <c r="R1001" s="14">
        <v>0</v>
      </c>
      <c r="S1001" s="10">
        <v>0</v>
      </c>
      <c r="T1001" s="10">
        <v>0</v>
      </c>
      <c r="U1001" s="14">
        <v>0</v>
      </c>
      <c r="V1001" s="10"/>
      <c r="W1001" s="11">
        <v>3</v>
      </c>
      <c r="X1001" s="11">
        <v>3</v>
      </c>
      <c r="Y1001" s="11">
        <v>0</v>
      </c>
      <c r="Z1001" s="11">
        <v>0</v>
      </c>
      <c r="AA1001" s="11">
        <f>MasterTable[[#This Row],[Landings
Night]]+MasterTable[[#This Row],[Landings
Day]]</f>
        <v>3</v>
      </c>
      <c r="AB1001" s="10">
        <v>0</v>
      </c>
      <c r="AC1001" s="10">
        <v>0.3</v>
      </c>
      <c r="AD1001" s="11">
        <v>0</v>
      </c>
      <c r="AE1001" s="21">
        <f>SUM(MasterTable[[#This Row],[ILS]:[PAR]])</f>
        <v>0</v>
      </c>
      <c r="AL1001" s="11"/>
      <c r="AR1001" s="140" t="str">
        <f>_xlfn.XLOOKUP(MasterTable[[#This Row],[Aircraft ID]],Aircraft!A:A,Aircraft!H:H)</f>
        <v>Airplane Multi Engine Land</v>
      </c>
      <c r="AS1001" s="8" t="b">
        <f>OR((SUM(MasterTable[[#This Row],[ILS]:[PAR]]) = MasterTable[[#This Row],[APPR]]))</f>
        <v>1</v>
      </c>
      <c r="AT1001" s="8" t="b">
        <f>NOT(ISBLANK(MasterTable[[#This Row],[Total
Time]]))</f>
        <v>1</v>
      </c>
    </row>
    <row r="1002" spans="4:46" ht="28.8" x14ac:dyDescent="0.3">
      <c r="D1002" s="22">
        <v>42761</v>
      </c>
      <c r="E1002" s="8" t="s">
        <v>174</v>
      </c>
      <c r="F1002" s="8" t="s">
        <v>202</v>
      </c>
      <c r="G1002" s="8" t="s">
        <v>220</v>
      </c>
      <c r="I1002" s="10">
        <v>1.4</v>
      </c>
      <c r="J1002" s="10">
        <v>1.4</v>
      </c>
      <c r="L1002" s="10">
        <v>0</v>
      </c>
      <c r="M1002" s="13">
        <v>0</v>
      </c>
      <c r="N1002" s="13"/>
      <c r="O1002" s="10">
        <v>0</v>
      </c>
      <c r="P1002" s="10">
        <v>0</v>
      </c>
      <c r="Q1002" s="14">
        <v>0</v>
      </c>
      <c r="R1002" s="14">
        <v>0</v>
      </c>
      <c r="S1002" s="10">
        <v>0.2</v>
      </c>
      <c r="T1002" s="10">
        <v>0</v>
      </c>
      <c r="U1002" s="14">
        <v>0</v>
      </c>
      <c r="V1002" s="10"/>
      <c r="W1002" s="11">
        <v>2</v>
      </c>
      <c r="X1002" s="11">
        <v>1</v>
      </c>
      <c r="Y1002" s="11">
        <v>0</v>
      </c>
      <c r="Z1002" s="11">
        <v>1</v>
      </c>
      <c r="AA1002" s="11">
        <f>MasterTable[[#This Row],[Landings
Night]]+MasterTable[[#This Row],[Landings
Day]]</f>
        <v>2</v>
      </c>
      <c r="AB1002" s="10">
        <v>0</v>
      </c>
      <c r="AC1002" s="10">
        <v>0</v>
      </c>
      <c r="AD1002" s="11">
        <v>0</v>
      </c>
      <c r="AE1002" s="21">
        <f>SUM(MasterTable[[#This Row],[ILS]:[PAR]])</f>
        <v>0</v>
      </c>
      <c r="AL1002" s="11"/>
      <c r="AR1002" s="140" t="str">
        <f>_xlfn.XLOOKUP(MasterTable[[#This Row],[Aircraft ID]],Aircraft!A:A,Aircraft!H:H)</f>
        <v>Airplane Single Engine Land</v>
      </c>
      <c r="AS1002" s="8" t="b">
        <f>OR((SUM(MasterTable[[#This Row],[ILS]:[PAR]]) = MasterTable[[#This Row],[APPR]]))</f>
        <v>1</v>
      </c>
      <c r="AT1002" s="8" t="b">
        <f>NOT(ISBLANK(MasterTable[[#This Row],[Total
Time]]))</f>
        <v>1</v>
      </c>
    </row>
    <row r="1003" spans="4:46" ht="28.8" x14ac:dyDescent="0.3">
      <c r="D1003" s="22">
        <v>42743</v>
      </c>
      <c r="E1003" s="8" t="s">
        <v>174</v>
      </c>
      <c r="F1003" s="8" t="s">
        <v>202</v>
      </c>
      <c r="G1003" s="8" t="s">
        <v>202</v>
      </c>
      <c r="I1003" s="10">
        <v>0.6</v>
      </c>
      <c r="J1003" s="10">
        <v>0.6</v>
      </c>
      <c r="L1003" s="10">
        <v>0</v>
      </c>
      <c r="M1003" s="13">
        <v>0</v>
      </c>
      <c r="N1003" s="13"/>
      <c r="O1003" s="10">
        <v>0</v>
      </c>
      <c r="P1003" s="10">
        <v>0</v>
      </c>
      <c r="Q1003" s="14">
        <v>0</v>
      </c>
      <c r="R1003" s="14">
        <v>0</v>
      </c>
      <c r="S1003" s="10">
        <v>0</v>
      </c>
      <c r="T1003" s="10">
        <v>0</v>
      </c>
      <c r="U1003" s="14">
        <v>0</v>
      </c>
      <c r="V1003" s="10"/>
      <c r="W1003" s="11">
        <v>3</v>
      </c>
      <c r="X1003" s="11">
        <v>3</v>
      </c>
      <c r="Y1003" s="11">
        <v>0</v>
      </c>
      <c r="Z1003" s="11">
        <v>0</v>
      </c>
      <c r="AA1003" s="11">
        <f>MasterTable[[#This Row],[Landings
Night]]+MasterTable[[#This Row],[Landings
Day]]</f>
        <v>3</v>
      </c>
      <c r="AB1003" s="10">
        <v>0</v>
      </c>
      <c r="AC1003" s="10">
        <v>0</v>
      </c>
      <c r="AD1003" s="11">
        <v>0</v>
      </c>
      <c r="AE1003" s="21">
        <f>SUM(MasterTable[[#This Row],[ILS]:[PAR]])</f>
        <v>0</v>
      </c>
      <c r="AL1003" s="11"/>
      <c r="AR1003" s="140" t="str">
        <f>_xlfn.XLOOKUP(MasterTable[[#This Row],[Aircraft ID]],Aircraft!A:A,Aircraft!H:H)</f>
        <v>Airplane Single Engine Land</v>
      </c>
      <c r="AS1003" s="8" t="b">
        <f>OR((SUM(MasterTable[[#This Row],[ILS]:[PAR]]) = MasterTable[[#This Row],[APPR]]))</f>
        <v>1</v>
      </c>
      <c r="AT1003" s="8" t="b">
        <f>NOT(ISBLANK(MasterTable[[#This Row],[Total
Time]]))</f>
        <v>1</v>
      </c>
    </row>
    <row r="1004" spans="4:46" ht="28.8" x14ac:dyDescent="0.3">
      <c r="D1004" s="22">
        <v>42740</v>
      </c>
      <c r="E1004" s="8" t="s">
        <v>174</v>
      </c>
      <c r="F1004" s="8" t="s">
        <v>202</v>
      </c>
      <c r="G1004" s="8" t="s">
        <v>344</v>
      </c>
      <c r="I1004" s="10">
        <v>1.6</v>
      </c>
      <c r="J1004" s="10">
        <v>1.6</v>
      </c>
      <c r="L1004" s="10">
        <v>0</v>
      </c>
      <c r="M1004" s="13">
        <v>0</v>
      </c>
      <c r="N1004" s="13"/>
      <c r="O1004" s="10">
        <v>0</v>
      </c>
      <c r="P1004" s="10">
        <v>0</v>
      </c>
      <c r="Q1004" s="14">
        <v>0</v>
      </c>
      <c r="R1004" s="14">
        <v>0</v>
      </c>
      <c r="S1004" s="10">
        <v>0</v>
      </c>
      <c r="T1004" s="10">
        <v>0</v>
      </c>
      <c r="U1004" s="14">
        <v>0</v>
      </c>
      <c r="V1004" s="10"/>
      <c r="W1004" s="11">
        <v>2</v>
      </c>
      <c r="X1004" s="11">
        <v>2</v>
      </c>
      <c r="Y1004" s="11">
        <v>0</v>
      </c>
      <c r="Z1004" s="11">
        <v>0</v>
      </c>
      <c r="AA1004" s="11">
        <f>MasterTable[[#This Row],[Landings
Night]]+MasterTable[[#This Row],[Landings
Day]]</f>
        <v>2</v>
      </c>
      <c r="AB1004" s="10">
        <v>0</v>
      </c>
      <c r="AC1004" s="10">
        <v>0</v>
      </c>
      <c r="AD1004" s="11">
        <v>0</v>
      </c>
      <c r="AE1004" s="21">
        <f>SUM(MasterTable[[#This Row],[ILS]:[PAR]])</f>
        <v>0</v>
      </c>
      <c r="AL1004" s="11"/>
      <c r="AR1004" s="140" t="str">
        <f>_xlfn.XLOOKUP(MasterTable[[#This Row],[Aircraft ID]],Aircraft!A:A,Aircraft!H:H)</f>
        <v>Airplane Single Engine Land</v>
      </c>
      <c r="AS1004" s="8" t="b">
        <f>OR((SUM(MasterTable[[#This Row],[ILS]:[PAR]]) = MasterTable[[#This Row],[APPR]]))</f>
        <v>1</v>
      </c>
      <c r="AT1004" s="8" t="b">
        <f>NOT(ISBLANK(MasterTable[[#This Row],[Total
Time]]))</f>
        <v>1</v>
      </c>
    </row>
    <row r="1005" spans="4:46" x14ac:dyDescent="0.3">
      <c r="D1005" s="22">
        <v>42728</v>
      </c>
      <c r="E1005" s="8" t="s">
        <v>25</v>
      </c>
      <c r="F1005" s="8" t="s">
        <v>345</v>
      </c>
      <c r="G1005" s="8" t="s">
        <v>345</v>
      </c>
      <c r="I1005" s="10">
        <v>1</v>
      </c>
      <c r="J1005" s="10">
        <v>0</v>
      </c>
      <c r="L1005" s="10">
        <v>0</v>
      </c>
      <c r="M1005" s="13">
        <v>0</v>
      </c>
      <c r="N1005" s="13"/>
      <c r="O1005" s="10">
        <v>0</v>
      </c>
      <c r="P1005" s="10">
        <v>1</v>
      </c>
      <c r="Q1005" s="14">
        <v>0</v>
      </c>
      <c r="R1005" s="14">
        <v>0</v>
      </c>
      <c r="S1005" s="10">
        <v>0</v>
      </c>
      <c r="T1005" s="10">
        <v>0</v>
      </c>
      <c r="U1005" s="14">
        <v>0</v>
      </c>
      <c r="V1005" s="10"/>
      <c r="W1005" s="11">
        <v>1</v>
      </c>
      <c r="X1005" s="11">
        <v>1</v>
      </c>
      <c r="Y1005" s="11">
        <v>0</v>
      </c>
      <c r="Z1005" s="11">
        <v>0</v>
      </c>
      <c r="AA1005" s="11">
        <f>MasterTable[[#This Row],[Landings
Night]]+MasterTable[[#This Row],[Landings
Day]]</f>
        <v>1</v>
      </c>
      <c r="AB1005" s="10">
        <v>0</v>
      </c>
      <c r="AC1005" s="10">
        <v>0</v>
      </c>
      <c r="AD1005" s="11">
        <v>0</v>
      </c>
      <c r="AE1005" s="21">
        <f>SUM(MasterTable[[#This Row],[ILS]:[PAR]])</f>
        <v>0</v>
      </c>
      <c r="AL1005" s="11"/>
      <c r="AR1005" s="140" t="str">
        <f>_xlfn.XLOOKUP(MasterTable[[#This Row],[Aircraft ID]],Aircraft!A:A,Aircraft!H:H)</f>
        <v>Weight Shift Control</v>
      </c>
      <c r="AS1005" s="8" t="b">
        <f>OR((SUM(MasterTable[[#This Row],[ILS]:[PAR]]) = MasterTable[[#This Row],[APPR]]))</f>
        <v>1</v>
      </c>
      <c r="AT1005" s="8" t="b">
        <f>NOT(ISBLANK(MasterTable[[#This Row],[Total
Time]]))</f>
        <v>1</v>
      </c>
    </row>
    <row r="1006" spans="4:46" ht="28.8" x14ac:dyDescent="0.3">
      <c r="D1006" s="22">
        <v>42720</v>
      </c>
      <c r="E1006" s="8" t="s">
        <v>174</v>
      </c>
      <c r="F1006" s="8" t="s">
        <v>202</v>
      </c>
      <c r="G1006" s="8" t="s">
        <v>202</v>
      </c>
      <c r="I1006" s="10">
        <v>0.9</v>
      </c>
      <c r="J1006" s="10">
        <v>0.9</v>
      </c>
      <c r="L1006" s="10">
        <v>0</v>
      </c>
      <c r="M1006" s="13">
        <v>0</v>
      </c>
      <c r="N1006" s="13"/>
      <c r="O1006" s="10">
        <v>0</v>
      </c>
      <c r="P1006" s="10">
        <v>0</v>
      </c>
      <c r="Q1006" s="14">
        <v>0</v>
      </c>
      <c r="R1006" s="14">
        <v>0</v>
      </c>
      <c r="S1006" s="10">
        <v>0</v>
      </c>
      <c r="T1006" s="10">
        <v>0</v>
      </c>
      <c r="U1006" s="14">
        <v>0</v>
      </c>
      <c r="V1006" s="10"/>
      <c r="W1006" s="11">
        <v>1</v>
      </c>
      <c r="X1006" s="11">
        <v>1</v>
      </c>
      <c r="Y1006" s="11">
        <v>0</v>
      </c>
      <c r="Z1006" s="11">
        <v>0</v>
      </c>
      <c r="AA1006" s="11">
        <f>MasterTable[[#This Row],[Landings
Night]]+MasterTable[[#This Row],[Landings
Day]]</f>
        <v>1</v>
      </c>
      <c r="AB1006" s="10">
        <v>0</v>
      </c>
      <c r="AC1006" s="10">
        <v>0</v>
      </c>
      <c r="AD1006" s="11">
        <v>0</v>
      </c>
      <c r="AE1006" s="21">
        <f>SUM(MasterTable[[#This Row],[ILS]:[PAR]])</f>
        <v>0</v>
      </c>
      <c r="AL1006" s="11"/>
      <c r="AR1006" s="140" t="str">
        <f>_xlfn.XLOOKUP(MasterTable[[#This Row],[Aircraft ID]],Aircraft!A:A,Aircraft!H:H)</f>
        <v>Airplane Single Engine Land</v>
      </c>
      <c r="AS1006" s="8" t="b">
        <f>OR((SUM(MasterTable[[#This Row],[ILS]:[PAR]]) = MasterTable[[#This Row],[APPR]]))</f>
        <v>1</v>
      </c>
      <c r="AT1006" s="8" t="b">
        <f>NOT(ISBLANK(MasterTable[[#This Row],[Total
Time]]))</f>
        <v>1</v>
      </c>
    </row>
    <row r="1007" spans="4:46" ht="28.8" x14ac:dyDescent="0.3">
      <c r="D1007" s="22">
        <v>42719</v>
      </c>
      <c r="E1007" s="8" t="s">
        <v>174</v>
      </c>
      <c r="F1007" s="8" t="s">
        <v>202</v>
      </c>
      <c r="G1007" s="8" t="s">
        <v>202</v>
      </c>
      <c r="I1007" s="10">
        <v>0.6</v>
      </c>
      <c r="J1007" s="10">
        <v>0.6</v>
      </c>
      <c r="L1007" s="10">
        <v>0</v>
      </c>
      <c r="M1007" s="13">
        <v>0</v>
      </c>
      <c r="N1007" s="13"/>
      <c r="O1007" s="10">
        <v>0</v>
      </c>
      <c r="P1007" s="10">
        <v>0.6</v>
      </c>
      <c r="Q1007" s="14">
        <v>0</v>
      </c>
      <c r="R1007" s="14">
        <v>0</v>
      </c>
      <c r="S1007" s="10">
        <v>0</v>
      </c>
      <c r="T1007" s="10">
        <v>0</v>
      </c>
      <c r="U1007" s="14">
        <v>0</v>
      </c>
      <c r="V1007" s="10"/>
      <c r="W1007" s="11">
        <v>4</v>
      </c>
      <c r="X1007" s="11">
        <v>4</v>
      </c>
      <c r="Y1007" s="11">
        <v>0</v>
      </c>
      <c r="Z1007" s="11">
        <v>0</v>
      </c>
      <c r="AA1007" s="11">
        <f>MasterTable[[#This Row],[Landings
Night]]+MasterTable[[#This Row],[Landings
Day]]</f>
        <v>4</v>
      </c>
      <c r="AB1007" s="10">
        <v>0</v>
      </c>
      <c r="AC1007" s="10">
        <v>0</v>
      </c>
      <c r="AD1007" s="11">
        <v>0</v>
      </c>
      <c r="AE1007" s="21">
        <f>SUM(MasterTable[[#This Row],[ILS]:[PAR]])</f>
        <v>0</v>
      </c>
      <c r="AL1007" s="11"/>
      <c r="AR1007" s="140" t="str">
        <f>_xlfn.XLOOKUP(MasterTable[[#This Row],[Aircraft ID]],Aircraft!A:A,Aircraft!H:H)</f>
        <v>Airplane Single Engine Land</v>
      </c>
      <c r="AS1007" s="8" t="b">
        <f>OR((SUM(MasterTable[[#This Row],[ILS]:[PAR]]) = MasterTable[[#This Row],[APPR]]))</f>
        <v>1</v>
      </c>
      <c r="AT1007" s="8" t="b">
        <f>NOT(ISBLANK(MasterTable[[#This Row],[Total
Time]]))</f>
        <v>1</v>
      </c>
    </row>
    <row r="1008" spans="4:46" ht="28.8" x14ac:dyDescent="0.3">
      <c r="D1008" s="22">
        <v>42715</v>
      </c>
      <c r="E1008" s="8" t="s">
        <v>52</v>
      </c>
      <c r="F1008" s="8" t="s">
        <v>202</v>
      </c>
      <c r="G1008" s="8" t="s">
        <v>202</v>
      </c>
      <c r="I1008" s="10">
        <v>1.6</v>
      </c>
      <c r="J1008" s="10">
        <v>1.6</v>
      </c>
      <c r="L1008" s="10">
        <v>0</v>
      </c>
      <c r="M1008" s="13">
        <v>0</v>
      </c>
      <c r="N1008" s="13"/>
      <c r="O1008" s="10">
        <v>0</v>
      </c>
      <c r="P1008" s="10">
        <v>0</v>
      </c>
      <c r="Q1008" s="14">
        <v>0</v>
      </c>
      <c r="R1008" s="14">
        <v>0</v>
      </c>
      <c r="S1008" s="10">
        <v>0.2</v>
      </c>
      <c r="T1008" s="10">
        <v>0</v>
      </c>
      <c r="U1008" s="14">
        <v>0</v>
      </c>
      <c r="V1008" s="10"/>
      <c r="W1008" s="11">
        <v>1</v>
      </c>
      <c r="X1008" s="11">
        <v>1</v>
      </c>
      <c r="Y1008" s="11">
        <v>0</v>
      </c>
      <c r="Z1008" s="11">
        <v>0</v>
      </c>
      <c r="AA1008" s="11">
        <f>MasterTable[[#This Row],[Landings
Night]]+MasterTable[[#This Row],[Landings
Day]]</f>
        <v>1</v>
      </c>
      <c r="AB1008" s="10">
        <v>0</v>
      </c>
      <c r="AC1008" s="10">
        <v>0</v>
      </c>
      <c r="AD1008" s="11">
        <v>0</v>
      </c>
      <c r="AE1008" s="21">
        <f>SUM(MasterTable[[#This Row],[ILS]:[PAR]])</f>
        <v>0</v>
      </c>
      <c r="AL1008" s="11"/>
      <c r="AR1008" s="140" t="str">
        <f>_xlfn.XLOOKUP(MasterTable[[#This Row],[Aircraft ID]],Aircraft!A:A,Aircraft!H:H)</f>
        <v>Airplane Single Engine Land</v>
      </c>
      <c r="AS1008" s="8" t="b">
        <f>OR((SUM(MasterTable[[#This Row],[ILS]:[PAR]]) = MasterTable[[#This Row],[APPR]]))</f>
        <v>1</v>
      </c>
      <c r="AT1008" s="8" t="b">
        <f>NOT(ISBLANK(MasterTable[[#This Row],[Total
Time]]))</f>
        <v>1</v>
      </c>
    </row>
    <row r="1009" spans="4:46" ht="28.8" x14ac:dyDescent="0.3">
      <c r="D1009" s="22">
        <v>42704</v>
      </c>
      <c r="E1009" s="8" t="s">
        <v>52</v>
      </c>
      <c r="F1009" s="8" t="s">
        <v>202</v>
      </c>
      <c r="G1009" s="8" t="s">
        <v>202</v>
      </c>
      <c r="I1009" s="10">
        <v>1.6</v>
      </c>
      <c r="J1009" s="10">
        <v>1.6</v>
      </c>
      <c r="L1009" s="10">
        <v>0</v>
      </c>
      <c r="M1009" s="13">
        <v>0</v>
      </c>
      <c r="N1009" s="13"/>
      <c r="O1009" s="10">
        <v>0</v>
      </c>
      <c r="P1009" s="10">
        <v>0</v>
      </c>
      <c r="Q1009" s="14">
        <v>0</v>
      </c>
      <c r="R1009" s="14">
        <v>0</v>
      </c>
      <c r="S1009" s="10">
        <v>0.4</v>
      </c>
      <c r="T1009" s="10">
        <v>0</v>
      </c>
      <c r="U1009" s="14">
        <v>0</v>
      </c>
      <c r="V1009" s="10"/>
      <c r="W1009" s="11">
        <v>1</v>
      </c>
      <c r="X1009" s="11">
        <v>1</v>
      </c>
      <c r="Y1009" s="11">
        <v>0</v>
      </c>
      <c r="Z1009" s="11">
        <v>0</v>
      </c>
      <c r="AA1009" s="11">
        <f>MasterTable[[#This Row],[Landings
Night]]+MasterTable[[#This Row],[Landings
Day]]</f>
        <v>1</v>
      </c>
      <c r="AB1009" s="10">
        <v>0.5</v>
      </c>
      <c r="AC1009" s="10">
        <v>0</v>
      </c>
      <c r="AD1009" s="11">
        <v>1</v>
      </c>
      <c r="AE1009" s="21">
        <f>SUM(MasterTable[[#This Row],[ILS]:[PAR]])</f>
        <v>0</v>
      </c>
      <c r="AL1009" s="11"/>
      <c r="AR1009" s="140" t="str">
        <f>_xlfn.XLOOKUP(MasterTable[[#This Row],[Aircraft ID]],Aircraft!A:A,Aircraft!H:H)</f>
        <v>Airplane Single Engine Land</v>
      </c>
      <c r="AS1009" s="8" t="b">
        <f>OR((SUM(MasterTable[[#This Row],[ILS]:[PAR]]) = MasterTable[[#This Row],[APPR]]))</f>
        <v>1</v>
      </c>
      <c r="AT1009" s="8" t="b">
        <f>NOT(ISBLANK(MasterTable[[#This Row],[Total
Time]]))</f>
        <v>1</v>
      </c>
    </row>
    <row r="1010" spans="4:46" ht="28.8" x14ac:dyDescent="0.3">
      <c r="D1010" s="22">
        <v>42703</v>
      </c>
      <c r="E1010" s="8" t="s">
        <v>174</v>
      </c>
      <c r="F1010" s="8" t="s">
        <v>202</v>
      </c>
      <c r="G1010" s="8" t="s">
        <v>275</v>
      </c>
      <c r="I1010" s="10">
        <v>3</v>
      </c>
      <c r="J1010" s="10">
        <v>3</v>
      </c>
      <c r="L1010" s="10">
        <v>0</v>
      </c>
      <c r="M1010" s="13">
        <v>0</v>
      </c>
      <c r="N1010" s="13"/>
      <c r="O1010" s="10">
        <v>0</v>
      </c>
      <c r="P1010" s="10">
        <v>0</v>
      </c>
      <c r="Q1010" s="14">
        <v>0</v>
      </c>
      <c r="R1010" s="14">
        <v>0</v>
      </c>
      <c r="S1010" s="10">
        <v>1</v>
      </c>
      <c r="T1010" s="10">
        <v>3</v>
      </c>
      <c r="U1010" s="14">
        <v>0</v>
      </c>
      <c r="V1010" s="10"/>
      <c r="W1010" s="11">
        <v>2</v>
      </c>
      <c r="X1010" s="11">
        <v>2</v>
      </c>
      <c r="Y1010" s="11">
        <v>0</v>
      </c>
      <c r="Z1010" s="11">
        <v>0</v>
      </c>
      <c r="AA1010" s="11">
        <f>MasterTable[[#This Row],[Landings
Night]]+MasterTable[[#This Row],[Landings
Day]]</f>
        <v>2</v>
      </c>
      <c r="AB1010" s="10">
        <v>0</v>
      </c>
      <c r="AC1010" s="10">
        <v>0</v>
      </c>
      <c r="AD1010" s="11">
        <v>0</v>
      </c>
      <c r="AE1010" s="21">
        <f>SUM(MasterTable[[#This Row],[ILS]:[PAR]])</f>
        <v>0</v>
      </c>
      <c r="AL1010" s="11"/>
      <c r="AR1010" s="140" t="str">
        <f>_xlfn.XLOOKUP(MasterTable[[#This Row],[Aircraft ID]],Aircraft!A:A,Aircraft!H:H)</f>
        <v>Airplane Single Engine Land</v>
      </c>
      <c r="AS1010" s="8" t="b">
        <f>OR((SUM(MasterTable[[#This Row],[ILS]:[PAR]]) = MasterTable[[#This Row],[APPR]]))</f>
        <v>1</v>
      </c>
      <c r="AT1010" s="8" t="b">
        <f>NOT(ISBLANK(MasterTable[[#This Row],[Total
Time]]))</f>
        <v>1</v>
      </c>
    </row>
    <row r="1011" spans="4:46" ht="28.8" x14ac:dyDescent="0.3">
      <c r="D1011" s="22">
        <v>42701</v>
      </c>
      <c r="E1011" s="8" t="s">
        <v>49</v>
      </c>
      <c r="F1011" s="8" t="s">
        <v>293</v>
      </c>
      <c r="G1011" s="8" t="s">
        <v>202</v>
      </c>
      <c r="I1011" s="10">
        <v>1.5</v>
      </c>
      <c r="J1011" s="10">
        <v>1.5</v>
      </c>
      <c r="L1011" s="10">
        <v>0</v>
      </c>
      <c r="M1011" s="13">
        <v>0</v>
      </c>
      <c r="N1011" s="13"/>
      <c r="O1011" s="10">
        <v>0</v>
      </c>
      <c r="P1011" s="10">
        <v>0</v>
      </c>
      <c r="Q1011" s="14">
        <v>0</v>
      </c>
      <c r="R1011" s="14">
        <v>0</v>
      </c>
      <c r="S1011" s="10">
        <v>0</v>
      </c>
      <c r="T1011" s="10">
        <v>0</v>
      </c>
      <c r="U1011" s="14">
        <v>0</v>
      </c>
      <c r="V1011" s="10"/>
      <c r="W1011" s="11">
        <v>2</v>
      </c>
      <c r="X1011" s="11">
        <v>2</v>
      </c>
      <c r="Y1011" s="11">
        <v>0</v>
      </c>
      <c r="Z1011" s="11">
        <v>0</v>
      </c>
      <c r="AA1011" s="11">
        <f>MasterTable[[#This Row],[Landings
Night]]+MasterTable[[#This Row],[Landings
Day]]</f>
        <v>2</v>
      </c>
      <c r="AB1011" s="10">
        <v>0</v>
      </c>
      <c r="AC1011" s="10">
        <v>1.1000000000000001</v>
      </c>
      <c r="AD1011" s="11">
        <v>0</v>
      </c>
      <c r="AE1011" s="21">
        <f>SUM(MasterTable[[#This Row],[ILS]:[PAR]])</f>
        <v>3</v>
      </c>
      <c r="AF1011" s="11">
        <v>2</v>
      </c>
      <c r="AH1011" s="11">
        <v>1</v>
      </c>
      <c r="AL1011" s="11"/>
      <c r="AN1011" s="27" t="b">
        <v>1</v>
      </c>
      <c r="AO1011" s="27" t="b">
        <v>1</v>
      </c>
      <c r="AP1011" s="27" t="b">
        <v>1</v>
      </c>
      <c r="AR1011" s="140" t="str">
        <f>_xlfn.XLOOKUP(MasterTable[[#This Row],[Aircraft ID]],Aircraft!A:A,Aircraft!H:H)</f>
        <v>Airplane Single Engine Land</v>
      </c>
      <c r="AS1011" s="8" t="b">
        <f>OR((SUM(MasterTable[[#This Row],[ILS]:[PAR]]) = MasterTable[[#This Row],[APPR]]))</f>
        <v>1</v>
      </c>
      <c r="AT1011" s="8" t="b">
        <f>NOT(ISBLANK(MasterTable[[#This Row],[Total
Time]]))</f>
        <v>1</v>
      </c>
    </row>
    <row r="1012" spans="4:46" ht="28.8" x14ac:dyDescent="0.3">
      <c r="D1012" s="22">
        <v>42699</v>
      </c>
      <c r="E1012" s="8" t="s">
        <v>174</v>
      </c>
      <c r="F1012" s="8" t="s">
        <v>202</v>
      </c>
      <c r="G1012" s="8" t="s">
        <v>219</v>
      </c>
      <c r="I1012" s="10">
        <v>1.1000000000000001</v>
      </c>
      <c r="J1012" s="10">
        <v>1.1000000000000001</v>
      </c>
      <c r="L1012" s="10">
        <v>0</v>
      </c>
      <c r="M1012" s="13">
        <v>0</v>
      </c>
      <c r="N1012" s="13"/>
      <c r="O1012" s="10">
        <v>0</v>
      </c>
      <c r="P1012" s="10">
        <v>1.1000000000000001</v>
      </c>
      <c r="Q1012" s="14">
        <v>0</v>
      </c>
      <c r="R1012" s="14">
        <v>0</v>
      </c>
      <c r="S1012" s="10">
        <v>0.7</v>
      </c>
      <c r="T1012" s="10">
        <v>0</v>
      </c>
      <c r="U1012" s="14">
        <v>0</v>
      </c>
      <c r="V1012" s="10"/>
      <c r="W1012" s="11">
        <v>2</v>
      </c>
      <c r="X1012" s="11">
        <v>2</v>
      </c>
      <c r="Y1012" s="11">
        <v>0</v>
      </c>
      <c r="Z1012" s="11">
        <v>0</v>
      </c>
      <c r="AA1012" s="11">
        <f>MasterTable[[#This Row],[Landings
Night]]+MasterTable[[#This Row],[Landings
Day]]</f>
        <v>2</v>
      </c>
      <c r="AB1012" s="10">
        <v>0</v>
      </c>
      <c r="AC1012" s="10">
        <v>0.9</v>
      </c>
      <c r="AD1012" s="11">
        <v>0</v>
      </c>
      <c r="AE1012" s="21">
        <f>SUM(MasterTable[[#This Row],[ILS]:[PAR]])</f>
        <v>1</v>
      </c>
      <c r="AH1012" s="11">
        <v>1</v>
      </c>
      <c r="AL1012" s="11"/>
      <c r="AR1012" s="140" t="str">
        <f>_xlfn.XLOOKUP(MasterTable[[#This Row],[Aircraft ID]],Aircraft!A:A,Aircraft!H:H)</f>
        <v>Airplane Single Engine Land</v>
      </c>
      <c r="AS1012" s="8" t="b">
        <f>OR((SUM(MasterTable[[#This Row],[ILS]:[PAR]]) = MasterTable[[#This Row],[APPR]]))</f>
        <v>1</v>
      </c>
      <c r="AT1012" s="8" t="b">
        <f>NOT(ISBLANK(MasterTable[[#This Row],[Total
Time]]))</f>
        <v>1</v>
      </c>
    </row>
    <row r="1013" spans="4:46" ht="28.8" x14ac:dyDescent="0.3">
      <c r="D1013" s="22">
        <v>42699</v>
      </c>
      <c r="E1013" s="8" t="s">
        <v>49</v>
      </c>
      <c r="F1013" s="8" t="s">
        <v>293</v>
      </c>
      <c r="G1013" s="8" t="s">
        <v>202</v>
      </c>
      <c r="I1013" s="10">
        <v>1.5</v>
      </c>
      <c r="J1013" s="10">
        <v>0</v>
      </c>
      <c r="L1013" s="10">
        <v>0</v>
      </c>
      <c r="M1013" s="13">
        <v>0</v>
      </c>
      <c r="N1013" s="13"/>
      <c r="O1013" s="10">
        <v>0</v>
      </c>
      <c r="P1013" s="10">
        <v>1.5</v>
      </c>
      <c r="Q1013" s="14">
        <v>0</v>
      </c>
      <c r="R1013" s="14">
        <v>0</v>
      </c>
      <c r="S1013" s="10">
        <v>0</v>
      </c>
      <c r="T1013" s="10">
        <v>0</v>
      </c>
      <c r="U1013" s="14">
        <v>0</v>
      </c>
      <c r="V1013" s="10"/>
      <c r="W1013" s="11">
        <v>1</v>
      </c>
      <c r="X1013" s="11">
        <v>1</v>
      </c>
      <c r="Y1013" s="11">
        <v>0</v>
      </c>
      <c r="Z1013" s="11">
        <v>0</v>
      </c>
      <c r="AA1013" s="11">
        <f>MasterTable[[#This Row],[Landings
Night]]+MasterTable[[#This Row],[Landings
Day]]</f>
        <v>1</v>
      </c>
      <c r="AB1013" s="10">
        <v>0</v>
      </c>
      <c r="AC1013" s="10">
        <v>1.3</v>
      </c>
      <c r="AD1013" s="11">
        <v>0</v>
      </c>
      <c r="AE1013" s="21">
        <f>SUM(MasterTable[[#This Row],[ILS]:[PAR]])</f>
        <v>3</v>
      </c>
      <c r="AF1013" s="11">
        <v>1</v>
      </c>
      <c r="AH1013" s="11">
        <v>1</v>
      </c>
      <c r="AI1013" s="11">
        <v>1</v>
      </c>
      <c r="AL1013" s="11"/>
      <c r="AR1013" s="140" t="str">
        <f>_xlfn.XLOOKUP(MasterTable[[#This Row],[Aircraft ID]],Aircraft!A:A,Aircraft!H:H)</f>
        <v>Airplane Single Engine Land</v>
      </c>
      <c r="AS1013" s="8" t="b">
        <f>OR((SUM(MasterTable[[#This Row],[ILS]:[PAR]]) = MasterTable[[#This Row],[APPR]]))</f>
        <v>1</v>
      </c>
      <c r="AT1013" s="8" t="b">
        <f>NOT(ISBLANK(MasterTable[[#This Row],[Total
Time]]))</f>
        <v>1</v>
      </c>
    </row>
    <row r="1014" spans="4:46" ht="28.8" x14ac:dyDescent="0.3">
      <c r="D1014" s="22">
        <v>42697</v>
      </c>
      <c r="E1014" s="8" t="s">
        <v>49</v>
      </c>
      <c r="F1014" s="8" t="s">
        <v>293</v>
      </c>
      <c r="G1014" s="8" t="s">
        <v>202</v>
      </c>
      <c r="I1014" s="10">
        <v>1.5</v>
      </c>
      <c r="J1014" s="10">
        <v>1.5</v>
      </c>
      <c r="L1014" s="10">
        <v>0</v>
      </c>
      <c r="M1014" s="13">
        <v>0</v>
      </c>
      <c r="N1014" s="13"/>
      <c r="O1014" s="10">
        <v>0</v>
      </c>
      <c r="P1014" s="10">
        <v>0</v>
      </c>
      <c r="Q1014" s="14">
        <v>0</v>
      </c>
      <c r="R1014" s="14">
        <v>0</v>
      </c>
      <c r="S1014" s="10">
        <v>0</v>
      </c>
      <c r="T1014" s="10">
        <v>0</v>
      </c>
      <c r="U1014" s="14">
        <v>0</v>
      </c>
      <c r="V1014" s="10"/>
      <c r="W1014" s="11">
        <v>2</v>
      </c>
      <c r="X1014" s="11">
        <v>2</v>
      </c>
      <c r="Y1014" s="11">
        <v>0</v>
      </c>
      <c r="Z1014" s="11">
        <v>0</v>
      </c>
      <c r="AA1014" s="11">
        <f>MasterTable[[#This Row],[Landings
Night]]+MasterTable[[#This Row],[Landings
Day]]</f>
        <v>2</v>
      </c>
      <c r="AB1014" s="10">
        <v>0</v>
      </c>
      <c r="AC1014" s="10">
        <v>1.3</v>
      </c>
      <c r="AD1014" s="11">
        <v>0</v>
      </c>
      <c r="AE1014" s="21">
        <f>SUM(MasterTable[[#This Row],[ILS]:[PAR]])</f>
        <v>3</v>
      </c>
      <c r="AF1014" s="11">
        <v>1</v>
      </c>
      <c r="AH1014" s="11">
        <v>1</v>
      </c>
      <c r="AI1014" s="11">
        <v>1</v>
      </c>
      <c r="AL1014" s="11"/>
      <c r="AR1014" s="140" t="str">
        <f>_xlfn.XLOOKUP(MasterTable[[#This Row],[Aircraft ID]],Aircraft!A:A,Aircraft!H:H)</f>
        <v>Airplane Single Engine Land</v>
      </c>
      <c r="AS1014" s="8" t="b">
        <f>OR((SUM(MasterTable[[#This Row],[ILS]:[PAR]]) = MasterTable[[#This Row],[APPR]]))</f>
        <v>1</v>
      </c>
      <c r="AT1014" s="8" t="b">
        <f>NOT(ISBLANK(MasterTable[[#This Row],[Total
Time]]))</f>
        <v>1</v>
      </c>
    </row>
    <row r="1015" spans="4:46" ht="28.8" x14ac:dyDescent="0.3">
      <c r="D1015" s="22">
        <v>42697</v>
      </c>
      <c r="E1015" s="8" t="s">
        <v>52</v>
      </c>
      <c r="F1015" s="8" t="s">
        <v>202</v>
      </c>
      <c r="G1015" s="8" t="s">
        <v>202</v>
      </c>
      <c r="I1015" s="10">
        <v>1.6</v>
      </c>
      <c r="J1015" s="10">
        <v>1.6</v>
      </c>
      <c r="L1015" s="10">
        <v>0</v>
      </c>
      <c r="M1015" s="13">
        <v>0</v>
      </c>
      <c r="N1015" s="13"/>
      <c r="O1015" s="10">
        <v>0</v>
      </c>
      <c r="P1015" s="10">
        <v>1.6</v>
      </c>
      <c r="Q1015" s="14">
        <v>0</v>
      </c>
      <c r="R1015" s="14">
        <v>0</v>
      </c>
      <c r="S1015" s="10">
        <v>0</v>
      </c>
      <c r="T1015" s="10">
        <v>0</v>
      </c>
      <c r="U1015" s="14">
        <v>0</v>
      </c>
      <c r="V1015" s="10"/>
      <c r="W1015" s="11">
        <v>1</v>
      </c>
      <c r="X1015" s="11">
        <v>1</v>
      </c>
      <c r="Y1015" s="11">
        <v>0</v>
      </c>
      <c r="Z1015" s="11">
        <v>0</v>
      </c>
      <c r="AA1015" s="11">
        <f>MasterTable[[#This Row],[Landings
Night]]+MasterTable[[#This Row],[Landings
Day]]</f>
        <v>1</v>
      </c>
      <c r="AB1015" s="10">
        <v>0</v>
      </c>
      <c r="AC1015" s="10">
        <v>1.4</v>
      </c>
      <c r="AD1015" s="11">
        <v>0</v>
      </c>
      <c r="AE1015" s="21">
        <f>SUM(MasterTable[[#This Row],[ILS]:[PAR]])</f>
        <v>2</v>
      </c>
      <c r="AF1015" s="11">
        <v>1</v>
      </c>
      <c r="AH1015" s="11">
        <v>1</v>
      </c>
      <c r="AL1015" s="11"/>
      <c r="AR1015" s="140" t="str">
        <f>_xlfn.XLOOKUP(MasterTable[[#This Row],[Aircraft ID]],Aircraft!A:A,Aircraft!H:H)</f>
        <v>Airplane Single Engine Land</v>
      </c>
      <c r="AS1015" s="8" t="b">
        <f>OR((SUM(MasterTable[[#This Row],[ILS]:[PAR]]) = MasterTable[[#This Row],[APPR]]))</f>
        <v>1</v>
      </c>
      <c r="AT1015" s="8" t="b">
        <f>NOT(ISBLANK(MasterTable[[#This Row],[Total
Time]]))</f>
        <v>1</v>
      </c>
    </row>
    <row r="1016" spans="4:46" ht="28.8" x14ac:dyDescent="0.3">
      <c r="D1016" s="22">
        <v>42696</v>
      </c>
      <c r="E1016" s="8" t="s">
        <v>174</v>
      </c>
      <c r="F1016" s="8" t="s">
        <v>202</v>
      </c>
      <c r="G1016" s="8" t="s">
        <v>202</v>
      </c>
      <c r="I1016" s="10">
        <v>1.5</v>
      </c>
      <c r="J1016" s="10">
        <v>1.5</v>
      </c>
      <c r="L1016" s="10">
        <v>0</v>
      </c>
      <c r="M1016" s="13">
        <v>0</v>
      </c>
      <c r="N1016" s="13"/>
      <c r="O1016" s="10">
        <v>0</v>
      </c>
      <c r="P1016" s="10">
        <v>1.5</v>
      </c>
      <c r="Q1016" s="14">
        <v>0</v>
      </c>
      <c r="R1016" s="14">
        <v>0</v>
      </c>
      <c r="S1016" s="10">
        <v>0</v>
      </c>
      <c r="T1016" s="10">
        <v>0</v>
      </c>
      <c r="U1016" s="14">
        <v>0</v>
      </c>
      <c r="V1016" s="10"/>
      <c r="W1016" s="11">
        <v>1</v>
      </c>
      <c r="X1016" s="11">
        <v>1</v>
      </c>
      <c r="Y1016" s="11">
        <v>0</v>
      </c>
      <c r="Z1016" s="11">
        <v>0</v>
      </c>
      <c r="AA1016" s="11">
        <f>MasterTable[[#This Row],[Landings
Night]]+MasterTable[[#This Row],[Landings
Day]]</f>
        <v>1</v>
      </c>
      <c r="AB1016" s="10">
        <v>0</v>
      </c>
      <c r="AC1016" s="10">
        <v>1.3</v>
      </c>
      <c r="AD1016" s="11">
        <v>0</v>
      </c>
      <c r="AE1016" s="21">
        <f>SUM(MasterTable[[#This Row],[ILS]:[PAR]])</f>
        <v>2</v>
      </c>
      <c r="AH1016" s="11">
        <v>2</v>
      </c>
      <c r="AL1016" s="11"/>
      <c r="AR1016" s="140" t="str">
        <f>_xlfn.XLOOKUP(MasterTable[[#This Row],[Aircraft ID]],Aircraft!A:A,Aircraft!H:H)</f>
        <v>Airplane Single Engine Land</v>
      </c>
      <c r="AS1016" s="8" t="b">
        <f>OR((SUM(MasterTable[[#This Row],[ILS]:[PAR]]) = MasterTable[[#This Row],[APPR]]))</f>
        <v>1</v>
      </c>
      <c r="AT1016" s="8" t="b">
        <f>NOT(ISBLANK(MasterTable[[#This Row],[Total
Time]]))</f>
        <v>1</v>
      </c>
    </row>
    <row r="1017" spans="4:46" ht="28.8" x14ac:dyDescent="0.3">
      <c r="D1017" s="22">
        <v>42694</v>
      </c>
      <c r="E1017" s="8" t="s">
        <v>49</v>
      </c>
      <c r="F1017" s="8" t="s">
        <v>293</v>
      </c>
      <c r="G1017" s="8" t="s">
        <v>293</v>
      </c>
      <c r="I1017" s="10">
        <v>1.6</v>
      </c>
      <c r="J1017" s="10">
        <v>1.6</v>
      </c>
      <c r="L1017" s="10">
        <v>0</v>
      </c>
      <c r="M1017" s="13">
        <v>0</v>
      </c>
      <c r="N1017" s="13"/>
      <c r="O1017" s="10">
        <v>0</v>
      </c>
      <c r="P1017" s="10">
        <v>0</v>
      </c>
      <c r="Q1017" s="14">
        <v>0</v>
      </c>
      <c r="R1017" s="14">
        <v>0</v>
      </c>
      <c r="S1017" s="10">
        <v>1.6</v>
      </c>
      <c r="T1017" s="10">
        <v>0</v>
      </c>
      <c r="U1017" s="14">
        <v>0</v>
      </c>
      <c r="V1017" s="10"/>
      <c r="W1017" s="11">
        <v>0</v>
      </c>
      <c r="X1017" s="11">
        <v>0</v>
      </c>
      <c r="Y1017" s="11">
        <v>1</v>
      </c>
      <c r="Z1017" s="11">
        <v>1</v>
      </c>
      <c r="AA1017" s="11">
        <f>MasterTable[[#This Row],[Landings
Night]]+MasterTable[[#This Row],[Landings
Day]]</f>
        <v>1</v>
      </c>
      <c r="AB1017" s="10">
        <v>1</v>
      </c>
      <c r="AC1017" s="10">
        <v>0.4</v>
      </c>
      <c r="AD1017" s="11">
        <v>0</v>
      </c>
      <c r="AE1017" s="21">
        <f>SUM(MasterTable[[#This Row],[ILS]:[PAR]])</f>
        <v>3</v>
      </c>
      <c r="AF1017" s="11">
        <v>2</v>
      </c>
      <c r="AI1017" s="11">
        <v>1</v>
      </c>
      <c r="AL1017" s="11"/>
      <c r="AR1017" s="140" t="str">
        <f>_xlfn.XLOOKUP(MasterTable[[#This Row],[Aircraft ID]],Aircraft!A:A,Aircraft!H:H)</f>
        <v>Airplane Single Engine Land</v>
      </c>
      <c r="AS1017" s="8" t="b">
        <f>OR((SUM(MasterTable[[#This Row],[ILS]:[PAR]]) = MasterTable[[#This Row],[APPR]]))</f>
        <v>1</v>
      </c>
      <c r="AT1017" s="8" t="b">
        <f>NOT(ISBLANK(MasterTable[[#This Row],[Total
Time]]))</f>
        <v>1</v>
      </c>
    </row>
    <row r="1018" spans="4:46" ht="28.8" x14ac:dyDescent="0.3">
      <c r="D1018" s="22">
        <v>42693</v>
      </c>
      <c r="E1018" s="8" t="s">
        <v>52</v>
      </c>
      <c r="F1018" s="8" t="s">
        <v>202</v>
      </c>
      <c r="G1018" s="8" t="s">
        <v>202</v>
      </c>
      <c r="I1018" s="10">
        <v>1.1000000000000001</v>
      </c>
      <c r="J1018" s="10">
        <v>1.1000000000000001</v>
      </c>
      <c r="L1018" s="10">
        <v>0</v>
      </c>
      <c r="M1018" s="13">
        <v>0</v>
      </c>
      <c r="N1018" s="13"/>
      <c r="O1018" s="10">
        <v>0</v>
      </c>
      <c r="P1018" s="10">
        <v>1.1000000000000001</v>
      </c>
      <c r="Q1018" s="14">
        <v>0</v>
      </c>
      <c r="R1018" s="14">
        <v>0</v>
      </c>
      <c r="S1018" s="10">
        <v>0</v>
      </c>
      <c r="T1018" s="10">
        <v>0</v>
      </c>
      <c r="U1018" s="14">
        <v>0</v>
      </c>
      <c r="V1018" s="10"/>
      <c r="W1018" s="11">
        <v>1</v>
      </c>
      <c r="X1018" s="11">
        <v>1</v>
      </c>
      <c r="Y1018" s="11">
        <v>0</v>
      </c>
      <c r="Z1018" s="11">
        <v>0</v>
      </c>
      <c r="AA1018" s="11">
        <f>MasterTable[[#This Row],[Landings
Night]]+MasterTable[[#This Row],[Landings
Day]]</f>
        <v>1</v>
      </c>
      <c r="AB1018" s="10">
        <v>0</v>
      </c>
      <c r="AC1018" s="10">
        <v>0.9</v>
      </c>
      <c r="AD1018" s="11">
        <v>0</v>
      </c>
      <c r="AE1018" s="21">
        <f>SUM(MasterTable[[#This Row],[ILS]:[PAR]])</f>
        <v>2</v>
      </c>
      <c r="AF1018" s="11">
        <v>1</v>
      </c>
      <c r="AH1018" s="11">
        <v>1</v>
      </c>
      <c r="AL1018" s="11"/>
      <c r="AR1018" s="140" t="str">
        <f>_xlfn.XLOOKUP(MasterTable[[#This Row],[Aircraft ID]],Aircraft!A:A,Aircraft!H:H)</f>
        <v>Airplane Single Engine Land</v>
      </c>
      <c r="AS1018" s="8" t="b">
        <f>OR((SUM(MasterTable[[#This Row],[ILS]:[PAR]]) = MasterTable[[#This Row],[APPR]]))</f>
        <v>1</v>
      </c>
      <c r="AT1018" s="8" t="b">
        <f>NOT(ISBLANK(MasterTable[[#This Row],[Total
Time]]))</f>
        <v>1</v>
      </c>
    </row>
    <row r="1019" spans="4:46" ht="28.8" x14ac:dyDescent="0.3">
      <c r="D1019" s="22">
        <v>42692</v>
      </c>
      <c r="E1019" s="8" t="s">
        <v>174</v>
      </c>
      <c r="F1019" s="8" t="s">
        <v>202</v>
      </c>
      <c r="G1019" s="8" t="s">
        <v>202</v>
      </c>
      <c r="I1019" s="10">
        <v>1.7</v>
      </c>
      <c r="J1019" s="10">
        <v>1.7</v>
      </c>
      <c r="L1019" s="10">
        <v>0</v>
      </c>
      <c r="M1019" s="13">
        <v>0</v>
      </c>
      <c r="N1019" s="13"/>
      <c r="O1019" s="10">
        <v>0</v>
      </c>
      <c r="P1019" s="10">
        <v>0</v>
      </c>
      <c r="Q1019" s="14">
        <v>0</v>
      </c>
      <c r="R1019" s="14">
        <v>0</v>
      </c>
      <c r="S1019" s="10">
        <v>0</v>
      </c>
      <c r="T1019" s="10">
        <v>0</v>
      </c>
      <c r="U1019" s="14">
        <v>0</v>
      </c>
      <c r="V1019" s="10"/>
      <c r="W1019" s="11">
        <v>2</v>
      </c>
      <c r="X1019" s="11">
        <v>2</v>
      </c>
      <c r="Y1019" s="11">
        <v>0</v>
      </c>
      <c r="Z1019" s="11">
        <v>0</v>
      </c>
      <c r="AA1019" s="11">
        <f>MasterTable[[#This Row],[Landings
Night]]+MasterTable[[#This Row],[Landings
Day]]</f>
        <v>2</v>
      </c>
      <c r="AB1019" s="10">
        <v>0</v>
      </c>
      <c r="AC1019" s="10">
        <v>1.5</v>
      </c>
      <c r="AD1019" s="11">
        <v>0</v>
      </c>
      <c r="AE1019" s="21">
        <f>SUM(MasterTable[[#This Row],[ILS]:[PAR]])</f>
        <v>3</v>
      </c>
      <c r="AG1019" s="11">
        <v>1</v>
      </c>
      <c r="AH1019" s="11">
        <v>2</v>
      </c>
      <c r="AL1019" s="11"/>
      <c r="AR1019" s="140" t="str">
        <f>_xlfn.XLOOKUP(MasterTable[[#This Row],[Aircraft ID]],Aircraft!A:A,Aircraft!H:H)</f>
        <v>Airplane Single Engine Land</v>
      </c>
      <c r="AS1019" s="8" t="b">
        <f>OR((SUM(MasterTable[[#This Row],[ILS]:[PAR]]) = MasterTable[[#This Row],[APPR]]))</f>
        <v>1</v>
      </c>
      <c r="AT1019" s="8" t="b">
        <f>NOT(ISBLANK(MasterTable[[#This Row],[Total
Time]]))</f>
        <v>1</v>
      </c>
    </row>
    <row r="1020" spans="4:46" ht="28.8" x14ac:dyDescent="0.3">
      <c r="D1020" s="22">
        <v>42686</v>
      </c>
      <c r="E1020" s="8" t="s">
        <v>49</v>
      </c>
      <c r="F1020" s="8" t="s">
        <v>293</v>
      </c>
      <c r="G1020" s="8" t="s">
        <v>202</v>
      </c>
      <c r="I1020" s="10">
        <v>1.4</v>
      </c>
      <c r="J1020" s="10">
        <v>1.4</v>
      </c>
      <c r="L1020" s="10">
        <v>0</v>
      </c>
      <c r="M1020" s="13">
        <v>0</v>
      </c>
      <c r="N1020" s="13"/>
      <c r="O1020" s="10">
        <v>0</v>
      </c>
      <c r="P1020" s="10">
        <v>1.4</v>
      </c>
      <c r="Q1020" s="14">
        <v>0</v>
      </c>
      <c r="R1020" s="14">
        <v>0</v>
      </c>
      <c r="S1020" s="10">
        <v>0</v>
      </c>
      <c r="T1020" s="10">
        <v>0</v>
      </c>
      <c r="U1020" s="14">
        <v>0</v>
      </c>
      <c r="V1020" s="10"/>
      <c r="W1020" s="11">
        <v>1</v>
      </c>
      <c r="X1020" s="11">
        <v>1</v>
      </c>
      <c r="Y1020" s="11">
        <v>0</v>
      </c>
      <c r="Z1020" s="11">
        <v>0</v>
      </c>
      <c r="AA1020" s="11">
        <f>MasterTable[[#This Row],[Landings
Night]]+MasterTable[[#This Row],[Landings
Day]]</f>
        <v>1</v>
      </c>
      <c r="AB1020" s="10">
        <v>0.1</v>
      </c>
      <c r="AC1020" s="10">
        <v>1.1000000000000001</v>
      </c>
      <c r="AD1020" s="11">
        <v>0</v>
      </c>
      <c r="AE1020" s="21">
        <f>SUM(MasterTable[[#This Row],[ILS]:[PAR]])</f>
        <v>3</v>
      </c>
      <c r="AF1020" s="11">
        <v>1</v>
      </c>
      <c r="AH1020" s="11">
        <v>1</v>
      </c>
      <c r="AI1020" s="11">
        <v>1</v>
      </c>
      <c r="AL1020" s="11">
        <v>1</v>
      </c>
      <c r="AR1020" s="140" t="str">
        <f>_xlfn.XLOOKUP(MasterTable[[#This Row],[Aircraft ID]],Aircraft!A:A,Aircraft!H:H)</f>
        <v>Airplane Single Engine Land</v>
      </c>
      <c r="AS1020" s="8" t="b">
        <f>OR((SUM(MasterTable[[#This Row],[ILS]:[PAR]]) = MasterTable[[#This Row],[APPR]]))</f>
        <v>1</v>
      </c>
      <c r="AT1020" s="8" t="b">
        <f>NOT(ISBLANK(MasterTable[[#This Row],[Total
Time]]))</f>
        <v>1</v>
      </c>
    </row>
    <row r="1021" spans="4:46" ht="28.8" x14ac:dyDescent="0.3">
      <c r="D1021" s="22">
        <v>42681</v>
      </c>
      <c r="E1021" s="8" t="s">
        <v>52</v>
      </c>
      <c r="F1021" s="8" t="s">
        <v>202</v>
      </c>
      <c r="G1021" s="8" t="s">
        <v>202</v>
      </c>
      <c r="I1021" s="10">
        <v>1.2</v>
      </c>
      <c r="J1021" s="10">
        <v>1.2</v>
      </c>
      <c r="L1021" s="10">
        <v>0</v>
      </c>
      <c r="M1021" s="13">
        <v>0</v>
      </c>
      <c r="N1021" s="13"/>
      <c r="O1021" s="10">
        <v>0</v>
      </c>
      <c r="P1021" s="10">
        <v>1.2</v>
      </c>
      <c r="Q1021" s="14">
        <v>0</v>
      </c>
      <c r="R1021" s="14">
        <v>0</v>
      </c>
      <c r="S1021" s="10">
        <v>0</v>
      </c>
      <c r="T1021" s="10">
        <v>0</v>
      </c>
      <c r="U1021" s="14">
        <v>0</v>
      </c>
      <c r="V1021" s="10"/>
      <c r="W1021" s="11">
        <v>1</v>
      </c>
      <c r="X1021" s="11">
        <v>1</v>
      </c>
      <c r="Y1021" s="11">
        <v>0</v>
      </c>
      <c r="Z1021" s="11">
        <v>0</v>
      </c>
      <c r="AA1021" s="11">
        <f>MasterTable[[#This Row],[Landings
Night]]+MasterTable[[#This Row],[Landings
Day]]</f>
        <v>1</v>
      </c>
      <c r="AB1021" s="10">
        <v>0</v>
      </c>
      <c r="AC1021" s="10">
        <v>1</v>
      </c>
      <c r="AD1021" s="11">
        <v>0</v>
      </c>
      <c r="AE1021" s="21">
        <f>SUM(MasterTable[[#This Row],[ILS]:[PAR]])</f>
        <v>2</v>
      </c>
      <c r="AF1021" s="11">
        <v>1</v>
      </c>
      <c r="AH1021" s="11">
        <v>1</v>
      </c>
      <c r="AL1021" s="11">
        <v>1</v>
      </c>
      <c r="AR1021" s="140" t="str">
        <f>_xlfn.XLOOKUP(MasterTable[[#This Row],[Aircraft ID]],Aircraft!A:A,Aircraft!H:H)</f>
        <v>Airplane Single Engine Land</v>
      </c>
      <c r="AS1021" s="8" t="b">
        <f>OR((SUM(MasterTable[[#This Row],[ILS]:[PAR]]) = MasterTable[[#This Row],[APPR]]))</f>
        <v>1</v>
      </c>
      <c r="AT1021" s="8" t="b">
        <f>NOT(ISBLANK(MasterTable[[#This Row],[Total
Time]]))</f>
        <v>1</v>
      </c>
    </row>
    <row r="1022" spans="4:46" ht="28.8" x14ac:dyDescent="0.3">
      <c r="D1022" s="22">
        <v>42673</v>
      </c>
      <c r="E1022" s="8" t="s">
        <v>72</v>
      </c>
      <c r="F1022" s="8" t="s">
        <v>293</v>
      </c>
      <c r="G1022" s="8" t="s">
        <v>346</v>
      </c>
      <c r="I1022" s="10">
        <v>0</v>
      </c>
      <c r="J1022" s="10">
        <v>0</v>
      </c>
      <c r="L1022" s="10">
        <v>0</v>
      </c>
      <c r="M1022" s="13">
        <v>0</v>
      </c>
      <c r="N1022" s="13"/>
      <c r="O1022" s="10">
        <v>0</v>
      </c>
      <c r="P1022" s="10">
        <v>0</v>
      </c>
      <c r="Q1022" s="14">
        <v>0</v>
      </c>
      <c r="R1022" s="14">
        <v>0</v>
      </c>
      <c r="S1022" s="10">
        <v>0</v>
      </c>
      <c r="T1022" s="10">
        <v>0</v>
      </c>
      <c r="U1022" s="14">
        <v>0</v>
      </c>
      <c r="V1022" s="10"/>
      <c r="W1022" s="11">
        <v>0</v>
      </c>
      <c r="X1022" s="11">
        <v>0</v>
      </c>
      <c r="Y1022" s="11">
        <v>0</v>
      </c>
      <c r="Z1022" s="11">
        <v>0</v>
      </c>
      <c r="AA1022" s="11">
        <f>MasterTable[[#This Row],[Landings
Night]]+MasterTable[[#This Row],[Landings
Day]]</f>
        <v>0</v>
      </c>
      <c r="AB1022" s="10">
        <v>0</v>
      </c>
      <c r="AC1022" s="10">
        <v>0</v>
      </c>
      <c r="AD1022" s="11">
        <v>0</v>
      </c>
      <c r="AE1022" s="21">
        <f>SUM(MasterTable[[#This Row],[ILS]:[PAR]])</f>
        <v>0</v>
      </c>
      <c r="AL1022" s="11"/>
      <c r="AR1022" s="140" t="str">
        <f>_xlfn.XLOOKUP(MasterTable[[#This Row],[Aircraft ID]],Aircraft!A:A,Aircraft!H:H)</f>
        <v>Airplane Multi Engine Land</v>
      </c>
      <c r="AS1022" s="8" t="b">
        <f>OR((SUM(MasterTable[[#This Row],[ILS]:[PAR]]) = MasterTable[[#This Row],[APPR]]))</f>
        <v>1</v>
      </c>
      <c r="AT1022" s="8" t="b">
        <f>NOT(ISBLANK(MasterTable[[#This Row],[Total
Time]]))</f>
        <v>1</v>
      </c>
    </row>
    <row r="1023" spans="4:46" ht="28.8" x14ac:dyDescent="0.3">
      <c r="D1023" s="22">
        <v>42669</v>
      </c>
      <c r="E1023" s="8" t="s">
        <v>52</v>
      </c>
      <c r="F1023" s="8" t="s">
        <v>202</v>
      </c>
      <c r="G1023" s="8" t="s">
        <v>202</v>
      </c>
      <c r="I1023" s="10">
        <v>1</v>
      </c>
      <c r="J1023" s="10">
        <v>1</v>
      </c>
      <c r="L1023" s="10">
        <v>0</v>
      </c>
      <c r="M1023" s="13">
        <v>0</v>
      </c>
      <c r="N1023" s="13"/>
      <c r="O1023" s="10">
        <v>0</v>
      </c>
      <c r="P1023" s="10">
        <v>0</v>
      </c>
      <c r="Q1023" s="14">
        <v>0</v>
      </c>
      <c r="R1023" s="14">
        <v>0</v>
      </c>
      <c r="S1023" s="10">
        <v>0</v>
      </c>
      <c r="T1023" s="10">
        <v>0</v>
      </c>
      <c r="U1023" s="14">
        <v>0</v>
      </c>
      <c r="V1023" s="10"/>
      <c r="W1023" s="11">
        <v>1</v>
      </c>
      <c r="X1023" s="11">
        <v>1</v>
      </c>
      <c r="Y1023" s="11">
        <v>0</v>
      </c>
      <c r="Z1023" s="11">
        <v>0</v>
      </c>
      <c r="AA1023" s="11">
        <f>MasterTable[[#This Row],[Landings
Night]]+MasterTable[[#This Row],[Landings
Day]]</f>
        <v>1</v>
      </c>
      <c r="AB1023" s="10">
        <v>0</v>
      </c>
      <c r="AC1023" s="10">
        <v>0.8</v>
      </c>
      <c r="AD1023" s="11">
        <v>0</v>
      </c>
      <c r="AE1023" s="21">
        <f>SUM(MasterTable[[#This Row],[ILS]:[PAR]])</f>
        <v>1</v>
      </c>
      <c r="AF1023" s="11">
        <v>1</v>
      </c>
      <c r="AL1023" s="11"/>
      <c r="AR1023" s="140" t="str">
        <f>_xlfn.XLOOKUP(MasterTable[[#This Row],[Aircraft ID]],Aircraft!A:A,Aircraft!H:H)</f>
        <v>Airplane Single Engine Land</v>
      </c>
      <c r="AS1023" s="8" t="b">
        <f>OR((SUM(MasterTable[[#This Row],[ILS]:[PAR]]) = MasterTable[[#This Row],[APPR]]))</f>
        <v>1</v>
      </c>
      <c r="AT1023" s="8" t="b">
        <f>NOT(ISBLANK(MasterTable[[#This Row],[Total
Time]]))</f>
        <v>1</v>
      </c>
    </row>
    <row r="1024" spans="4:46" ht="28.8" x14ac:dyDescent="0.3">
      <c r="D1024" s="22">
        <v>42668</v>
      </c>
      <c r="E1024" s="8" t="s">
        <v>49</v>
      </c>
      <c r="F1024" s="8" t="s">
        <v>293</v>
      </c>
      <c r="G1024" s="8" t="s">
        <v>293</v>
      </c>
      <c r="I1024" s="10">
        <v>1.2</v>
      </c>
      <c r="J1024" s="10">
        <v>1.2</v>
      </c>
      <c r="L1024" s="10">
        <v>0</v>
      </c>
      <c r="M1024" s="13">
        <v>0</v>
      </c>
      <c r="N1024" s="13"/>
      <c r="O1024" s="10">
        <v>0</v>
      </c>
      <c r="P1024" s="10">
        <v>0</v>
      </c>
      <c r="Q1024" s="14">
        <v>0</v>
      </c>
      <c r="R1024" s="14">
        <v>0</v>
      </c>
      <c r="S1024" s="10">
        <v>0</v>
      </c>
      <c r="T1024" s="10">
        <v>0</v>
      </c>
      <c r="U1024" s="14">
        <v>0</v>
      </c>
      <c r="V1024" s="10"/>
      <c r="W1024" s="11">
        <v>1</v>
      </c>
      <c r="X1024" s="11">
        <v>1</v>
      </c>
      <c r="Y1024" s="11">
        <v>0</v>
      </c>
      <c r="Z1024" s="11">
        <v>0</v>
      </c>
      <c r="AA1024" s="11">
        <f>MasterTable[[#This Row],[Landings
Night]]+MasterTable[[#This Row],[Landings
Day]]</f>
        <v>1</v>
      </c>
      <c r="AB1024" s="10">
        <v>0</v>
      </c>
      <c r="AC1024" s="10">
        <v>1</v>
      </c>
      <c r="AD1024" s="11">
        <v>0</v>
      </c>
      <c r="AE1024" s="21">
        <f>SUM(MasterTable[[#This Row],[ILS]:[PAR]])</f>
        <v>4</v>
      </c>
      <c r="AI1024" s="11">
        <v>4</v>
      </c>
      <c r="AL1024" s="11"/>
      <c r="AR1024" s="140" t="str">
        <f>_xlfn.XLOOKUP(MasterTable[[#This Row],[Aircraft ID]],Aircraft!A:A,Aircraft!H:H)</f>
        <v>Airplane Single Engine Land</v>
      </c>
      <c r="AS1024" s="8" t="b">
        <f>OR((SUM(MasterTable[[#This Row],[ILS]:[PAR]]) = MasterTable[[#This Row],[APPR]]))</f>
        <v>1</v>
      </c>
      <c r="AT1024" s="8" t="b">
        <f>NOT(ISBLANK(MasterTable[[#This Row],[Total
Time]]))</f>
        <v>1</v>
      </c>
    </row>
    <row r="1025" spans="4:46" ht="28.8" x14ac:dyDescent="0.3">
      <c r="D1025" s="22">
        <v>42666</v>
      </c>
      <c r="E1025" s="8" t="s">
        <v>174</v>
      </c>
      <c r="F1025" s="8" t="s">
        <v>202</v>
      </c>
      <c r="G1025" s="8" t="s">
        <v>273</v>
      </c>
      <c r="I1025" s="10">
        <v>2.7</v>
      </c>
      <c r="J1025" s="10">
        <v>2.7</v>
      </c>
      <c r="L1025" s="10">
        <v>0</v>
      </c>
      <c r="M1025" s="13">
        <v>0</v>
      </c>
      <c r="N1025" s="13"/>
      <c r="O1025" s="10">
        <v>0</v>
      </c>
      <c r="P1025" s="10">
        <v>0</v>
      </c>
      <c r="Q1025" s="14">
        <v>0</v>
      </c>
      <c r="R1025" s="14">
        <v>0</v>
      </c>
      <c r="S1025" s="10">
        <v>0</v>
      </c>
      <c r="T1025" s="10">
        <v>2.7</v>
      </c>
      <c r="U1025" s="14">
        <v>0</v>
      </c>
      <c r="V1025" s="10"/>
      <c r="W1025" s="11">
        <v>1</v>
      </c>
      <c r="X1025" s="11">
        <v>1</v>
      </c>
      <c r="Y1025" s="11">
        <v>0</v>
      </c>
      <c r="Z1025" s="11">
        <v>0</v>
      </c>
      <c r="AA1025" s="11">
        <f>MasterTable[[#This Row],[Landings
Night]]+MasterTable[[#This Row],[Landings
Day]]</f>
        <v>1</v>
      </c>
      <c r="AB1025" s="10">
        <v>0</v>
      </c>
      <c r="AC1025" s="10">
        <v>0</v>
      </c>
      <c r="AD1025" s="11">
        <v>0</v>
      </c>
      <c r="AE1025" s="21">
        <f>SUM(MasterTable[[#This Row],[ILS]:[PAR]])</f>
        <v>0</v>
      </c>
      <c r="AL1025" s="11"/>
      <c r="AR1025" s="140" t="str">
        <f>_xlfn.XLOOKUP(MasterTable[[#This Row],[Aircraft ID]],Aircraft!A:A,Aircraft!H:H)</f>
        <v>Airplane Single Engine Land</v>
      </c>
      <c r="AS1025" s="8" t="b">
        <f>OR((SUM(MasterTable[[#This Row],[ILS]:[PAR]]) = MasterTable[[#This Row],[APPR]]))</f>
        <v>1</v>
      </c>
      <c r="AT1025" s="8" t="b">
        <f>NOT(ISBLANK(MasterTable[[#This Row],[Total
Time]]))</f>
        <v>1</v>
      </c>
    </row>
    <row r="1026" spans="4:46" ht="28.8" x14ac:dyDescent="0.3">
      <c r="D1026" s="22">
        <v>42665</v>
      </c>
      <c r="E1026" s="8" t="s">
        <v>174</v>
      </c>
      <c r="F1026" s="8" t="s">
        <v>202</v>
      </c>
      <c r="G1026" s="8" t="s">
        <v>202</v>
      </c>
      <c r="I1026" s="10">
        <v>0.9</v>
      </c>
      <c r="J1026" s="10">
        <v>0.9</v>
      </c>
      <c r="L1026" s="10">
        <v>0</v>
      </c>
      <c r="M1026" s="13">
        <v>0</v>
      </c>
      <c r="N1026" s="13"/>
      <c r="O1026" s="10">
        <v>0</v>
      </c>
      <c r="P1026" s="10">
        <v>0.9</v>
      </c>
      <c r="Q1026" s="14">
        <v>0</v>
      </c>
      <c r="R1026" s="14">
        <v>0</v>
      </c>
      <c r="S1026" s="10">
        <v>0</v>
      </c>
      <c r="T1026" s="10">
        <v>0</v>
      </c>
      <c r="U1026" s="14">
        <v>0</v>
      </c>
      <c r="V1026" s="10"/>
      <c r="W1026" s="11">
        <v>1</v>
      </c>
      <c r="X1026" s="11">
        <v>1</v>
      </c>
      <c r="Y1026" s="11">
        <v>0</v>
      </c>
      <c r="Z1026" s="11">
        <v>0</v>
      </c>
      <c r="AA1026" s="11">
        <f>MasterTable[[#This Row],[Landings
Night]]+MasterTable[[#This Row],[Landings
Day]]</f>
        <v>1</v>
      </c>
      <c r="AB1026" s="10">
        <v>0</v>
      </c>
      <c r="AC1026" s="10">
        <v>0.7</v>
      </c>
      <c r="AD1026" s="11">
        <v>0</v>
      </c>
      <c r="AE1026" s="21">
        <f>SUM(MasterTable[[#This Row],[ILS]:[PAR]])</f>
        <v>1</v>
      </c>
      <c r="AH1026" s="11">
        <v>1</v>
      </c>
      <c r="AL1026" s="11"/>
      <c r="AR1026" s="140" t="str">
        <f>_xlfn.XLOOKUP(MasterTable[[#This Row],[Aircraft ID]],Aircraft!A:A,Aircraft!H:H)</f>
        <v>Airplane Single Engine Land</v>
      </c>
      <c r="AS1026" s="8" t="b">
        <f>OR((SUM(MasterTable[[#This Row],[ILS]:[PAR]]) = MasterTable[[#This Row],[APPR]]))</f>
        <v>1</v>
      </c>
      <c r="AT1026" s="8" t="b">
        <f>NOT(ISBLANK(MasterTable[[#This Row],[Total
Time]]))</f>
        <v>1</v>
      </c>
    </row>
    <row r="1027" spans="4:46" ht="28.8" x14ac:dyDescent="0.3">
      <c r="D1027" s="22">
        <v>42662</v>
      </c>
      <c r="E1027" s="8" t="s">
        <v>49</v>
      </c>
      <c r="F1027" s="8" t="s">
        <v>293</v>
      </c>
      <c r="G1027" s="8" t="s">
        <v>293</v>
      </c>
      <c r="I1027" s="10">
        <v>1.3</v>
      </c>
      <c r="J1027" s="10">
        <v>1.3</v>
      </c>
      <c r="L1027" s="10">
        <v>0</v>
      </c>
      <c r="M1027" s="13">
        <v>0</v>
      </c>
      <c r="N1027" s="13"/>
      <c r="O1027" s="10">
        <v>0</v>
      </c>
      <c r="P1027" s="10">
        <v>0</v>
      </c>
      <c r="Q1027" s="14">
        <v>0</v>
      </c>
      <c r="R1027" s="14">
        <v>0</v>
      </c>
      <c r="S1027" s="10">
        <v>0</v>
      </c>
      <c r="T1027" s="10">
        <v>0</v>
      </c>
      <c r="U1027" s="14">
        <v>0</v>
      </c>
      <c r="V1027" s="10"/>
      <c r="W1027" s="11">
        <v>1</v>
      </c>
      <c r="X1027" s="11">
        <v>1</v>
      </c>
      <c r="Y1027" s="11">
        <v>0</v>
      </c>
      <c r="Z1027" s="11">
        <v>0</v>
      </c>
      <c r="AA1027" s="11">
        <f>MasterTable[[#This Row],[Landings
Night]]+MasterTable[[#This Row],[Landings
Day]]</f>
        <v>1</v>
      </c>
      <c r="AB1027" s="10">
        <v>0</v>
      </c>
      <c r="AC1027" s="10">
        <v>1.1000000000000001</v>
      </c>
      <c r="AD1027" s="11">
        <v>2</v>
      </c>
      <c r="AE1027" s="21">
        <f>SUM(MasterTable[[#This Row],[ILS]:[PAR]])</f>
        <v>2</v>
      </c>
      <c r="AI1027" s="11">
        <v>2</v>
      </c>
      <c r="AL1027" s="11"/>
      <c r="AR1027" s="140" t="str">
        <f>_xlfn.XLOOKUP(MasterTable[[#This Row],[Aircraft ID]],Aircraft!A:A,Aircraft!H:H)</f>
        <v>Airplane Single Engine Land</v>
      </c>
      <c r="AS1027" s="8" t="b">
        <f>OR((SUM(MasterTable[[#This Row],[ILS]:[PAR]]) = MasterTable[[#This Row],[APPR]]))</f>
        <v>1</v>
      </c>
      <c r="AT1027" s="8" t="b">
        <f>NOT(ISBLANK(MasterTable[[#This Row],[Total
Time]]))</f>
        <v>1</v>
      </c>
    </row>
    <row r="1028" spans="4:46" ht="28.8" x14ac:dyDescent="0.3">
      <c r="D1028" s="22">
        <v>42660</v>
      </c>
      <c r="E1028" s="8" t="s">
        <v>49</v>
      </c>
      <c r="F1028" s="8" t="s">
        <v>293</v>
      </c>
      <c r="G1028" s="8" t="s">
        <v>202</v>
      </c>
      <c r="I1028" s="10">
        <v>0.8</v>
      </c>
      <c r="J1028" s="10">
        <v>0.8</v>
      </c>
      <c r="L1028" s="10">
        <v>0</v>
      </c>
      <c r="M1028" s="13">
        <v>0</v>
      </c>
      <c r="N1028" s="13"/>
      <c r="O1028" s="10">
        <v>0</v>
      </c>
      <c r="P1028" s="10">
        <v>0.8</v>
      </c>
      <c r="Q1028" s="14">
        <v>0</v>
      </c>
      <c r="R1028" s="14">
        <v>0</v>
      </c>
      <c r="S1028" s="10">
        <v>0</v>
      </c>
      <c r="T1028" s="10">
        <v>0</v>
      </c>
      <c r="U1028" s="14">
        <v>0</v>
      </c>
      <c r="V1028" s="10"/>
      <c r="W1028" s="11">
        <v>1</v>
      </c>
      <c r="X1028" s="11">
        <v>1</v>
      </c>
      <c r="Y1028" s="11">
        <v>0</v>
      </c>
      <c r="Z1028" s="11">
        <v>0</v>
      </c>
      <c r="AA1028" s="11">
        <f>MasterTable[[#This Row],[Landings
Night]]+MasterTable[[#This Row],[Landings
Day]]</f>
        <v>1</v>
      </c>
      <c r="AB1028" s="10">
        <v>0</v>
      </c>
      <c r="AC1028" s="10">
        <v>0.6</v>
      </c>
      <c r="AD1028" s="11">
        <v>0</v>
      </c>
      <c r="AE1028" s="21">
        <f>SUM(MasterTable[[#This Row],[ILS]:[PAR]])</f>
        <v>1</v>
      </c>
      <c r="AH1028" s="11">
        <v>1</v>
      </c>
      <c r="AL1028" s="11"/>
      <c r="AR1028" s="140" t="str">
        <f>_xlfn.XLOOKUP(MasterTable[[#This Row],[Aircraft ID]],Aircraft!A:A,Aircraft!H:H)</f>
        <v>Airplane Single Engine Land</v>
      </c>
      <c r="AS1028" s="8" t="b">
        <f>OR((SUM(MasterTable[[#This Row],[ILS]:[PAR]]) = MasterTable[[#This Row],[APPR]]))</f>
        <v>1</v>
      </c>
      <c r="AT1028" s="8" t="b">
        <f>NOT(ISBLANK(MasterTable[[#This Row],[Total
Time]]))</f>
        <v>1</v>
      </c>
    </row>
    <row r="1029" spans="4:46" ht="28.8" x14ac:dyDescent="0.3">
      <c r="D1029" s="22">
        <v>42658</v>
      </c>
      <c r="E1029" s="8" t="s">
        <v>10</v>
      </c>
      <c r="F1029" s="8" t="s">
        <v>293</v>
      </c>
      <c r="G1029" s="8" t="s">
        <v>293</v>
      </c>
      <c r="I1029" s="10">
        <v>1.5</v>
      </c>
      <c r="J1029" s="10">
        <v>1.5</v>
      </c>
      <c r="L1029" s="10">
        <v>0</v>
      </c>
      <c r="M1029" s="13">
        <v>0</v>
      </c>
      <c r="N1029" s="13"/>
      <c r="O1029" s="10">
        <v>0</v>
      </c>
      <c r="P1029" s="10">
        <v>1.5</v>
      </c>
      <c r="Q1029" s="14">
        <v>0</v>
      </c>
      <c r="R1029" s="14">
        <v>0</v>
      </c>
      <c r="S1029" s="10">
        <v>0</v>
      </c>
      <c r="T1029" s="10">
        <v>0</v>
      </c>
      <c r="U1029" s="14">
        <v>0</v>
      </c>
      <c r="V1029" s="10"/>
      <c r="W1029" s="11">
        <v>1</v>
      </c>
      <c r="X1029" s="11">
        <v>1</v>
      </c>
      <c r="Y1029" s="11">
        <v>0</v>
      </c>
      <c r="Z1029" s="11">
        <v>0</v>
      </c>
      <c r="AA1029" s="11">
        <f>MasterTable[[#This Row],[Landings
Night]]+MasterTable[[#This Row],[Landings
Day]]</f>
        <v>1</v>
      </c>
      <c r="AB1029" s="10">
        <v>0.2</v>
      </c>
      <c r="AC1029" s="10">
        <v>1</v>
      </c>
      <c r="AD1029" s="11">
        <v>0</v>
      </c>
      <c r="AE1029" s="21">
        <f>SUM(MasterTable[[#This Row],[ILS]:[PAR]])</f>
        <v>2</v>
      </c>
      <c r="AH1029" s="11">
        <v>1</v>
      </c>
      <c r="AI1029" s="11">
        <v>1</v>
      </c>
      <c r="AL1029" s="11"/>
      <c r="AR1029" s="140" t="str">
        <f>_xlfn.XLOOKUP(MasterTable[[#This Row],[Aircraft ID]],Aircraft!A:A,Aircraft!H:H)</f>
        <v>Airplane Single Engine Land</v>
      </c>
      <c r="AS1029" s="8" t="b">
        <f>OR((SUM(MasterTable[[#This Row],[ILS]:[PAR]]) = MasterTable[[#This Row],[APPR]]))</f>
        <v>1</v>
      </c>
      <c r="AT1029" s="8" t="b">
        <f>NOT(ISBLANK(MasterTable[[#This Row],[Total
Time]]))</f>
        <v>1</v>
      </c>
    </row>
    <row r="1030" spans="4:46" ht="28.8" x14ac:dyDescent="0.3">
      <c r="D1030" s="22">
        <v>42656</v>
      </c>
      <c r="E1030" s="8" t="s">
        <v>72</v>
      </c>
      <c r="F1030" s="8" t="s">
        <v>293</v>
      </c>
      <c r="G1030" s="8" t="s">
        <v>346</v>
      </c>
      <c r="I1030" s="10">
        <v>0</v>
      </c>
      <c r="J1030" s="10">
        <v>0</v>
      </c>
      <c r="L1030" s="10">
        <v>0</v>
      </c>
      <c r="M1030" s="13">
        <v>0</v>
      </c>
      <c r="N1030" s="13"/>
      <c r="O1030" s="10">
        <v>0</v>
      </c>
      <c r="P1030" s="10">
        <v>0</v>
      </c>
      <c r="Q1030" s="14">
        <v>0</v>
      </c>
      <c r="R1030" s="14">
        <v>0</v>
      </c>
      <c r="S1030" s="10">
        <v>0</v>
      </c>
      <c r="T1030" s="10">
        <v>0</v>
      </c>
      <c r="U1030" s="14">
        <v>0</v>
      </c>
      <c r="V1030" s="10"/>
      <c r="W1030" s="11">
        <v>1</v>
      </c>
      <c r="X1030" s="11">
        <v>1</v>
      </c>
      <c r="Y1030" s="11">
        <v>0</v>
      </c>
      <c r="Z1030" s="11">
        <v>0</v>
      </c>
      <c r="AA1030" s="11">
        <f>MasterTable[[#This Row],[Landings
Night]]+MasterTable[[#This Row],[Landings
Day]]</f>
        <v>1</v>
      </c>
      <c r="AB1030" s="10">
        <v>0</v>
      </c>
      <c r="AC1030" s="10">
        <v>0</v>
      </c>
      <c r="AD1030" s="11">
        <v>0</v>
      </c>
      <c r="AE1030" s="21">
        <f>SUM(MasterTable[[#This Row],[ILS]:[PAR]])</f>
        <v>0</v>
      </c>
      <c r="AL1030" s="11"/>
      <c r="AR1030" s="140" t="str">
        <f>_xlfn.XLOOKUP(MasterTable[[#This Row],[Aircraft ID]],Aircraft!A:A,Aircraft!H:H)</f>
        <v>Airplane Multi Engine Land</v>
      </c>
      <c r="AS1030" s="8" t="b">
        <f>OR((SUM(MasterTable[[#This Row],[ILS]:[PAR]]) = MasterTable[[#This Row],[APPR]]))</f>
        <v>1</v>
      </c>
      <c r="AT1030" s="8" t="b">
        <f>NOT(ISBLANK(MasterTable[[#This Row],[Total
Time]]))</f>
        <v>1</v>
      </c>
    </row>
    <row r="1031" spans="4:46" ht="28.8" x14ac:dyDescent="0.3">
      <c r="D1031" s="22">
        <v>42654</v>
      </c>
      <c r="E1031" s="8" t="s">
        <v>49</v>
      </c>
      <c r="F1031" s="8" t="s">
        <v>293</v>
      </c>
      <c r="G1031" s="8" t="s">
        <v>241</v>
      </c>
      <c r="I1031" s="10">
        <v>1.3</v>
      </c>
      <c r="J1031" s="10">
        <v>1.3</v>
      </c>
      <c r="L1031" s="10">
        <v>0</v>
      </c>
      <c r="M1031" s="13">
        <v>0</v>
      </c>
      <c r="N1031" s="13"/>
      <c r="O1031" s="10">
        <v>0</v>
      </c>
      <c r="P1031" s="10">
        <v>1.3</v>
      </c>
      <c r="Q1031" s="14">
        <v>0</v>
      </c>
      <c r="R1031" s="14">
        <v>0</v>
      </c>
      <c r="S1031" s="10">
        <v>0</v>
      </c>
      <c r="T1031" s="10">
        <v>0</v>
      </c>
      <c r="U1031" s="14">
        <v>0</v>
      </c>
      <c r="V1031" s="10"/>
      <c r="W1031" s="11">
        <v>2</v>
      </c>
      <c r="X1031" s="11">
        <v>2</v>
      </c>
      <c r="Y1031" s="11">
        <v>0</v>
      </c>
      <c r="Z1031" s="11">
        <v>0</v>
      </c>
      <c r="AA1031" s="11">
        <f>MasterTable[[#This Row],[Landings
Night]]+MasterTable[[#This Row],[Landings
Day]]</f>
        <v>2</v>
      </c>
      <c r="AB1031" s="10">
        <v>0</v>
      </c>
      <c r="AC1031" s="10">
        <v>1.1000000000000001</v>
      </c>
      <c r="AD1031" s="11">
        <v>0</v>
      </c>
      <c r="AE1031" s="21">
        <f>SUM(MasterTable[[#This Row],[ILS]:[PAR]])</f>
        <v>1</v>
      </c>
      <c r="AI1031" s="11">
        <v>1</v>
      </c>
      <c r="AL1031" s="11"/>
      <c r="AR1031" s="140" t="str">
        <f>_xlfn.XLOOKUP(MasterTable[[#This Row],[Aircraft ID]],Aircraft!A:A,Aircraft!H:H)</f>
        <v>Airplane Single Engine Land</v>
      </c>
      <c r="AS1031" s="8" t="b">
        <f>OR((SUM(MasterTable[[#This Row],[ILS]:[PAR]]) = MasterTable[[#This Row],[APPR]]))</f>
        <v>1</v>
      </c>
      <c r="AT1031" s="8" t="b">
        <f>NOT(ISBLANK(MasterTable[[#This Row],[Total
Time]]))</f>
        <v>1</v>
      </c>
    </row>
    <row r="1032" spans="4:46" ht="28.8" x14ac:dyDescent="0.3">
      <c r="D1032" s="22">
        <v>42653</v>
      </c>
      <c r="E1032" s="8" t="s">
        <v>49</v>
      </c>
      <c r="F1032" s="8" t="s">
        <v>293</v>
      </c>
      <c r="G1032" s="8" t="s">
        <v>293</v>
      </c>
      <c r="I1032" s="10">
        <v>1.1000000000000001</v>
      </c>
      <c r="J1032" s="10">
        <v>1.1000000000000001</v>
      </c>
      <c r="L1032" s="10">
        <v>0</v>
      </c>
      <c r="M1032" s="13">
        <v>0</v>
      </c>
      <c r="N1032" s="13"/>
      <c r="O1032" s="10">
        <v>0</v>
      </c>
      <c r="P1032" s="10">
        <v>1.1000000000000001</v>
      </c>
      <c r="Q1032" s="14">
        <v>0</v>
      </c>
      <c r="R1032" s="14">
        <v>0</v>
      </c>
      <c r="S1032" s="10">
        <v>0</v>
      </c>
      <c r="T1032" s="10">
        <v>0</v>
      </c>
      <c r="U1032" s="14">
        <v>0</v>
      </c>
      <c r="V1032" s="10"/>
      <c r="W1032" s="11">
        <v>1</v>
      </c>
      <c r="X1032" s="11">
        <v>1</v>
      </c>
      <c r="Y1032" s="11">
        <v>0</v>
      </c>
      <c r="Z1032" s="11">
        <v>0</v>
      </c>
      <c r="AA1032" s="11">
        <f>MasterTable[[#This Row],[Landings
Night]]+MasterTable[[#This Row],[Landings
Day]]</f>
        <v>1</v>
      </c>
      <c r="AB1032" s="10">
        <v>0.2</v>
      </c>
      <c r="AC1032" s="10">
        <v>0.7</v>
      </c>
      <c r="AD1032" s="11">
        <v>0</v>
      </c>
      <c r="AE1032" s="21">
        <f>SUM(MasterTable[[#This Row],[ILS]:[PAR]])</f>
        <v>2</v>
      </c>
      <c r="AH1032" s="11">
        <v>1</v>
      </c>
      <c r="AI1032" s="11">
        <v>1</v>
      </c>
      <c r="AL1032" s="11"/>
      <c r="AR1032" s="140" t="str">
        <f>_xlfn.XLOOKUP(MasterTable[[#This Row],[Aircraft ID]],Aircraft!A:A,Aircraft!H:H)</f>
        <v>Airplane Single Engine Land</v>
      </c>
      <c r="AS1032" s="8" t="b">
        <f>OR((SUM(MasterTable[[#This Row],[ILS]:[PAR]]) = MasterTable[[#This Row],[APPR]]))</f>
        <v>1</v>
      </c>
      <c r="AT1032" s="8" t="b">
        <f>NOT(ISBLANK(MasterTable[[#This Row],[Total
Time]]))</f>
        <v>1</v>
      </c>
    </row>
    <row r="1033" spans="4:46" ht="28.8" x14ac:dyDescent="0.3">
      <c r="D1033" s="22">
        <v>42653</v>
      </c>
      <c r="E1033" s="8" t="s">
        <v>174</v>
      </c>
      <c r="F1033" s="8" t="s">
        <v>265</v>
      </c>
      <c r="G1033" s="8" t="s">
        <v>202</v>
      </c>
      <c r="I1033" s="10">
        <v>0.6</v>
      </c>
      <c r="J1033" s="10">
        <v>0.6</v>
      </c>
      <c r="L1033" s="10">
        <v>0</v>
      </c>
      <c r="M1033" s="13">
        <v>0</v>
      </c>
      <c r="N1033" s="13"/>
      <c r="O1033" s="10">
        <v>0</v>
      </c>
      <c r="P1033" s="10">
        <v>0</v>
      </c>
      <c r="Q1033" s="14">
        <v>0</v>
      </c>
      <c r="R1033" s="14">
        <v>0</v>
      </c>
      <c r="S1033" s="10">
        <v>0</v>
      </c>
      <c r="T1033" s="10">
        <v>0</v>
      </c>
      <c r="U1033" s="14">
        <v>0</v>
      </c>
      <c r="V1033" s="10"/>
      <c r="W1033" s="11">
        <v>1</v>
      </c>
      <c r="X1033" s="11">
        <v>1</v>
      </c>
      <c r="Y1033" s="11">
        <v>0</v>
      </c>
      <c r="Z1033" s="11">
        <v>0</v>
      </c>
      <c r="AA1033" s="11">
        <f>MasterTable[[#This Row],[Landings
Night]]+MasterTable[[#This Row],[Landings
Day]]</f>
        <v>1</v>
      </c>
      <c r="AB1033" s="10">
        <v>0</v>
      </c>
      <c r="AC1033" s="10">
        <v>0</v>
      </c>
      <c r="AD1033" s="11">
        <v>0</v>
      </c>
      <c r="AE1033" s="21">
        <f>SUM(MasterTable[[#This Row],[ILS]:[PAR]])</f>
        <v>0</v>
      </c>
      <c r="AL1033" s="11"/>
      <c r="AR1033" s="140" t="str">
        <f>_xlfn.XLOOKUP(MasterTable[[#This Row],[Aircraft ID]],Aircraft!A:A,Aircraft!H:H)</f>
        <v>Airplane Single Engine Land</v>
      </c>
      <c r="AS1033" s="8" t="b">
        <f>OR((SUM(MasterTable[[#This Row],[ILS]:[PAR]]) = MasterTable[[#This Row],[APPR]]))</f>
        <v>1</v>
      </c>
      <c r="AT1033" s="8" t="b">
        <f>NOT(ISBLANK(MasterTable[[#This Row],[Total
Time]]))</f>
        <v>1</v>
      </c>
    </row>
    <row r="1034" spans="4:46" ht="28.8" x14ac:dyDescent="0.3">
      <c r="D1034" s="22">
        <v>42646</v>
      </c>
      <c r="E1034" s="8" t="s">
        <v>49</v>
      </c>
      <c r="F1034" s="8" t="s">
        <v>293</v>
      </c>
      <c r="G1034" s="8" t="s">
        <v>293</v>
      </c>
      <c r="I1034" s="10">
        <v>1.4</v>
      </c>
      <c r="J1034" s="10">
        <v>1.4</v>
      </c>
      <c r="L1034" s="10">
        <v>0</v>
      </c>
      <c r="M1034" s="13">
        <v>0</v>
      </c>
      <c r="N1034" s="13"/>
      <c r="O1034" s="10">
        <v>0</v>
      </c>
      <c r="P1034" s="10">
        <v>1.4</v>
      </c>
      <c r="Q1034" s="14">
        <v>0</v>
      </c>
      <c r="R1034" s="14">
        <v>0</v>
      </c>
      <c r="S1034" s="10">
        <v>0</v>
      </c>
      <c r="T1034" s="10">
        <v>0</v>
      </c>
      <c r="U1034" s="14">
        <v>0</v>
      </c>
      <c r="V1034" s="10"/>
      <c r="W1034" s="11">
        <v>1</v>
      </c>
      <c r="X1034" s="11">
        <v>1</v>
      </c>
      <c r="Y1034" s="11">
        <v>0</v>
      </c>
      <c r="Z1034" s="11">
        <v>0</v>
      </c>
      <c r="AA1034" s="11">
        <f>MasterTable[[#This Row],[Landings
Night]]+MasterTable[[#This Row],[Landings
Day]]</f>
        <v>1</v>
      </c>
      <c r="AB1034" s="10">
        <v>0</v>
      </c>
      <c r="AC1034" s="10">
        <v>1.2</v>
      </c>
      <c r="AD1034" s="11">
        <v>0</v>
      </c>
      <c r="AE1034" s="21">
        <f>SUM(MasterTable[[#This Row],[ILS]:[PAR]])</f>
        <v>1</v>
      </c>
      <c r="AF1034" s="11">
        <v>1</v>
      </c>
      <c r="AL1034" s="11"/>
      <c r="AR1034" s="140" t="str">
        <f>_xlfn.XLOOKUP(MasterTable[[#This Row],[Aircraft ID]],Aircraft!A:A,Aircraft!H:H)</f>
        <v>Airplane Single Engine Land</v>
      </c>
      <c r="AS1034" s="8" t="b">
        <f>OR((SUM(MasterTable[[#This Row],[ILS]:[PAR]]) = MasterTable[[#This Row],[APPR]]))</f>
        <v>1</v>
      </c>
      <c r="AT1034" s="8" t="b">
        <f>NOT(ISBLANK(MasterTable[[#This Row],[Total
Time]]))</f>
        <v>1</v>
      </c>
    </row>
    <row r="1035" spans="4:46" ht="28.8" x14ac:dyDescent="0.3">
      <c r="D1035" s="22">
        <v>42643</v>
      </c>
      <c r="E1035" s="8" t="s">
        <v>52</v>
      </c>
      <c r="F1035" s="8" t="s">
        <v>202</v>
      </c>
      <c r="G1035" s="8" t="s">
        <v>202</v>
      </c>
      <c r="I1035" s="10">
        <v>1.7</v>
      </c>
      <c r="J1035" s="10">
        <v>1.7</v>
      </c>
      <c r="L1035" s="10">
        <v>0</v>
      </c>
      <c r="M1035" s="13">
        <v>0</v>
      </c>
      <c r="N1035" s="13"/>
      <c r="O1035" s="10">
        <v>0</v>
      </c>
      <c r="P1035" s="10">
        <v>0</v>
      </c>
      <c r="Q1035" s="14">
        <v>0</v>
      </c>
      <c r="R1035" s="14">
        <v>0</v>
      </c>
      <c r="S1035" s="10">
        <v>0.1</v>
      </c>
      <c r="T1035" s="10">
        <v>0</v>
      </c>
      <c r="U1035" s="14">
        <v>0</v>
      </c>
      <c r="V1035" s="10"/>
      <c r="W1035" s="11">
        <v>1</v>
      </c>
      <c r="X1035" s="11">
        <v>1</v>
      </c>
      <c r="Y1035" s="11">
        <v>0</v>
      </c>
      <c r="Z1035" s="11">
        <v>0</v>
      </c>
      <c r="AA1035" s="11">
        <f>MasterTable[[#This Row],[Landings
Night]]+MasterTable[[#This Row],[Landings
Day]]</f>
        <v>1</v>
      </c>
      <c r="AB1035" s="10">
        <v>0</v>
      </c>
      <c r="AC1035" s="10">
        <v>0</v>
      </c>
      <c r="AD1035" s="11">
        <v>0</v>
      </c>
      <c r="AE1035" s="21">
        <f>SUM(MasterTable[[#This Row],[ILS]:[PAR]])</f>
        <v>1</v>
      </c>
      <c r="AH1035" s="11">
        <v>1</v>
      </c>
      <c r="AL1035" s="11"/>
      <c r="AR1035" s="140" t="str">
        <f>_xlfn.XLOOKUP(MasterTable[[#This Row],[Aircraft ID]],Aircraft!A:A,Aircraft!H:H)</f>
        <v>Airplane Single Engine Land</v>
      </c>
      <c r="AS1035" s="8" t="b">
        <f>OR((SUM(MasterTable[[#This Row],[ILS]:[PAR]]) = MasterTable[[#This Row],[APPR]]))</f>
        <v>1</v>
      </c>
      <c r="AT1035" s="8" t="b">
        <f>NOT(ISBLANK(MasterTable[[#This Row],[Total
Time]]))</f>
        <v>1</v>
      </c>
    </row>
    <row r="1036" spans="4:46" ht="28.8" x14ac:dyDescent="0.3">
      <c r="D1036" s="22">
        <v>42642</v>
      </c>
      <c r="E1036" s="8" t="s">
        <v>174</v>
      </c>
      <c r="F1036" s="8" t="s">
        <v>202</v>
      </c>
      <c r="G1036" s="8" t="s">
        <v>265</v>
      </c>
      <c r="I1036" s="10">
        <v>0.7</v>
      </c>
      <c r="J1036" s="10">
        <v>0.7</v>
      </c>
      <c r="L1036" s="10">
        <v>0</v>
      </c>
      <c r="M1036" s="13">
        <v>0</v>
      </c>
      <c r="N1036" s="13"/>
      <c r="O1036" s="10">
        <v>0</v>
      </c>
      <c r="P1036" s="10">
        <v>0</v>
      </c>
      <c r="Q1036" s="14">
        <v>0</v>
      </c>
      <c r="R1036" s="14">
        <v>0</v>
      </c>
      <c r="S1036" s="10">
        <v>0</v>
      </c>
      <c r="T1036" s="10">
        <v>0</v>
      </c>
      <c r="U1036" s="14">
        <v>0</v>
      </c>
      <c r="V1036" s="10"/>
      <c r="W1036" s="11">
        <v>1</v>
      </c>
      <c r="X1036" s="11">
        <v>1</v>
      </c>
      <c r="Y1036" s="11">
        <v>0</v>
      </c>
      <c r="Z1036" s="11">
        <v>0</v>
      </c>
      <c r="AA1036" s="11">
        <f>MasterTable[[#This Row],[Landings
Night]]+MasterTable[[#This Row],[Landings
Day]]</f>
        <v>1</v>
      </c>
      <c r="AB1036" s="10">
        <v>0</v>
      </c>
      <c r="AC1036" s="10">
        <v>0</v>
      </c>
      <c r="AD1036" s="11">
        <v>0</v>
      </c>
      <c r="AE1036" s="21">
        <f>SUM(MasterTable[[#This Row],[ILS]:[PAR]])</f>
        <v>0</v>
      </c>
      <c r="AL1036" s="11"/>
      <c r="AR1036" s="140" t="str">
        <f>_xlfn.XLOOKUP(MasterTable[[#This Row],[Aircraft ID]],Aircraft!A:A,Aircraft!H:H)</f>
        <v>Airplane Single Engine Land</v>
      </c>
      <c r="AS1036" s="8" t="b">
        <f>OR((SUM(MasterTable[[#This Row],[ILS]:[PAR]]) = MasterTable[[#This Row],[APPR]]))</f>
        <v>1</v>
      </c>
      <c r="AT1036" s="8" t="b">
        <f>NOT(ISBLANK(MasterTable[[#This Row],[Total
Time]]))</f>
        <v>1</v>
      </c>
    </row>
    <row r="1037" spans="4:46" ht="28.8" x14ac:dyDescent="0.3">
      <c r="D1037" s="22">
        <v>42637</v>
      </c>
      <c r="E1037" s="8" t="s">
        <v>174</v>
      </c>
      <c r="F1037" s="8" t="s">
        <v>202</v>
      </c>
      <c r="G1037" s="8" t="s">
        <v>202</v>
      </c>
      <c r="I1037" s="10">
        <v>0.6</v>
      </c>
      <c r="J1037" s="10">
        <v>0.6</v>
      </c>
      <c r="L1037" s="10">
        <v>0</v>
      </c>
      <c r="M1037" s="13">
        <v>0</v>
      </c>
      <c r="N1037" s="13"/>
      <c r="O1037" s="10">
        <v>0</v>
      </c>
      <c r="P1037" s="10">
        <v>0</v>
      </c>
      <c r="Q1037" s="14">
        <v>0</v>
      </c>
      <c r="R1037" s="14">
        <v>0</v>
      </c>
      <c r="S1037" s="10">
        <v>0</v>
      </c>
      <c r="T1037" s="10">
        <v>0</v>
      </c>
      <c r="U1037" s="14">
        <v>0</v>
      </c>
      <c r="V1037" s="10"/>
      <c r="W1037" s="11">
        <v>1</v>
      </c>
      <c r="X1037" s="11">
        <v>1</v>
      </c>
      <c r="Y1037" s="11">
        <v>0</v>
      </c>
      <c r="Z1037" s="11">
        <v>0</v>
      </c>
      <c r="AA1037" s="11">
        <f>MasterTable[[#This Row],[Landings
Night]]+MasterTable[[#This Row],[Landings
Day]]</f>
        <v>1</v>
      </c>
      <c r="AB1037" s="10">
        <v>0</v>
      </c>
      <c r="AC1037" s="10">
        <v>0</v>
      </c>
      <c r="AD1037" s="11">
        <v>0</v>
      </c>
      <c r="AE1037" s="21">
        <f>SUM(MasterTable[[#This Row],[ILS]:[PAR]])</f>
        <v>0</v>
      </c>
      <c r="AL1037" s="11"/>
      <c r="AR1037" s="140" t="str">
        <f>_xlfn.XLOOKUP(MasterTable[[#This Row],[Aircraft ID]],Aircraft!A:A,Aircraft!H:H)</f>
        <v>Airplane Single Engine Land</v>
      </c>
      <c r="AS1037" s="8" t="b">
        <f>OR((SUM(MasterTable[[#This Row],[ILS]:[PAR]]) = MasterTable[[#This Row],[APPR]]))</f>
        <v>1</v>
      </c>
      <c r="AT1037" s="8" t="b">
        <f>NOT(ISBLANK(MasterTable[[#This Row],[Total
Time]]))</f>
        <v>1</v>
      </c>
    </row>
    <row r="1038" spans="4:46" ht="28.8" x14ac:dyDescent="0.3">
      <c r="D1038" s="22">
        <v>42633</v>
      </c>
      <c r="E1038" s="8" t="s">
        <v>174</v>
      </c>
      <c r="F1038" s="8" t="s">
        <v>202</v>
      </c>
      <c r="G1038" s="8" t="s">
        <v>293</v>
      </c>
      <c r="I1038" s="10">
        <v>0.7</v>
      </c>
      <c r="J1038" s="10">
        <v>0.7</v>
      </c>
      <c r="L1038" s="10">
        <v>0</v>
      </c>
      <c r="M1038" s="13">
        <v>0</v>
      </c>
      <c r="N1038" s="13"/>
      <c r="O1038" s="10">
        <v>0</v>
      </c>
      <c r="P1038" s="10">
        <v>0</v>
      </c>
      <c r="Q1038" s="14">
        <v>0</v>
      </c>
      <c r="R1038" s="14">
        <v>0</v>
      </c>
      <c r="S1038" s="10">
        <v>0</v>
      </c>
      <c r="T1038" s="10">
        <v>0</v>
      </c>
      <c r="U1038" s="14">
        <v>0</v>
      </c>
      <c r="V1038" s="10"/>
      <c r="W1038" s="11">
        <v>2</v>
      </c>
      <c r="X1038" s="11">
        <v>2</v>
      </c>
      <c r="Y1038" s="11">
        <v>0</v>
      </c>
      <c r="Z1038" s="11">
        <v>0</v>
      </c>
      <c r="AA1038" s="11">
        <f>MasterTable[[#This Row],[Landings
Night]]+MasterTable[[#This Row],[Landings
Day]]</f>
        <v>2</v>
      </c>
      <c r="AB1038" s="10">
        <v>0</v>
      </c>
      <c r="AC1038" s="10">
        <v>0</v>
      </c>
      <c r="AD1038" s="11">
        <v>0</v>
      </c>
      <c r="AE1038" s="21">
        <f>SUM(MasterTable[[#This Row],[ILS]:[PAR]])</f>
        <v>0</v>
      </c>
      <c r="AL1038" s="11"/>
      <c r="AR1038" s="140" t="str">
        <f>_xlfn.XLOOKUP(MasterTable[[#This Row],[Aircraft ID]],Aircraft!A:A,Aircraft!H:H)</f>
        <v>Airplane Single Engine Land</v>
      </c>
      <c r="AS1038" s="8" t="b">
        <f>OR((SUM(MasterTable[[#This Row],[ILS]:[PAR]]) = MasterTable[[#This Row],[APPR]]))</f>
        <v>1</v>
      </c>
      <c r="AT1038" s="8" t="b">
        <f>NOT(ISBLANK(MasterTable[[#This Row],[Total
Time]]))</f>
        <v>1</v>
      </c>
    </row>
    <row r="1039" spans="4:46" ht="28.8" x14ac:dyDescent="0.3">
      <c r="D1039" s="22">
        <v>42633</v>
      </c>
      <c r="E1039" s="8" t="s">
        <v>49</v>
      </c>
      <c r="F1039" s="8" t="s">
        <v>293</v>
      </c>
      <c r="G1039" s="8" t="s">
        <v>293</v>
      </c>
      <c r="I1039" s="10">
        <v>1</v>
      </c>
      <c r="J1039" s="10">
        <v>0</v>
      </c>
      <c r="L1039" s="10">
        <v>0</v>
      </c>
      <c r="M1039" s="13">
        <v>0</v>
      </c>
      <c r="N1039" s="13"/>
      <c r="O1039" s="10">
        <v>0</v>
      </c>
      <c r="P1039" s="10">
        <v>1</v>
      </c>
      <c r="Q1039" s="14">
        <v>0</v>
      </c>
      <c r="R1039" s="14">
        <v>0</v>
      </c>
      <c r="S1039" s="10">
        <v>0</v>
      </c>
      <c r="T1039" s="10">
        <v>0</v>
      </c>
      <c r="U1039" s="14">
        <v>0</v>
      </c>
      <c r="V1039" s="10"/>
      <c r="W1039" s="11">
        <v>1</v>
      </c>
      <c r="X1039" s="11">
        <v>1</v>
      </c>
      <c r="Y1039" s="11">
        <v>0</v>
      </c>
      <c r="Z1039" s="11">
        <v>0</v>
      </c>
      <c r="AA1039" s="11">
        <f>MasterTable[[#This Row],[Landings
Night]]+MasterTable[[#This Row],[Landings
Day]]</f>
        <v>1</v>
      </c>
      <c r="AB1039" s="10">
        <v>0</v>
      </c>
      <c r="AC1039" s="10">
        <v>0.7</v>
      </c>
      <c r="AD1039" s="11">
        <v>0</v>
      </c>
      <c r="AE1039" s="21">
        <f>SUM(MasterTable[[#This Row],[ILS]:[PAR]])</f>
        <v>2</v>
      </c>
      <c r="AI1039" s="11">
        <v>2</v>
      </c>
      <c r="AL1039" s="11"/>
      <c r="AR1039" s="140" t="str">
        <f>_xlfn.XLOOKUP(MasterTable[[#This Row],[Aircraft ID]],Aircraft!A:A,Aircraft!H:H)</f>
        <v>Airplane Single Engine Land</v>
      </c>
      <c r="AS1039" s="8" t="b">
        <f>OR((SUM(MasterTable[[#This Row],[ILS]:[PAR]]) = MasterTable[[#This Row],[APPR]]))</f>
        <v>1</v>
      </c>
      <c r="AT1039" s="8" t="b">
        <f>NOT(ISBLANK(MasterTable[[#This Row],[Total
Time]]))</f>
        <v>1</v>
      </c>
    </row>
    <row r="1040" spans="4:46" ht="28.8" x14ac:dyDescent="0.3">
      <c r="D1040" s="22">
        <v>42631</v>
      </c>
      <c r="E1040" s="8" t="s">
        <v>174</v>
      </c>
      <c r="F1040" s="8" t="s">
        <v>293</v>
      </c>
      <c r="G1040" s="8" t="s">
        <v>202</v>
      </c>
      <c r="I1040" s="10">
        <v>0.4</v>
      </c>
      <c r="J1040" s="10">
        <v>0.4</v>
      </c>
      <c r="L1040" s="10">
        <v>0</v>
      </c>
      <c r="M1040" s="13">
        <v>0</v>
      </c>
      <c r="N1040" s="13"/>
      <c r="O1040" s="10">
        <v>0</v>
      </c>
      <c r="P1040" s="10">
        <v>0</v>
      </c>
      <c r="Q1040" s="14">
        <v>0</v>
      </c>
      <c r="R1040" s="14">
        <v>0</v>
      </c>
      <c r="S1040" s="10">
        <v>0</v>
      </c>
      <c r="T1040" s="10">
        <v>0</v>
      </c>
      <c r="U1040" s="14">
        <v>0</v>
      </c>
      <c r="V1040" s="10"/>
      <c r="W1040" s="11">
        <v>1</v>
      </c>
      <c r="X1040" s="11">
        <v>1</v>
      </c>
      <c r="Y1040" s="11">
        <v>0</v>
      </c>
      <c r="Z1040" s="11">
        <v>0</v>
      </c>
      <c r="AA1040" s="11">
        <f>MasterTable[[#This Row],[Landings
Night]]+MasterTable[[#This Row],[Landings
Day]]</f>
        <v>1</v>
      </c>
      <c r="AB1040" s="10">
        <v>0</v>
      </c>
      <c r="AC1040" s="10">
        <v>0</v>
      </c>
      <c r="AD1040" s="11">
        <v>0</v>
      </c>
      <c r="AE1040" s="21">
        <f>SUM(MasterTable[[#This Row],[ILS]:[PAR]])</f>
        <v>0</v>
      </c>
      <c r="AL1040" s="11"/>
      <c r="AR1040" s="140" t="str">
        <f>_xlfn.XLOOKUP(MasterTable[[#This Row],[Aircraft ID]],Aircraft!A:A,Aircraft!H:H)</f>
        <v>Airplane Single Engine Land</v>
      </c>
      <c r="AS1040" s="8" t="b">
        <f>OR((SUM(MasterTable[[#This Row],[ILS]:[PAR]]) = MasterTable[[#This Row],[APPR]]))</f>
        <v>1</v>
      </c>
      <c r="AT1040" s="8" t="b">
        <f>NOT(ISBLANK(MasterTable[[#This Row],[Total
Time]]))</f>
        <v>1</v>
      </c>
    </row>
    <row r="1041" spans="4:46" ht="28.8" x14ac:dyDescent="0.3">
      <c r="D1041" s="22">
        <v>42630</v>
      </c>
      <c r="E1041" s="8" t="s">
        <v>174</v>
      </c>
      <c r="F1041" s="8" t="s">
        <v>347</v>
      </c>
      <c r="G1041" s="8" t="s">
        <v>293</v>
      </c>
      <c r="H1041" s="8" t="s">
        <v>348</v>
      </c>
      <c r="I1041" s="10">
        <v>2.9</v>
      </c>
      <c r="J1041" s="10">
        <v>2.9</v>
      </c>
      <c r="L1041" s="10">
        <v>0</v>
      </c>
      <c r="M1041" s="13">
        <v>0</v>
      </c>
      <c r="N1041" s="13"/>
      <c r="O1041" s="10">
        <v>0</v>
      </c>
      <c r="P1041" s="10">
        <v>2.9</v>
      </c>
      <c r="Q1041" s="14">
        <v>0</v>
      </c>
      <c r="R1041" s="14">
        <v>0</v>
      </c>
      <c r="S1041" s="10">
        <v>1.4</v>
      </c>
      <c r="T1041" s="10">
        <v>2.9</v>
      </c>
      <c r="U1041" s="14">
        <v>0</v>
      </c>
      <c r="V1041" s="10"/>
      <c r="W1041" s="11">
        <v>1</v>
      </c>
      <c r="X1041" s="11">
        <v>1</v>
      </c>
      <c r="Y1041" s="11">
        <v>0</v>
      </c>
      <c r="Z1041" s="11">
        <v>0</v>
      </c>
      <c r="AA1041" s="11">
        <f>MasterTable[[#This Row],[Landings
Night]]+MasterTable[[#This Row],[Landings
Day]]</f>
        <v>1</v>
      </c>
      <c r="AB1041" s="10">
        <v>0</v>
      </c>
      <c r="AC1041" s="10">
        <v>2.2999999999999998</v>
      </c>
      <c r="AD1041" s="11">
        <v>0</v>
      </c>
      <c r="AE1041" s="21">
        <f>SUM(MasterTable[[#This Row],[ILS]:[PAR]])</f>
        <v>2</v>
      </c>
      <c r="AF1041" s="11">
        <v>1</v>
      </c>
      <c r="AG1041" s="11">
        <v>1</v>
      </c>
      <c r="AL1041" s="11"/>
      <c r="AR1041" s="140" t="str">
        <f>_xlfn.XLOOKUP(MasterTable[[#This Row],[Aircraft ID]],Aircraft!A:A,Aircraft!H:H)</f>
        <v>Airplane Single Engine Land</v>
      </c>
      <c r="AS1041" s="8" t="b">
        <f>OR((SUM(MasterTable[[#This Row],[ILS]:[PAR]]) = MasterTable[[#This Row],[APPR]]))</f>
        <v>1</v>
      </c>
      <c r="AT1041" s="8" t="b">
        <f>NOT(ISBLANK(MasterTable[[#This Row],[Total
Time]]))</f>
        <v>1</v>
      </c>
    </row>
    <row r="1042" spans="4:46" ht="28.8" x14ac:dyDescent="0.3">
      <c r="D1042" s="22">
        <v>42629</v>
      </c>
      <c r="E1042" s="8" t="s">
        <v>174</v>
      </c>
      <c r="F1042" s="8" t="s">
        <v>202</v>
      </c>
      <c r="G1042" s="8" t="s">
        <v>347</v>
      </c>
      <c r="H1042" s="8" t="s">
        <v>349</v>
      </c>
      <c r="I1042" s="10">
        <v>2.6</v>
      </c>
      <c r="J1042" s="10">
        <v>2.6</v>
      </c>
      <c r="L1042" s="10">
        <v>0</v>
      </c>
      <c r="M1042" s="13">
        <v>0</v>
      </c>
      <c r="N1042" s="13"/>
      <c r="O1042" s="10">
        <v>0</v>
      </c>
      <c r="P1042" s="10">
        <v>2.6</v>
      </c>
      <c r="Q1042" s="14">
        <v>0</v>
      </c>
      <c r="R1042" s="14">
        <v>0</v>
      </c>
      <c r="S1042" s="10">
        <v>0</v>
      </c>
      <c r="T1042" s="10">
        <v>2.6</v>
      </c>
      <c r="U1042" s="14">
        <v>0</v>
      </c>
      <c r="V1042" s="10"/>
      <c r="W1042" s="11">
        <v>1</v>
      </c>
      <c r="X1042" s="11">
        <v>1</v>
      </c>
      <c r="Y1042" s="11">
        <v>0</v>
      </c>
      <c r="Z1042" s="11">
        <v>0</v>
      </c>
      <c r="AA1042" s="11">
        <f>MasterTable[[#This Row],[Landings
Night]]+MasterTable[[#This Row],[Landings
Day]]</f>
        <v>1</v>
      </c>
      <c r="AB1042" s="10">
        <v>0</v>
      </c>
      <c r="AC1042" s="10">
        <v>2.4</v>
      </c>
      <c r="AD1042" s="11">
        <v>0</v>
      </c>
      <c r="AE1042" s="21">
        <f>SUM(MasterTable[[#This Row],[ILS]:[PAR]])</f>
        <v>2</v>
      </c>
      <c r="AF1042" s="11">
        <v>1</v>
      </c>
      <c r="AH1042" s="11">
        <v>1</v>
      </c>
      <c r="AL1042" s="11"/>
      <c r="AR1042" s="140" t="str">
        <f>_xlfn.XLOOKUP(MasterTable[[#This Row],[Aircraft ID]],Aircraft!A:A,Aircraft!H:H)</f>
        <v>Airplane Single Engine Land</v>
      </c>
      <c r="AS1042" s="8" t="b">
        <f>OR((SUM(MasterTable[[#This Row],[ILS]:[PAR]]) = MasterTable[[#This Row],[APPR]]))</f>
        <v>1</v>
      </c>
      <c r="AT1042" s="8" t="b">
        <f>NOT(ISBLANK(MasterTable[[#This Row],[Total
Time]]))</f>
        <v>1</v>
      </c>
    </row>
    <row r="1043" spans="4:46" ht="28.8" x14ac:dyDescent="0.3">
      <c r="D1043" s="22">
        <v>42624</v>
      </c>
      <c r="E1043" s="8" t="s">
        <v>174</v>
      </c>
      <c r="F1043" s="8" t="s">
        <v>202</v>
      </c>
      <c r="G1043" s="8" t="s">
        <v>241</v>
      </c>
      <c r="I1043" s="10">
        <v>1.5</v>
      </c>
      <c r="J1043" s="10">
        <v>1.5</v>
      </c>
      <c r="L1043" s="10">
        <v>0</v>
      </c>
      <c r="M1043" s="13">
        <v>0</v>
      </c>
      <c r="N1043" s="13"/>
      <c r="O1043" s="10">
        <v>0</v>
      </c>
      <c r="P1043" s="10">
        <v>0</v>
      </c>
      <c r="Q1043" s="14">
        <v>0</v>
      </c>
      <c r="R1043" s="14">
        <v>0</v>
      </c>
      <c r="S1043" s="10">
        <v>0</v>
      </c>
      <c r="T1043" s="10">
        <v>0</v>
      </c>
      <c r="U1043" s="14">
        <v>0</v>
      </c>
      <c r="V1043" s="10"/>
      <c r="W1043" s="11">
        <v>2</v>
      </c>
      <c r="X1043" s="11">
        <v>2</v>
      </c>
      <c r="Y1043" s="11">
        <v>0</v>
      </c>
      <c r="Z1043" s="11">
        <v>0</v>
      </c>
      <c r="AA1043" s="11">
        <f>MasterTable[[#This Row],[Landings
Night]]+MasterTable[[#This Row],[Landings
Day]]</f>
        <v>2</v>
      </c>
      <c r="AB1043" s="10">
        <v>0</v>
      </c>
      <c r="AC1043" s="10">
        <v>0.6</v>
      </c>
      <c r="AD1043" s="11">
        <v>0</v>
      </c>
      <c r="AE1043" s="21">
        <f>SUM(MasterTable[[#This Row],[ILS]:[PAR]])</f>
        <v>1</v>
      </c>
      <c r="AF1043" s="11">
        <v>1</v>
      </c>
      <c r="AL1043" s="11"/>
      <c r="AR1043" s="140" t="str">
        <f>_xlfn.XLOOKUP(MasterTable[[#This Row],[Aircraft ID]],Aircraft!A:A,Aircraft!H:H)</f>
        <v>Airplane Single Engine Land</v>
      </c>
      <c r="AS1043" s="8" t="b">
        <f>OR((SUM(MasterTable[[#This Row],[ILS]:[PAR]]) = MasterTable[[#This Row],[APPR]]))</f>
        <v>1</v>
      </c>
      <c r="AT1043" s="8" t="b">
        <f>NOT(ISBLANK(MasterTable[[#This Row],[Total
Time]]))</f>
        <v>1</v>
      </c>
    </row>
    <row r="1044" spans="4:46" ht="28.8" x14ac:dyDescent="0.3">
      <c r="D1044" s="22">
        <v>42620</v>
      </c>
      <c r="E1044" s="8" t="s">
        <v>52</v>
      </c>
      <c r="F1044" s="8" t="s">
        <v>202</v>
      </c>
      <c r="G1044" s="8" t="s">
        <v>202</v>
      </c>
      <c r="I1044" s="10">
        <v>1.4</v>
      </c>
      <c r="L1044" s="10">
        <v>0</v>
      </c>
      <c r="M1044" s="13">
        <v>0</v>
      </c>
      <c r="N1044" s="13"/>
      <c r="O1044" s="10">
        <v>0</v>
      </c>
      <c r="P1044" s="10">
        <v>1.4</v>
      </c>
      <c r="Q1044" s="14">
        <v>0</v>
      </c>
      <c r="R1044" s="14">
        <v>0</v>
      </c>
      <c r="S1044" s="10">
        <v>0</v>
      </c>
      <c r="T1044" s="10">
        <v>0</v>
      </c>
      <c r="U1044" s="14">
        <v>0</v>
      </c>
      <c r="V1044" s="10"/>
      <c r="W1044" s="11">
        <v>1</v>
      </c>
      <c r="X1044" s="11">
        <v>1</v>
      </c>
      <c r="Y1044" s="11">
        <v>0</v>
      </c>
      <c r="Z1044" s="11">
        <v>0</v>
      </c>
      <c r="AA1044" s="11">
        <f>MasterTable[[#This Row],[Landings
Night]]+MasterTable[[#This Row],[Landings
Day]]</f>
        <v>1</v>
      </c>
      <c r="AB1044" s="10">
        <v>0</v>
      </c>
      <c r="AC1044" s="10">
        <v>1.2</v>
      </c>
      <c r="AD1044" s="11">
        <v>0</v>
      </c>
      <c r="AE1044" s="21">
        <f>SUM(MasterTable[[#This Row],[ILS]:[PAR]])</f>
        <v>3</v>
      </c>
      <c r="AF1044" s="11">
        <v>3</v>
      </c>
      <c r="AL1044" s="11"/>
      <c r="AR1044" s="140" t="str">
        <f>_xlfn.XLOOKUP(MasterTable[[#This Row],[Aircraft ID]],Aircraft!A:A,Aircraft!H:H)</f>
        <v>Airplane Single Engine Land</v>
      </c>
      <c r="AS1044" s="8" t="b">
        <f>OR((SUM(MasterTable[[#This Row],[ILS]:[PAR]]) = MasterTable[[#This Row],[APPR]]))</f>
        <v>1</v>
      </c>
      <c r="AT1044" s="8" t="b">
        <f>NOT(ISBLANK(MasterTable[[#This Row],[Total
Time]]))</f>
        <v>1</v>
      </c>
    </row>
    <row r="1045" spans="4:46" ht="28.8" x14ac:dyDescent="0.3">
      <c r="D1045" s="22">
        <v>42613</v>
      </c>
      <c r="E1045" s="8" t="s">
        <v>52</v>
      </c>
      <c r="F1045" s="8" t="s">
        <v>202</v>
      </c>
      <c r="G1045" s="8" t="s">
        <v>202</v>
      </c>
      <c r="I1045" s="10">
        <v>0.7</v>
      </c>
      <c r="J1045" s="10">
        <v>0.7</v>
      </c>
      <c r="L1045" s="10">
        <v>0</v>
      </c>
      <c r="M1045" s="13">
        <v>0</v>
      </c>
      <c r="N1045" s="13"/>
      <c r="O1045" s="10">
        <v>0</v>
      </c>
      <c r="P1045" s="10">
        <v>0</v>
      </c>
      <c r="Q1045" s="14">
        <v>0</v>
      </c>
      <c r="R1045" s="14">
        <v>0</v>
      </c>
      <c r="S1045" s="10">
        <v>0</v>
      </c>
      <c r="T1045" s="10">
        <v>0</v>
      </c>
      <c r="U1045" s="14">
        <v>0</v>
      </c>
      <c r="V1045" s="10"/>
      <c r="W1045" s="11">
        <v>0</v>
      </c>
      <c r="X1045" s="11">
        <v>0</v>
      </c>
      <c r="Y1045" s="11">
        <v>0</v>
      </c>
      <c r="Z1045" s="11">
        <v>0</v>
      </c>
      <c r="AA1045" s="11">
        <f>MasterTable[[#This Row],[Landings
Night]]+MasterTable[[#This Row],[Landings
Day]]</f>
        <v>0</v>
      </c>
      <c r="AB1045" s="10">
        <v>0</v>
      </c>
      <c r="AC1045" s="10">
        <v>0</v>
      </c>
      <c r="AD1045" s="11">
        <v>0</v>
      </c>
      <c r="AE1045" s="21">
        <f>SUM(MasterTable[[#This Row],[ILS]:[PAR]])</f>
        <v>0</v>
      </c>
      <c r="AL1045" s="11"/>
      <c r="AR1045" s="140" t="str">
        <f>_xlfn.XLOOKUP(MasterTable[[#This Row],[Aircraft ID]],Aircraft!A:A,Aircraft!H:H)</f>
        <v>Airplane Single Engine Land</v>
      </c>
      <c r="AS1045" s="8" t="b">
        <f>OR((SUM(MasterTable[[#This Row],[ILS]:[PAR]]) = MasterTable[[#This Row],[APPR]]))</f>
        <v>1</v>
      </c>
      <c r="AT1045" s="8" t="b">
        <f>NOT(ISBLANK(MasterTable[[#This Row],[Total
Time]]))</f>
        <v>1</v>
      </c>
    </row>
    <row r="1046" spans="4:46" ht="28.8" x14ac:dyDescent="0.3">
      <c r="D1046" s="22">
        <v>42612</v>
      </c>
      <c r="E1046" s="8" t="s">
        <v>174</v>
      </c>
      <c r="F1046" s="8" t="s">
        <v>202</v>
      </c>
      <c r="G1046" s="8" t="s">
        <v>202</v>
      </c>
      <c r="I1046" s="10">
        <v>1.1000000000000001</v>
      </c>
      <c r="J1046" s="10">
        <v>0</v>
      </c>
      <c r="L1046" s="10">
        <v>0</v>
      </c>
      <c r="M1046" s="13">
        <v>0</v>
      </c>
      <c r="N1046" s="13"/>
      <c r="O1046" s="10">
        <v>0</v>
      </c>
      <c r="P1046" s="10">
        <v>1.1000000000000001</v>
      </c>
      <c r="Q1046" s="14">
        <v>0</v>
      </c>
      <c r="R1046" s="14">
        <v>0</v>
      </c>
      <c r="S1046" s="10">
        <v>0</v>
      </c>
      <c r="T1046" s="10">
        <v>0</v>
      </c>
      <c r="U1046" s="14">
        <v>0</v>
      </c>
      <c r="V1046" s="10"/>
      <c r="W1046" s="11">
        <v>1</v>
      </c>
      <c r="X1046" s="11">
        <v>1</v>
      </c>
      <c r="Y1046" s="11">
        <v>0</v>
      </c>
      <c r="Z1046" s="11">
        <v>0</v>
      </c>
      <c r="AA1046" s="11">
        <f>MasterTable[[#This Row],[Landings
Night]]+MasterTable[[#This Row],[Landings
Day]]</f>
        <v>1</v>
      </c>
      <c r="AB1046" s="10">
        <v>0</v>
      </c>
      <c r="AC1046" s="10">
        <v>0.9</v>
      </c>
      <c r="AD1046" s="11">
        <v>0</v>
      </c>
      <c r="AE1046" s="21">
        <f>SUM(MasterTable[[#This Row],[ILS]:[PAR]])</f>
        <v>1</v>
      </c>
      <c r="AG1046" s="11">
        <v>1</v>
      </c>
      <c r="AL1046" s="11"/>
      <c r="AR1046" s="140" t="str">
        <f>_xlfn.XLOOKUP(MasterTable[[#This Row],[Aircraft ID]],Aircraft!A:A,Aircraft!H:H)</f>
        <v>Airplane Single Engine Land</v>
      </c>
      <c r="AS1046" s="8" t="b">
        <f>OR((SUM(MasterTable[[#This Row],[ILS]:[PAR]]) = MasterTable[[#This Row],[APPR]]))</f>
        <v>1</v>
      </c>
      <c r="AT1046" s="8" t="b">
        <f>NOT(ISBLANK(MasterTable[[#This Row],[Total
Time]]))</f>
        <v>1</v>
      </c>
    </row>
    <row r="1047" spans="4:46" ht="28.8" x14ac:dyDescent="0.3">
      <c r="D1047" s="22">
        <v>42609</v>
      </c>
      <c r="E1047" s="8" t="s">
        <v>52</v>
      </c>
      <c r="F1047" s="8" t="s">
        <v>202</v>
      </c>
      <c r="G1047" s="8" t="s">
        <v>202</v>
      </c>
      <c r="I1047" s="10">
        <v>1.9</v>
      </c>
      <c r="J1047" s="10">
        <v>0</v>
      </c>
      <c r="L1047" s="10">
        <v>0</v>
      </c>
      <c r="M1047" s="13">
        <v>0</v>
      </c>
      <c r="N1047" s="13"/>
      <c r="O1047" s="10">
        <v>0</v>
      </c>
      <c r="P1047" s="10">
        <v>1.9</v>
      </c>
      <c r="Q1047" s="14">
        <v>0</v>
      </c>
      <c r="R1047" s="14">
        <v>0</v>
      </c>
      <c r="S1047" s="10">
        <v>0</v>
      </c>
      <c r="T1047" s="10">
        <v>0</v>
      </c>
      <c r="U1047" s="14">
        <v>0</v>
      </c>
      <c r="V1047" s="10"/>
      <c r="W1047" s="11">
        <v>1</v>
      </c>
      <c r="X1047" s="11">
        <v>1</v>
      </c>
      <c r="Y1047" s="11">
        <v>0</v>
      </c>
      <c r="Z1047" s="11">
        <v>0</v>
      </c>
      <c r="AA1047" s="11">
        <f>MasterTable[[#This Row],[Landings
Night]]+MasterTable[[#This Row],[Landings
Day]]</f>
        <v>1</v>
      </c>
      <c r="AB1047" s="10">
        <v>0</v>
      </c>
      <c r="AC1047" s="10">
        <v>1.6</v>
      </c>
      <c r="AD1047" s="11">
        <v>0</v>
      </c>
      <c r="AE1047" s="21">
        <f>SUM(MasterTable[[#This Row],[ILS]:[PAR]])</f>
        <v>0</v>
      </c>
      <c r="AL1047" s="11"/>
      <c r="AR1047" s="140" t="str">
        <f>_xlfn.XLOOKUP(MasterTable[[#This Row],[Aircraft ID]],Aircraft!A:A,Aircraft!H:H)</f>
        <v>Airplane Single Engine Land</v>
      </c>
      <c r="AS1047" s="8" t="b">
        <f>OR((SUM(MasterTable[[#This Row],[ILS]:[PAR]]) = MasterTable[[#This Row],[APPR]]))</f>
        <v>1</v>
      </c>
      <c r="AT1047" s="8" t="b">
        <f>NOT(ISBLANK(MasterTable[[#This Row],[Total
Time]]))</f>
        <v>1</v>
      </c>
    </row>
    <row r="1048" spans="4:46" ht="28.8" x14ac:dyDescent="0.3">
      <c r="D1048" s="22">
        <v>42597</v>
      </c>
      <c r="E1048" s="8" t="s">
        <v>174</v>
      </c>
      <c r="F1048" s="8" t="s">
        <v>202</v>
      </c>
      <c r="G1048" s="8" t="s">
        <v>265</v>
      </c>
      <c r="I1048" s="10">
        <v>0.9</v>
      </c>
      <c r="J1048" s="10">
        <v>0.9</v>
      </c>
      <c r="L1048" s="10">
        <v>0</v>
      </c>
      <c r="M1048" s="13">
        <v>0</v>
      </c>
      <c r="N1048" s="13"/>
      <c r="O1048" s="10">
        <v>0</v>
      </c>
      <c r="P1048" s="10">
        <v>0</v>
      </c>
      <c r="Q1048" s="14">
        <v>0</v>
      </c>
      <c r="R1048" s="14">
        <v>0</v>
      </c>
      <c r="S1048" s="10">
        <v>0</v>
      </c>
      <c r="T1048" s="10">
        <v>0</v>
      </c>
      <c r="U1048" s="14">
        <v>0</v>
      </c>
      <c r="V1048" s="10"/>
      <c r="W1048" s="11">
        <v>2</v>
      </c>
      <c r="X1048" s="11">
        <v>2</v>
      </c>
      <c r="Y1048" s="11">
        <v>0</v>
      </c>
      <c r="Z1048" s="11">
        <v>0</v>
      </c>
      <c r="AA1048" s="11">
        <f>MasterTable[[#This Row],[Landings
Night]]+MasterTable[[#This Row],[Landings
Day]]</f>
        <v>2</v>
      </c>
      <c r="AB1048" s="10">
        <v>0</v>
      </c>
      <c r="AC1048" s="10">
        <v>0</v>
      </c>
      <c r="AD1048" s="11">
        <v>0</v>
      </c>
      <c r="AE1048" s="21">
        <f>SUM(MasterTable[[#This Row],[ILS]:[PAR]])</f>
        <v>0</v>
      </c>
      <c r="AL1048" s="11"/>
      <c r="AR1048" s="140" t="str">
        <f>_xlfn.XLOOKUP(MasterTable[[#This Row],[Aircraft ID]],Aircraft!A:A,Aircraft!H:H)</f>
        <v>Airplane Single Engine Land</v>
      </c>
      <c r="AS1048" s="8" t="b">
        <f>OR((SUM(MasterTable[[#This Row],[ILS]:[PAR]]) = MasterTable[[#This Row],[APPR]]))</f>
        <v>1</v>
      </c>
      <c r="AT1048" s="8" t="b">
        <f>NOT(ISBLANK(MasterTable[[#This Row],[Total
Time]]))</f>
        <v>1</v>
      </c>
    </row>
    <row r="1049" spans="4:46" ht="28.8" x14ac:dyDescent="0.3">
      <c r="D1049" s="22">
        <v>42597</v>
      </c>
      <c r="E1049" s="8" t="s">
        <v>49</v>
      </c>
      <c r="F1049" s="8" t="s">
        <v>202</v>
      </c>
      <c r="G1049" s="8" t="s">
        <v>202</v>
      </c>
      <c r="J1049" s="10">
        <v>0</v>
      </c>
      <c r="L1049" s="10">
        <v>0</v>
      </c>
      <c r="M1049" s="13">
        <v>0</v>
      </c>
      <c r="N1049" s="13"/>
      <c r="O1049" s="10">
        <v>0</v>
      </c>
      <c r="P1049" s="10">
        <v>0</v>
      </c>
      <c r="Q1049" s="14">
        <v>0</v>
      </c>
      <c r="R1049" s="14">
        <v>0</v>
      </c>
      <c r="S1049" s="10">
        <v>0</v>
      </c>
      <c r="T1049" s="10">
        <v>0</v>
      </c>
      <c r="U1049" s="14">
        <v>0</v>
      </c>
      <c r="V1049" s="10"/>
      <c r="W1049" s="11">
        <v>0</v>
      </c>
      <c r="X1049" s="11">
        <v>0</v>
      </c>
      <c r="Y1049" s="11">
        <v>0</v>
      </c>
      <c r="Z1049" s="11">
        <v>0</v>
      </c>
      <c r="AA1049" s="11">
        <f>MasterTable[[#This Row],[Landings
Night]]+MasterTable[[#This Row],[Landings
Day]]</f>
        <v>0</v>
      </c>
      <c r="AB1049" s="10">
        <v>0</v>
      </c>
      <c r="AC1049" s="10">
        <v>1</v>
      </c>
      <c r="AD1049" s="11">
        <v>0</v>
      </c>
      <c r="AE1049" s="21">
        <f>SUM(MasterTable[[#This Row],[ILS]:[PAR]])</f>
        <v>1</v>
      </c>
      <c r="AF1049" s="11">
        <v>1</v>
      </c>
      <c r="AL1049" s="11"/>
      <c r="AR1049" s="140" t="str">
        <f>_xlfn.XLOOKUP(MasterTable[[#This Row],[Aircraft ID]],Aircraft!A:A,Aircraft!H:H)</f>
        <v>Airplane Single Engine Land</v>
      </c>
      <c r="AS1049" s="8" t="b">
        <f>OR((SUM(MasterTable[[#This Row],[ILS]:[PAR]]) = MasterTable[[#This Row],[APPR]]))</f>
        <v>1</v>
      </c>
      <c r="AT1049" s="8" t="b">
        <f>NOT(ISBLANK(MasterTable[[#This Row],[Total
Time]]))</f>
        <v>0</v>
      </c>
    </row>
    <row r="1050" spans="4:46" ht="28.8" x14ac:dyDescent="0.3">
      <c r="D1050" s="22">
        <v>42596</v>
      </c>
      <c r="E1050" s="8" t="s">
        <v>72</v>
      </c>
      <c r="F1050" s="8" t="s">
        <v>293</v>
      </c>
      <c r="G1050" s="8" t="s">
        <v>298</v>
      </c>
      <c r="H1050" s="8" t="s">
        <v>350</v>
      </c>
      <c r="I1050" s="10">
        <v>0</v>
      </c>
      <c r="J1050" s="10">
        <v>0</v>
      </c>
      <c r="L1050" s="10">
        <v>0</v>
      </c>
      <c r="M1050" s="13">
        <v>0</v>
      </c>
      <c r="N1050" s="13"/>
      <c r="O1050" s="10">
        <v>0</v>
      </c>
      <c r="P1050" s="10">
        <v>0</v>
      </c>
      <c r="Q1050" s="14">
        <v>0</v>
      </c>
      <c r="R1050" s="14">
        <v>0</v>
      </c>
      <c r="S1050" s="10">
        <v>0</v>
      </c>
      <c r="T1050" s="10">
        <v>0</v>
      </c>
      <c r="U1050" s="14">
        <v>0</v>
      </c>
      <c r="V1050" s="10"/>
      <c r="W1050" s="11">
        <v>3</v>
      </c>
      <c r="X1050" s="11">
        <v>3</v>
      </c>
      <c r="Y1050" s="11">
        <v>0</v>
      </c>
      <c r="Z1050" s="11">
        <v>0</v>
      </c>
      <c r="AA1050" s="11">
        <f>MasterTable[[#This Row],[Landings
Night]]+MasterTable[[#This Row],[Landings
Day]]</f>
        <v>3</v>
      </c>
      <c r="AB1050" s="10">
        <v>0</v>
      </c>
      <c r="AC1050" s="10">
        <v>0</v>
      </c>
      <c r="AD1050" s="11">
        <v>0</v>
      </c>
      <c r="AE1050" s="21">
        <f>SUM(MasterTable[[#This Row],[ILS]:[PAR]])</f>
        <v>0</v>
      </c>
      <c r="AL1050" s="11"/>
      <c r="AR1050" s="140" t="str">
        <f>_xlfn.XLOOKUP(MasterTable[[#This Row],[Aircraft ID]],Aircraft!A:A,Aircraft!H:H)</f>
        <v>Airplane Multi Engine Land</v>
      </c>
      <c r="AS1050" s="8" t="b">
        <f>OR((SUM(MasterTable[[#This Row],[ILS]:[PAR]]) = MasterTable[[#This Row],[APPR]]))</f>
        <v>1</v>
      </c>
      <c r="AT1050" s="8" t="b">
        <f>NOT(ISBLANK(MasterTable[[#This Row],[Total
Time]]))</f>
        <v>1</v>
      </c>
    </row>
    <row r="1051" spans="4:46" ht="28.8" x14ac:dyDescent="0.3">
      <c r="D1051" s="22">
        <v>42590</v>
      </c>
      <c r="E1051" s="8" t="s">
        <v>174</v>
      </c>
      <c r="F1051" s="8" t="s">
        <v>202</v>
      </c>
      <c r="G1051" s="8" t="s">
        <v>293</v>
      </c>
      <c r="I1051" s="10">
        <v>0.9</v>
      </c>
      <c r="J1051" s="10">
        <v>0</v>
      </c>
      <c r="L1051" s="10">
        <v>0</v>
      </c>
      <c r="M1051" s="13">
        <v>0</v>
      </c>
      <c r="N1051" s="13"/>
      <c r="O1051" s="10">
        <v>0</v>
      </c>
      <c r="P1051" s="10">
        <v>0.9</v>
      </c>
      <c r="Q1051" s="14">
        <v>0</v>
      </c>
      <c r="R1051" s="14">
        <v>0</v>
      </c>
      <c r="S1051" s="10">
        <v>0</v>
      </c>
      <c r="T1051" s="10">
        <v>0</v>
      </c>
      <c r="U1051" s="14">
        <v>0</v>
      </c>
      <c r="V1051" s="10"/>
      <c r="W1051" s="11">
        <v>2</v>
      </c>
      <c r="X1051" s="11">
        <v>2</v>
      </c>
      <c r="Y1051" s="11">
        <v>0</v>
      </c>
      <c r="Z1051" s="11">
        <v>0</v>
      </c>
      <c r="AA1051" s="11">
        <f>MasterTable[[#This Row],[Landings
Night]]+MasterTable[[#This Row],[Landings
Day]]</f>
        <v>2</v>
      </c>
      <c r="AB1051" s="10">
        <v>0</v>
      </c>
      <c r="AC1051" s="10">
        <v>0.3</v>
      </c>
      <c r="AD1051" s="11">
        <v>0</v>
      </c>
      <c r="AE1051" s="21">
        <f>SUM(MasterTable[[#This Row],[ILS]:[PAR]])</f>
        <v>0</v>
      </c>
      <c r="AL1051" s="11"/>
      <c r="AR1051" s="140" t="str">
        <f>_xlfn.XLOOKUP(MasterTable[[#This Row],[Aircraft ID]],Aircraft!A:A,Aircraft!H:H)</f>
        <v>Airplane Single Engine Land</v>
      </c>
      <c r="AS1051" s="8" t="b">
        <f>OR((SUM(MasterTable[[#This Row],[ILS]:[PAR]]) = MasterTable[[#This Row],[APPR]]))</f>
        <v>1</v>
      </c>
      <c r="AT1051" s="8" t="b">
        <f>NOT(ISBLANK(MasterTable[[#This Row],[Total
Time]]))</f>
        <v>1</v>
      </c>
    </row>
    <row r="1052" spans="4:46" ht="28.8" x14ac:dyDescent="0.3">
      <c r="D1052" s="22">
        <v>42589</v>
      </c>
      <c r="E1052" s="8" t="s">
        <v>174</v>
      </c>
      <c r="F1052" s="8" t="s">
        <v>202</v>
      </c>
      <c r="G1052" s="8" t="s">
        <v>202</v>
      </c>
      <c r="I1052" s="10">
        <v>1.2</v>
      </c>
      <c r="L1052" s="10">
        <v>0</v>
      </c>
      <c r="M1052" s="13">
        <v>0</v>
      </c>
      <c r="N1052" s="13"/>
      <c r="O1052" s="10">
        <v>0</v>
      </c>
      <c r="P1052" s="10">
        <v>1.2</v>
      </c>
      <c r="Q1052" s="14">
        <v>0</v>
      </c>
      <c r="R1052" s="14">
        <v>0</v>
      </c>
      <c r="S1052" s="10">
        <v>0</v>
      </c>
      <c r="T1052" s="10">
        <v>0</v>
      </c>
      <c r="U1052" s="14">
        <v>0</v>
      </c>
      <c r="V1052" s="10"/>
      <c r="W1052" s="11">
        <v>1</v>
      </c>
      <c r="X1052" s="11">
        <v>1</v>
      </c>
      <c r="Y1052" s="11">
        <v>0</v>
      </c>
      <c r="Z1052" s="11">
        <v>0</v>
      </c>
      <c r="AA1052" s="11">
        <f>MasterTable[[#This Row],[Landings
Night]]+MasterTable[[#This Row],[Landings
Day]]</f>
        <v>1</v>
      </c>
      <c r="AB1052" s="10">
        <v>0</v>
      </c>
      <c r="AC1052" s="10">
        <v>1.1000000000000001</v>
      </c>
      <c r="AD1052" s="11">
        <v>0</v>
      </c>
      <c r="AE1052" s="21">
        <f>SUM(MasterTable[[#This Row],[ILS]:[PAR]])</f>
        <v>1</v>
      </c>
      <c r="AH1052" s="11">
        <v>1</v>
      </c>
      <c r="AL1052" s="11">
        <v>1</v>
      </c>
      <c r="AR1052" s="140" t="str">
        <f>_xlfn.XLOOKUP(MasterTable[[#This Row],[Aircraft ID]],Aircraft!A:A,Aircraft!H:H)</f>
        <v>Airplane Single Engine Land</v>
      </c>
      <c r="AS1052" s="8" t="b">
        <f>OR((SUM(MasterTable[[#This Row],[ILS]:[PAR]]) = MasterTable[[#This Row],[APPR]]))</f>
        <v>1</v>
      </c>
      <c r="AT1052" s="8" t="b">
        <f>NOT(ISBLANK(MasterTable[[#This Row],[Total
Time]]))</f>
        <v>1</v>
      </c>
    </row>
    <row r="1053" spans="4:46" ht="28.8" x14ac:dyDescent="0.3">
      <c r="D1053" s="22">
        <v>42587</v>
      </c>
      <c r="E1053" s="8" t="s">
        <v>52</v>
      </c>
      <c r="F1053" s="8" t="s">
        <v>202</v>
      </c>
      <c r="G1053" s="8" t="s">
        <v>202</v>
      </c>
      <c r="I1053" s="10">
        <v>1</v>
      </c>
      <c r="J1053" s="10">
        <v>1</v>
      </c>
      <c r="L1053" s="10">
        <v>0</v>
      </c>
      <c r="M1053" s="13">
        <v>0</v>
      </c>
      <c r="N1053" s="13"/>
      <c r="O1053" s="10">
        <v>0</v>
      </c>
      <c r="P1053" s="10">
        <v>0</v>
      </c>
      <c r="Q1053" s="14">
        <v>0</v>
      </c>
      <c r="R1053" s="14">
        <v>0</v>
      </c>
      <c r="S1053" s="10">
        <v>0</v>
      </c>
      <c r="T1053" s="10">
        <v>0</v>
      </c>
      <c r="U1053" s="14">
        <v>0</v>
      </c>
      <c r="V1053" s="10"/>
      <c r="W1053" s="11">
        <v>0</v>
      </c>
      <c r="X1053" s="11">
        <v>0</v>
      </c>
      <c r="Y1053" s="11">
        <v>0</v>
      </c>
      <c r="Z1053" s="11">
        <v>0</v>
      </c>
      <c r="AA1053" s="11">
        <f>MasterTable[[#This Row],[Landings
Night]]+MasterTable[[#This Row],[Landings
Day]]</f>
        <v>0</v>
      </c>
      <c r="AB1053" s="10">
        <v>0</v>
      </c>
      <c r="AC1053" s="10">
        <v>0</v>
      </c>
      <c r="AD1053" s="11">
        <v>0</v>
      </c>
      <c r="AE1053" s="21">
        <f>SUM(MasterTable[[#This Row],[ILS]:[PAR]])</f>
        <v>0</v>
      </c>
      <c r="AL1053" s="11"/>
      <c r="AR1053" s="140" t="str">
        <f>_xlfn.XLOOKUP(MasterTable[[#This Row],[Aircraft ID]],Aircraft!A:A,Aircraft!H:H)</f>
        <v>Airplane Single Engine Land</v>
      </c>
      <c r="AS1053" s="8" t="b">
        <f>OR((SUM(MasterTable[[#This Row],[ILS]:[PAR]]) = MasterTable[[#This Row],[APPR]]))</f>
        <v>1</v>
      </c>
      <c r="AT1053" s="8" t="b">
        <f>NOT(ISBLANK(MasterTable[[#This Row],[Total
Time]]))</f>
        <v>1</v>
      </c>
    </row>
    <row r="1054" spans="4:46" ht="28.8" x14ac:dyDescent="0.3">
      <c r="D1054" s="22">
        <v>42587</v>
      </c>
      <c r="E1054" s="8" t="s">
        <v>174</v>
      </c>
      <c r="F1054" s="8" t="s">
        <v>202</v>
      </c>
      <c r="G1054" s="8" t="s">
        <v>202</v>
      </c>
      <c r="I1054" s="10">
        <v>0.9</v>
      </c>
      <c r="J1054" s="10">
        <v>0.9</v>
      </c>
      <c r="L1054" s="10">
        <v>0</v>
      </c>
      <c r="M1054" s="13">
        <v>0</v>
      </c>
      <c r="N1054" s="13"/>
      <c r="O1054" s="10">
        <v>0</v>
      </c>
      <c r="P1054" s="10">
        <v>0</v>
      </c>
      <c r="Q1054" s="14">
        <v>0</v>
      </c>
      <c r="R1054" s="14">
        <v>0</v>
      </c>
      <c r="S1054" s="10">
        <v>0</v>
      </c>
      <c r="T1054" s="10">
        <v>0</v>
      </c>
      <c r="U1054" s="14">
        <v>0</v>
      </c>
      <c r="V1054" s="10"/>
      <c r="W1054" s="11">
        <v>1</v>
      </c>
      <c r="X1054" s="11">
        <v>1</v>
      </c>
      <c r="Y1054" s="11">
        <v>0</v>
      </c>
      <c r="Z1054" s="11">
        <v>0</v>
      </c>
      <c r="AA1054" s="11">
        <f>MasterTable[[#This Row],[Landings
Night]]+MasterTable[[#This Row],[Landings
Day]]</f>
        <v>1</v>
      </c>
      <c r="AB1054" s="10">
        <v>0</v>
      </c>
      <c r="AC1054" s="10">
        <v>0.9</v>
      </c>
      <c r="AD1054" s="11">
        <v>0</v>
      </c>
      <c r="AE1054" s="21">
        <f>SUM(MasterTable[[#This Row],[ILS]:[PAR]])</f>
        <v>1</v>
      </c>
      <c r="AF1054" s="11">
        <v>1</v>
      </c>
      <c r="AL1054" s="11"/>
      <c r="AR1054" s="140" t="str">
        <f>_xlfn.XLOOKUP(MasterTable[[#This Row],[Aircraft ID]],Aircraft!A:A,Aircraft!H:H)</f>
        <v>Airplane Single Engine Land</v>
      </c>
      <c r="AS1054" s="8" t="b">
        <f>OR((SUM(MasterTable[[#This Row],[ILS]:[PAR]]) = MasterTable[[#This Row],[APPR]]))</f>
        <v>1</v>
      </c>
      <c r="AT1054" s="8" t="b">
        <f>NOT(ISBLANK(MasterTable[[#This Row],[Total
Time]]))</f>
        <v>1</v>
      </c>
    </row>
    <row r="1055" spans="4:46" ht="28.8" x14ac:dyDescent="0.3">
      <c r="D1055" s="22">
        <v>42582</v>
      </c>
      <c r="E1055" s="8" t="s">
        <v>62</v>
      </c>
      <c r="F1055" s="8" t="s">
        <v>257</v>
      </c>
      <c r="G1055" s="8" t="s">
        <v>202</v>
      </c>
      <c r="J1055" s="10">
        <v>0</v>
      </c>
      <c r="L1055" s="10">
        <v>0</v>
      </c>
      <c r="M1055" s="13">
        <v>0</v>
      </c>
      <c r="N1055" s="13"/>
      <c r="O1055" s="10">
        <v>0</v>
      </c>
      <c r="P1055" s="10">
        <v>0</v>
      </c>
      <c r="Q1055" s="14">
        <v>0</v>
      </c>
      <c r="R1055" s="14">
        <v>0</v>
      </c>
      <c r="S1055" s="10">
        <v>0</v>
      </c>
      <c r="T1055" s="10">
        <v>0</v>
      </c>
      <c r="U1055" s="14">
        <v>0</v>
      </c>
      <c r="V1055" s="10"/>
      <c r="W1055" s="11">
        <v>1</v>
      </c>
      <c r="X1055" s="11">
        <v>1</v>
      </c>
      <c r="Y1055" s="11">
        <v>0</v>
      </c>
      <c r="Z1055" s="11">
        <v>0</v>
      </c>
      <c r="AA1055" s="11">
        <f>MasterTable[[#This Row],[Landings
Night]]+MasterTable[[#This Row],[Landings
Day]]</f>
        <v>1</v>
      </c>
      <c r="AB1055" s="10">
        <v>0</v>
      </c>
      <c r="AC1055" s="10">
        <v>0</v>
      </c>
      <c r="AD1055" s="11">
        <v>0</v>
      </c>
      <c r="AE1055" s="21">
        <f>SUM(MasterTable[[#This Row],[ILS]:[PAR]])</f>
        <v>0</v>
      </c>
      <c r="AL1055" s="11"/>
      <c r="AR1055" s="140" t="str">
        <f>_xlfn.XLOOKUP(MasterTable[[#This Row],[Aircraft ID]],Aircraft!A:A,Aircraft!H:H)</f>
        <v>Airplane Multi Engine Land</v>
      </c>
      <c r="AS1055" s="8" t="b">
        <f>OR((SUM(MasterTable[[#This Row],[ILS]:[PAR]]) = MasterTable[[#This Row],[APPR]]))</f>
        <v>1</v>
      </c>
      <c r="AT1055" s="8" t="b">
        <f>NOT(ISBLANK(MasterTable[[#This Row],[Total
Time]]))</f>
        <v>0</v>
      </c>
    </row>
    <row r="1056" spans="4:46" ht="28.8" x14ac:dyDescent="0.3">
      <c r="D1056" s="22">
        <v>42570</v>
      </c>
      <c r="E1056" s="8" t="s">
        <v>174</v>
      </c>
      <c r="F1056" s="8" t="s">
        <v>265</v>
      </c>
      <c r="G1056" s="8" t="s">
        <v>202</v>
      </c>
      <c r="I1056" s="10">
        <v>0.4</v>
      </c>
      <c r="J1056" s="10">
        <v>0.4</v>
      </c>
      <c r="L1056" s="10">
        <v>0</v>
      </c>
      <c r="M1056" s="13">
        <v>0</v>
      </c>
      <c r="N1056" s="13"/>
      <c r="O1056" s="10">
        <v>0</v>
      </c>
      <c r="P1056" s="10">
        <v>0</v>
      </c>
      <c r="Q1056" s="14">
        <v>0</v>
      </c>
      <c r="R1056" s="14">
        <v>0</v>
      </c>
      <c r="S1056" s="10">
        <v>0</v>
      </c>
      <c r="T1056" s="10">
        <v>0</v>
      </c>
      <c r="U1056" s="14">
        <v>0</v>
      </c>
      <c r="V1056" s="10"/>
      <c r="W1056" s="11">
        <v>1</v>
      </c>
      <c r="X1056" s="11">
        <v>1</v>
      </c>
      <c r="Y1056" s="11">
        <v>0</v>
      </c>
      <c r="Z1056" s="11">
        <v>0</v>
      </c>
      <c r="AA1056" s="11">
        <f>MasterTable[[#This Row],[Landings
Night]]+MasterTable[[#This Row],[Landings
Day]]</f>
        <v>1</v>
      </c>
      <c r="AB1056" s="10">
        <v>0</v>
      </c>
      <c r="AC1056" s="10">
        <v>0</v>
      </c>
      <c r="AD1056" s="11">
        <v>0</v>
      </c>
      <c r="AE1056" s="21">
        <f>SUM(MasterTable[[#This Row],[ILS]:[PAR]])</f>
        <v>0</v>
      </c>
      <c r="AL1056" s="11"/>
      <c r="AR1056" s="140" t="str">
        <f>_xlfn.XLOOKUP(MasterTable[[#This Row],[Aircraft ID]],Aircraft!A:A,Aircraft!H:H)</f>
        <v>Airplane Single Engine Land</v>
      </c>
      <c r="AS1056" s="8" t="b">
        <f>OR((SUM(MasterTable[[#This Row],[ILS]:[PAR]]) = MasterTable[[#This Row],[APPR]]))</f>
        <v>1</v>
      </c>
      <c r="AT1056" s="8" t="b">
        <f>NOT(ISBLANK(MasterTable[[#This Row],[Total
Time]]))</f>
        <v>1</v>
      </c>
    </row>
    <row r="1057" spans="4:46" ht="28.8" x14ac:dyDescent="0.3">
      <c r="D1057" s="22">
        <v>42570</v>
      </c>
      <c r="E1057" s="8" t="s">
        <v>105</v>
      </c>
      <c r="F1057" s="8" t="s">
        <v>265</v>
      </c>
      <c r="G1057" s="8" t="s">
        <v>265</v>
      </c>
      <c r="I1057" s="10">
        <v>1.6</v>
      </c>
      <c r="J1057" s="10">
        <v>1.6</v>
      </c>
      <c r="L1057" s="10">
        <v>0</v>
      </c>
      <c r="M1057" s="13">
        <v>0</v>
      </c>
      <c r="N1057" s="13"/>
      <c r="O1057" s="10">
        <v>0</v>
      </c>
      <c r="P1057" s="10">
        <v>0</v>
      </c>
      <c r="Q1057" s="14">
        <v>0</v>
      </c>
      <c r="R1057" s="14">
        <v>0</v>
      </c>
      <c r="S1057" s="10">
        <v>0</v>
      </c>
      <c r="T1057" s="10">
        <v>0</v>
      </c>
      <c r="U1057" s="14">
        <v>0</v>
      </c>
      <c r="V1057" s="10"/>
      <c r="W1057" s="11">
        <v>0</v>
      </c>
      <c r="X1057" s="11">
        <v>0</v>
      </c>
      <c r="Y1057" s="11">
        <v>0</v>
      </c>
      <c r="Z1057" s="11">
        <v>0</v>
      </c>
      <c r="AA1057" s="11">
        <f>MasterTable[[#This Row],[Landings
Night]]+MasterTable[[#This Row],[Landings
Day]]</f>
        <v>0</v>
      </c>
      <c r="AB1057" s="10">
        <v>0</v>
      </c>
      <c r="AC1057" s="10">
        <v>0</v>
      </c>
      <c r="AD1057" s="11">
        <v>0</v>
      </c>
      <c r="AE1057" s="21">
        <f>SUM(MasterTable[[#This Row],[ILS]:[PAR]])</f>
        <v>0</v>
      </c>
      <c r="AL1057" s="11"/>
      <c r="AR1057" s="140" t="str">
        <f>_xlfn.XLOOKUP(MasterTable[[#This Row],[Aircraft ID]],Aircraft!A:A,Aircraft!H:H)</f>
        <v>Airplane Single Engine Land</v>
      </c>
      <c r="AS1057" s="8" t="b">
        <f>OR((SUM(MasterTable[[#This Row],[ILS]:[PAR]]) = MasterTable[[#This Row],[APPR]]))</f>
        <v>1</v>
      </c>
      <c r="AT1057" s="8" t="b">
        <f>NOT(ISBLANK(MasterTable[[#This Row],[Total
Time]]))</f>
        <v>1</v>
      </c>
    </row>
    <row r="1058" spans="4:46" ht="28.8" x14ac:dyDescent="0.3">
      <c r="D1058" s="22">
        <v>42570</v>
      </c>
      <c r="E1058" s="8" t="s">
        <v>174</v>
      </c>
      <c r="F1058" s="8" t="s">
        <v>202</v>
      </c>
      <c r="G1058" s="8" t="s">
        <v>265</v>
      </c>
      <c r="I1058" s="10">
        <v>1.3</v>
      </c>
      <c r="J1058" s="10">
        <v>1.3</v>
      </c>
      <c r="L1058" s="10">
        <v>0</v>
      </c>
      <c r="M1058" s="13">
        <v>0</v>
      </c>
      <c r="N1058" s="13"/>
      <c r="O1058" s="10">
        <v>0</v>
      </c>
      <c r="P1058" s="10">
        <v>0</v>
      </c>
      <c r="Q1058" s="14">
        <v>0</v>
      </c>
      <c r="R1058" s="14">
        <v>0</v>
      </c>
      <c r="S1058" s="10">
        <v>0</v>
      </c>
      <c r="T1058" s="10">
        <v>0</v>
      </c>
      <c r="U1058" s="14">
        <v>0</v>
      </c>
      <c r="V1058" s="10"/>
      <c r="W1058" s="11">
        <v>1</v>
      </c>
      <c r="X1058" s="11">
        <v>1</v>
      </c>
      <c r="Y1058" s="11">
        <v>0</v>
      </c>
      <c r="Z1058" s="11">
        <v>0</v>
      </c>
      <c r="AA1058" s="11">
        <f>MasterTable[[#This Row],[Landings
Night]]+MasterTable[[#This Row],[Landings
Day]]</f>
        <v>1</v>
      </c>
      <c r="AB1058" s="10">
        <v>0</v>
      </c>
      <c r="AC1058" s="10">
        <v>1.2</v>
      </c>
      <c r="AD1058" s="11">
        <v>0</v>
      </c>
      <c r="AE1058" s="21">
        <f>SUM(MasterTable[[#This Row],[ILS]:[PAR]])</f>
        <v>0</v>
      </c>
      <c r="AL1058" s="11"/>
      <c r="AR1058" s="140" t="str">
        <f>_xlfn.XLOOKUP(MasterTable[[#This Row],[Aircraft ID]],Aircraft!A:A,Aircraft!H:H)</f>
        <v>Airplane Single Engine Land</v>
      </c>
      <c r="AS1058" s="8" t="b">
        <f>OR((SUM(MasterTable[[#This Row],[ILS]:[PAR]]) = MasterTable[[#This Row],[APPR]]))</f>
        <v>1</v>
      </c>
      <c r="AT1058" s="8" t="b">
        <f>NOT(ISBLANK(MasterTable[[#This Row],[Total
Time]]))</f>
        <v>1</v>
      </c>
    </row>
    <row r="1059" spans="4:46" ht="28.8" x14ac:dyDescent="0.3">
      <c r="D1059" s="22">
        <v>42563</v>
      </c>
      <c r="E1059" s="8" t="s">
        <v>174</v>
      </c>
      <c r="F1059" s="8" t="s">
        <v>204</v>
      </c>
      <c r="G1059" s="8" t="s">
        <v>202</v>
      </c>
      <c r="I1059" s="10">
        <v>1.4</v>
      </c>
      <c r="J1059" s="10">
        <v>1.4</v>
      </c>
      <c r="L1059" s="10">
        <v>0</v>
      </c>
      <c r="M1059" s="13">
        <v>0</v>
      </c>
      <c r="N1059" s="13"/>
      <c r="O1059" s="10">
        <v>0</v>
      </c>
      <c r="P1059" s="10">
        <v>0</v>
      </c>
      <c r="Q1059" s="14">
        <v>0</v>
      </c>
      <c r="R1059" s="14">
        <v>0</v>
      </c>
      <c r="S1059" s="10">
        <v>0</v>
      </c>
      <c r="T1059" s="10">
        <v>1.4</v>
      </c>
      <c r="U1059" s="14">
        <v>0</v>
      </c>
      <c r="V1059" s="10"/>
      <c r="W1059" s="11">
        <v>1</v>
      </c>
      <c r="X1059" s="11">
        <v>1</v>
      </c>
      <c r="Y1059" s="11">
        <v>0</v>
      </c>
      <c r="Z1059" s="11">
        <v>0</v>
      </c>
      <c r="AA1059" s="11">
        <f>MasterTable[[#This Row],[Landings
Night]]+MasterTable[[#This Row],[Landings
Day]]</f>
        <v>1</v>
      </c>
      <c r="AB1059" s="10">
        <v>0</v>
      </c>
      <c r="AC1059" s="10">
        <v>0</v>
      </c>
      <c r="AD1059" s="11">
        <v>0</v>
      </c>
      <c r="AE1059" s="21">
        <f>SUM(MasterTable[[#This Row],[ILS]:[PAR]])</f>
        <v>0</v>
      </c>
      <c r="AL1059" s="11"/>
      <c r="AR1059" s="140" t="str">
        <f>_xlfn.XLOOKUP(MasterTable[[#This Row],[Aircraft ID]],Aircraft!A:A,Aircraft!H:H)</f>
        <v>Airplane Single Engine Land</v>
      </c>
      <c r="AS1059" s="8" t="b">
        <f>OR((SUM(MasterTable[[#This Row],[ILS]:[PAR]]) = MasterTable[[#This Row],[APPR]]))</f>
        <v>1</v>
      </c>
      <c r="AT1059" s="8" t="b">
        <f>NOT(ISBLANK(MasterTable[[#This Row],[Total
Time]]))</f>
        <v>1</v>
      </c>
    </row>
    <row r="1060" spans="4:46" ht="28.8" x14ac:dyDescent="0.3">
      <c r="D1060" s="22">
        <v>42563</v>
      </c>
      <c r="E1060" s="8" t="s">
        <v>174</v>
      </c>
      <c r="F1060" s="8" t="s">
        <v>351</v>
      </c>
      <c r="G1060" s="8" t="s">
        <v>204</v>
      </c>
      <c r="I1060" s="10">
        <v>2.9</v>
      </c>
      <c r="J1060" s="10">
        <v>2.9</v>
      </c>
      <c r="L1060" s="10">
        <v>0</v>
      </c>
      <c r="M1060" s="13">
        <v>0</v>
      </c>
      <c r="N1060" s="13"/>
      <c r="O1060" s="10">
        <v>0</v>
      </c>
      <c r="P1060" s="10">
        <v>0</v>
      </c>
      <c r="Q1060" s="14">
        <v>0</v>
      </c>
      <c r="R1060" s="14">
        <v>0</v>
      </c>
      <c r="S1060" s="10">
        <v>0</v>
      </c>
      <c r="T1060" s="10">
        <v>2.9</v>
      </c>
      <c r="U1060" s="14">
        <v>0</v>
      </c>
      <c r="V1060" s="10"/>
      <c r="W1060" s="11">
        <v>1</v>
      </c>
      <c r="X1060" s="11">
        <v>1</v>
      </c>
      <c r="Y1060" s="11">
        <v>0</v>
      </c>
      <c r="Z1060" s="11">
        <v>0</v>
      </c>
      <c r="AA1060" s="11">
        <f>MasterTable[[#This Row],[Landings
Night]]+MasterTable[[#This Row],[Landings
Day]]</f>
        <v>1</v>
      </c>
      <c r="AB1060" s="10">
        <v>0</v>
      </c>
      <c r="AC1060" s="10">
        <v>0</v>
      </c>
      <c r="AD1060" s="11">
        <v>0</v>
      </c>
      <c r="AE1060" s="21">
        <f>SUM(MasterTable[[#This Row],[ILS]:[PAR]])</f>
        <v>0</v>
      </c>
      <c r="AL1060" s="11"/>
      <c r="AR1060" s="140" t="str">
        <f>_xlfn.XLOOKUP(MasterTable[[#This Row],[Aircraft ID]],Aircraft!A:A,Aircraft!H:H)</f>
        <v>Airplane Single Engine Land</v>
      </c>
      <c r="AS1060" s="8" t="b">
        <f>OR((SUM(MasterTable[[#This Row],[ILS]:[PAR]]) = MasterTable[[#This Row],[APPR]]))</f>
        <v>1</v>
      </c>
      <c r="AT1060" s="8" t="b">
        <f>NOT(ISBLANK(MasterTable[[#This Row],[Total
Time]]))</f>
        <v>1</v>
      </c>
    </row>
    <row r="1061" spans="4:46" ht="28.8" x14ac:dyDescent="0.3">
      <c r="D1061" s="22">
        <v>42562</v>
      </c>
      <c r="E1061" s="8" t="s">
        <v>174</v>
      </c>
      <c r="F1061" s="8" t="s">
        <v>260</v>
      </c>
      <c r="G1061" s="8" t="s">
        <v>351</v>
      </c>
      <c r="I1061" s="10">
        <v>2.1</v>
      </c>
      <c r="J1061" s="10">
        <v>2.1</v>
      </c>
      <c r="L1061" s="10">
        <v>0</v>
      </c>
      <c r="M1061" s="13">
        <v>0</v>
      </c>
      <c r="N1061" s="13"/>
      <c r="O1061" s="10">
        <v>0</v>
      </c>
      <c r="P1061" s="10">
        <v>0</v>
      </c>
      <c r="Q1061" s="14">
        <v>0</v>
      </c>
      <c r="R1061" s="14">
        <v>0</v>
      </c>
      <c r="S1061" s="10">
        <v>0</v>
      </c>
      <c r="T1061" s="10">
        <v>2.1</v>
      </c>
      <c r="U1061" s="14">
        <v>0</v>
      </c>
      <c r="V1061" s="10"/>
      <c r="W1061" s="11">
        <v>1</v>
      </c>
      <c r="X1061" s="11">
        <v>1</v>
      </c>
      <c r="Y1061" s="11">
        <v>0</v>
      </c>
      <c r="Z1061" s="11">
        <v>0</v>
      </c>
      <c r="AA1061" s="11">
        <f>MasterTable[[#This Row],[Landings
Night]]+MasterTable[[#This Row],[Landings
Day]]</f>
        <v>1</v>
      </c>
      <c r="AB1061" s="10">
        <v>0</v>
      </c>
      <c r="AC1061" s="10">
        <v>0</v>
      </c>
      <c r="AD1061" s="11">
        <v>0</v>
      </c>
      <c r="AE1061" s="21">
        <f>SUM(MasterTable[[#This Row],[ILS]:[PAR]])</f>
        <v>0</v>
      </c>
      <c r="AL1061" s="11"/>
      <c r="AR1061" s="140" t="str">
        <f>_xlfn.XLOOKUP(MasterTable[[#This Row],[Aircraft ID]],Aircraft!A:A,Aircraft!H:H)</f>
        <v>Airplane Single Engine Land</v>
      </c>
      <c r="AS1061" s="8" t="b">
        <f>OR((SUM(MasterTable[[#This Row],[ILS]:[PAR]]) = MasterTable[[#This Row],[APPR]]))</f>
        <v>1</v>
      </c>
      <c r="AT1061" s="8" t="b">
        <f>NOT(ISBLANK(MasterTable[[#This Row],[Total
Time]]))</f>
        <v>1</v>
      </c>
    </row>
    <row r="1062" spans="4:46" ht="28.8" x14ac:dyDescent="0.3">
      <c r="D1062" s="22">
        <v>42562</v>
      </c>
      <c r="E1062" s="8" t="s">
        <v>174</v>
      </c>
      <c r="F1062" s="8" t="s">
        <v>202</v>
      </c>
      <c r="G1062" s="8" t="s">
        <v>260</v>
      </c>
      <c r="I1062" s="10">
        <v>2</v>
      </c>
      <c r="J1062" s="10">
        <v>2</v>
      </c>
      <c r="L1062" s="10">
        <v>0</v>
      </c>
      <c r="M1062" s="13">
        <v>0</v>
      </c>
      <c r="N1062" s="13"/>
      <c r="O1062" s="10">
        <v>0</v>
      </c>
      <c r="P1062" s="10">
        <v>0</v>
      </c>
      <c r="Q1062" s="14">
        <v>0</v>
      </c>
      <c r="R1062" s="14">
        <v>0</v>
      </c>
      <c r="S1062" s="10">
        <v>0</v>
      </c>
      <c r="T1062" s="10">
        <v>2</v>
      </c>
      <c r="U1062" s="14">
        <v>0</v>
      </c>
      <c r="V1062" s="10"/>
      <c r="W1062" s="11">
        <v>1</v>
      </c>
      <c r="X1062" s="11">
        <v>1</v>
      </c>
      <c r="Y1062" s="11">
        <v>0</v>
      </c>
      <c r="Z1062" s="11">
        <v>0</v>
      </c>
      <c r="AA1062" s="11">
        <f>MasterTable[[#This Row],[Landings
Night]]+MasterTable[[#This Row],[Landings
Day]]</f>
        <v>1</v>
      </c>
      <c r="AB1062" s="10">
        <v>0</v>
      </c>
      <c r="AC1062" s="10">
        <v>0</v>
      </c>
      <c r="AD1062" s="11">
        <v>0</v>
      </c>
      <c r="AE1062" s="21">
        <f>SUM(MasterTable[[#This Row],[ILS]:[PAR]])</f>
        <v>0</v>
      </c>
      <c r="AL1062" s="11"/>
      <c r="AR1062" s="140" t="str">
        <f>_xlfn.XLOOKUP(MasterTable[[#This Row],[Aircraft ID]],Aircraft!A:A,Aircraft!H:H)</f>
        <v>Airplane Single Engine Land</v>
      </c>
      <c r="AS1062" s="8" t="b">
        <f>OR((SUM(MasterTable[[#This Row],[ILS]:[PAR]]) = MasterTable[[#This Row],[APPR]]))</f>
        <v>1</v>
      </c>
      <c r="AT1062" s="8" t="b">
        <f>NOT(ISBLANK(MasterTable[[#This Row],[Total
Time]]))</f>
        <v>1</v>
      </c>
    </row>
    <row r="1063" spans="4:46" ht="28.8" x14ac:dyDescent="0.3">
      <c r="D1063" s="22">
        <v>42558</v>
      </c>
      <c r="E1063" s="8" t="s">
        <v>174</v>
      </c>
      <c r="F1063" s="8" t="s">
        <v>202</v>
      </c>
      <c r="G1063" s="8" t="s">
        <v>204</v>
      </c>
      <c r="I1063" s="10">
        <v>2.7</v>
      </c>
      <c r="J1063" s="10">
        <v>2.7</v>
      </c>
      <c r="L1063" s="10">
        <v>0</v>
      </c>
      <c r="M1063" s="13">
        <v>0</v>
      </c>
      <c r="N1063" s="13"/>
      <c r="O1063" s="10">
        <v>0</v>
      </c>
      <c r="P1063" s="10">
        <v>0</v>
      </c>
      <c r="Q1063" s="14">
        <v>0</v>
      </c>
      <c r="R1063" s="14">
        <v>0</v>
      </c>
      <c r="S1063" s="10">
        <v>0</v>
      </c>
      <c r="T1063" s="10">
        <v>2.7</v>
      </c>
      <c r="U1063" s="14">
        <v>0</v>
      </c>
      <c r="V1063" s="10"/>
      <c r="W1063" s="11">
        <v>2</v>
      </c>
      <c r="X1063" s="11">
        <v>2</v>
      </c>
      <c r="Y1063" s="11">
        <v>0</v>
      </c>
      <c r="Z1063" s="11">
        <v>0</v>
      </c>
      <c r="AA1063" s="11">
        <f>MasterTable[[#This Row],[Landings
Night]]+MasterTable[[#This Row],[Landings
Day]]</f>
        <v>2</v>
      </c>
      <c r="AB1063" s="10">
        <v>0</v>
      </c>
      <c r="AC1063" s="10">
        <v>0</v>
      </c>
      <c r="AD1063" s="11">
        <v>0</v>
      </c>
      <c r="AE1063" s="21">
        <f>SUM(MasterTable[[#This Row],[ILS]:[PAR]])</f>
        <v>0</v>
      </c>
      <c r="AL1063" s="11"/>
      <c r="AR1063" s="140" t="str">
        <f>_xlfn.XLOOKUP(MasterTable[[#This Row],[Aircraft ID]],Aircraft!A:A,Aircraft!H:H)</f>
        <v>Airplane Single Engine Land</v>
      </c>
      <c r="AS1063" s="8" t="b">
        <f>OR((SUM(MasterTable[[#This Row],[ILS]:[PAR]]) = MasterTable[[#This Row],[APPR]]))</f>
        <v>1</v>
      </c>
      <c r="AT1063" s="8" t="b">
        <f>NOT(ISBLANK(MasterTable[[#This Row],[Total
Time]]))</f>
        <v>1</v>
      </c>
    </row>
    <row r="1064" spans="4:46" ht="28.8" x14ac:dyDescent="0.3">
      <c r="D1064" s="22">
        <v>42556</v>
      </c>
      <c r="E1064" s="8" t="s">
        <v>174</v>
      </c>
      <c r="F1064" s="8" t="s">
        <v>202</v>
      </c>
      <c r="G1064" s="8" t="s">
        <v>202</v>
      </c>
      <c r="I1064" s="10">
        <v>0.6</v>
      </c>
      <c r="J1064" s="10">
        <v>0.6</v>
      </c>
      <c r="L1064" s="10">
        <v>0</v>
      </c>
      <c r="M1064" s="13">
        <v>0</v>
      </c>
      <c r="N1064" s="13"/>
      <c r="O1064" s="10">
        <v>0</v>
      </c>
      <c r="P1064" s="10">
        <v>0</v>
      </c>
      <c r="Q1064" s="14">
        <v>0</v>
      </c>
      <c r="R1064" s="14">
        <v>0</v>
      </c>
      <c r="S1064" s="10">
        <v>0</v>
      </c>
      <c r="T1064" s="10">
        <v>0</v>
      </c>
      <c r="U1064" s="14">
        <v>0</v>
      </c>
      <c r="V1064" s="10"/>
      <c r="W1064" s="11">
        <v>1</v>
      </c>
      <c r="X1064" s="11">
        <v>1</v>
      </c>
      <c r="Y1064" s="11">
        <v>0</v>
      </c>
      <c r="Z1064" s="11">
        <v>0</v>
      </c>
      <c r="AA1064" s="11">
        <f>MasterTable[[#This Row],[Landings
Night]]+MasterTable[[#This Row],[Landings
Day]]</f>
        <v>1</v>
      </c>
      <c r="AB1064" s="10">
        <v>0</v>
      </c>
      <c r="AC1064" s="10">
        <v>0</v>
      </c>
      <c r="AD1064" s="11">
        <v>0</v>
      </c>
      <c r="AE1064" s="21">
        <f>SUM(MasterTable[[#This Row],[ILS]:[PAR]])</f>
        <v>0</v>
      </c>
      <c r="AL1064" s="11"/>
      <c r="AR1064" s="140" t="str">
        <f>_xlfn.XLOOKUP(MasterTable[[#This Row],[Aircraft ID]],Aircraft!A:A,Aircraft!H:H)</f>
        <v>Airplane Single Engine Land</v>
      </c>
      <c r="AS1064" s="8" t="b">
        <f>OR((SUM(MasterTable[[#This Row],[ILS]:[PAR]]) = MasterTable[[#This Row],[APPR]]))</f>
        <v>1</v>
      </c>
      <c r="AT1064" s="8" t="b">
        <f>NOT(ISBLANK(MasterTable[[#This Row],[Total
Time]]))</f>
        <v>1</v>
      </c>
    </row>
    <row r="1065" spans="4:46" ht="28.8" x14ac:dyDescent="0.3">
      <c r="D1065" s="22">
        <v>42553</v>
      </c>
      <c r="E1065" s="8" t="s">
        <v>174</v>
      </c>
      <c r="F1065" s="8" t="s">
        <v>202</v>
      </c>
      <c r="G1065" s="8" t="s">
        <v>233</v>
      </c>
      <c r="I1065" s="10">
        <v>3</v>
      </c>
      <c r="J1065" s="10">
        <v>3</v>
      </c>
      <c r="L1065" s="10">
        <v>0</v>
      </c>
      <c r="M1065" s="13">
        <v>0</v>
      </c>
      <c r="N1065" s="13"/>
      <c r="O1065" s="10">
        <v>0</v>
      </c>
      <c r="P1065" s="10">
        <v>0</v>
      </c>
      <c r="Q1065" s="14">
        <v>0</v>
      </c>
      <c r="R1065" s="14">
        <v>0</v>
      </c>
      <c r="S1065" s="10">
        <v>0</v>
      </c>
      <c r="T1065" s="10">
        <v>3</v>
      </c>
      <c r="U1065" s="14">
        <v>0</v>
      </c>
      <c r="V1065" s="10"/>
      <c r="W1065" s="11">
        <v>2</v>
      </c>
      <c r="X1065" s="11">
        <v>2</v>
      </c>
      <c r="Y1065" s="11">
        <v>0</v>
      </c>
      <c r="Z1065" s="11">
        <v>0</v>
      </c>
      <c r="AA1065" s="11">
        <f>MasterTable[[#This Row],[Landings
Night]]+MasterTable[[#This Row],[Landings
Day]]</f>
        <v>2</v>
      </c>
      <c r="AB1065" s="10">
        <v>0</v>
      </c>
      <c r="AC1065" s="10">
        <v>0</v>
      </c>
      <c r="AD1065" s="11">
        <v>0</v>
      </c>
      <c r="AE1065" s="21">
        <f>SUM(MasterTable[[#This Row],[ILS]:[PAR]])</f>
        <v>0</v>
      </c>
      <c r="AL1065" s="11"/>
      <c r="AR1065" s="140" t="str">
        <f>_xlfn.XLOOKUP(MasterTable[[#This Row],[Aircraft ID]],Aircraft!A:A,Aircraft!H:H)</f>
        <v>Airplane Single Engine Land</v>
      </c>
      <c r="AS1065" s="8" t="b">
        <f>OR((SUM(MasterTable[[#This Row],[ILS]:[PAR]]) = MasterTable[[#This Row],[APPR]]))</f>
        <v>1</v>
      </c>
      <c r="AT1065" s="8" t="b">
        <f>NOT(ISBLANK(MasterTable[[#This Row],[Total
Time]]))</f>
        <v>1</v>
      </c>
    </row>
    <row r="1066" spans="4:46" ht="28.8" x14ac:dyDescent="0.3">
      <c r="D1066" s="22">
        <v>42533</v>
      </c>
      <c r="E1066" s="8" t="s">
        <v>174</v>
      </c>
      <c r="F1066" s="8" t="s">
        <v>202</v>
      </c>
      <c r="G1066" s="8" t="s">
        <v>297</v>
      </c>
      <c r="I1066" s="10">
        <v>3.9</v>
      </c>
      <c r="J1066" s="10">
        <v>3.9</v>
      </c>
      <c r="L1066" s="10">
        <v>0</v>
      </c>
      <c r="M1066" s="13">
        <v>0</v>
      </c>
      <c r="N1066" s="13"/>
      <c r="O1066" s="10">
        <v>0</v>
      </c>
      <c r="P1066" s="10">
        <v>0</v>
      </c>
      <c r="Q1066" s="14">
        <v>0</v>
      </c>
      <c r="R1066" s="14">
        <v>0</v>
      </c>
      <c r="S1066" s="10">
        <v>0</v>
      </c>
      <c r="T1066" s="10">
        <v>3.9</v>
      </c>
      <c r="U1066" s="14">
        <v>0</v>
      </c>
      <c r="V1066" s="10"/>
      <c r="W1066" s="11">
        <v>2</v>
      </c>
      <c r="X1066" s="11">
        <v>2</v>
      </c>
      <c r="Y1066" s="11">
        <v>0</v>
      </c>
      <c r="Z1066" s="11">
        <v>0</v>
      </c>
      <c r="AA1066" s="11">
        <f>MasterTable[[#This Row],[Landings
Night]]+MasterTable[[#This Row],[Landings
Day]]</f>
        <v>2</v>
      </c>
      <c r="AB1066" s="10">
        <v>0</v>
      </c>
      <c r="AC1066" s="10">
        <v>0</v>
      </c>
      <c r="AD1066" s="11">
        <v>0</v>
      </c>
      <c r="AE1066" s="21">
        <f>SUM(MasterTable[[#This Row],[ILS]:[PAR]])</f>
        <v>0</v>
      </c>
      <c r="AL1066" s="11"/>
      <c r="AR1066" s="140" t="str">
        <f>_xlfn.XLOOKUP(MasterTable[[#This Row],[Aircraft ID]],Aircraft!A:A,Aircraft!H:H)</f>
        <v>Airplane Single Engine Land</v>
      </c>
      <c r="AS1066" s="8" t="b">
        <f>OR((SUM(MasterTable[[#This Row],[ILS]:[PAR]]) = MasterTable[[#This Row],[APPR]]))</f>
        <v>1</v>
      </c>
      <c r="AT1066" s="8" t="b">
        <f>NOT(ISBLANK(MasterTable[[#This Row],[Total
Time]]))</f>
        <v>1</v>
      </c>
    </row>
    <row r="1067" spans="4:46" ht="28.8" x14ac:dyDescent="0.3">
      <c r="D1067" s="22">
        <v>42518</v>
      </c>
      <c r="E1067" s="8" t="s">
        <v>174</v>
      </c>
      <c r="F1067" s="8" t="s">
        <v>202</v>
      </c>
      <c r="G1067" s="8" t="s">
        <v>202</v>
      </c>
      <c r="I1067" s="10">
        <v>1</v>
      </c>
      <c r="J1067" s="10">
        <v>1</v>
      </c>
      <c r="L1067" s="10">
        <v>0</v>
      </c>
      <c r="M1067" s="13">
        <v>0</v>
      </c>
      <c r="N1067" s="13"/>
      <c r="O1067" s="10">
        <v>0</v>
      </c>
      <c r="P1067" s="10">
        <v>0</v>
      </c>
      <c r="Q1067" s="14">
        <v>0</v>
      </c>
      <c r="R1067" s="14">
        <v>0</v>
      </c>
      <c r="S1067" s="10">
        <v>0</v>
      </c>
      <c r="T1067" s="10">
        <v>0</v>
      </c>
      <c r="U1067" s="14">
        <v>0</v>
      </c>
      <c r="V1067" s="10"/>
      <c r="W1067" s="11">
        <v>1</v>
      </c>
      <c r="X1067" s="11">
        <v>1</v>
      </c>
      <c r="Y1067" s="11">
        <v>0</v>
      </c>
      <c r="Z1067" s="11">
        <v>0</v>
      </c>
      <c r="AA1067" s="11">
        <f>MasterTable[[#This Row],[Landings
Night]]+MasterTable[[#This Row],[Landings
Day]]</f>
        <v>1</v>
      </c>
      <c r="AB1067" s="10">
        <v>0</v>
      </c>
      <c r="AC1067" s="10">
        <v>0</v>
      </c>
      <c r="AD1067" s="11">
        <v>0</v>
      </c>
      <c r="AE1067" s="21">
        <f>SUM(MasterTable[[#This Row],[ILS]:[PAR]])</f>
        <v>0</v>
      </c>
      <c r="AL1067" s="11"/>
      <c r="AR1067" s="140" t="str">
        <f>_xlfn.XLOOKUP(MasterTable[[#This Row],[Aircraft ID]],Aircraft!A:A,Aircraft!H:H)</f>
        <v>Airplane Single Engine Land</v>
      </c>
      <c r="AS1067" s="8" t="b">
        <f>OR((SUM(MasterTable[[#This Row],[ILS]:[PAR]]) = MasterTable[[#This Row],[APPR]]))</f>
        <v>1</v>
      </c>
      <c r="AT1067" s="8" t="b">
        <f>NOT(ISBLANK(MasterTable[[#This Row],[Total
Time]]))</f>
        <v>1</v>
      </c>
    </row>
    <row r="1068" spans="4:46" ht="28.8" x14ac:dyDescent="0.3">
      <c r="D1068" s="22">
        <v>42491</v>
      </c>
      <c r="E1068" s="8" t="s">
        <v>174</v>
      </c>
      <c r="F1068" s="8" t="s">
        <v>202</v>
      </c>
      <c r="G1068" s="8" t="s">
        <v>202</v>
      </c>
      <c r="I1068" s="10">
        <v>1.1000000000000001</v>
      </c>
      <c r="J1068" s="10">
        <v>1.1000000000000001</v>
      </c>
      <c r="L1068" s="10">
        <v>0</v>
      </c>
      <c r="M1068" s="13">
        <v>0</v>
      </c>
      <c r="N1068" s="13"/>
      <c r="O1068" s="10">
        <v>0</v>
      </c>
      <c r="P1068" s="10">
        <v>0</v>
      </c>
      <c r="Q1068" s="14">
        <v>0</v>
      </c>
      <c r="R1068" s="14">
        <v>0</v>
      </c>
      <c r="S1068" s="10">
        <v>0</v>
      </c>
      <c r="T1068" s="10">
        <v>0</v>
      </c>
      <c r="U1068" s="14">
        <v>0</v>
      </c>
      <c r="V1068" s="10"/>
      <c r="W1068" s="11">
        <v>1</v>
      </c>
      <c r="X1068" s="11">
        <v>1</v>
      </c>
      <c r="Y1068" s="11">
        <v>0</v>
      </c>
      <c r="Z1068" s="11">
        <v>0</v>
      </c>
      <c r="AA1068" s="11">
        <f>MasterTable[[#This Row],[Landings
Night]]+MasterTable[[#This Row],[Landings
Day]]</f>
        <v>1</v>
      </c>
      <c r="AB1068" s="10">
        <v>0</v>
      </c>
      <c r="AC1068" s="10">
        <v>0</v>
      </c>
      <c r="AD1068" s="11">
        <v>0</v>
      </c>
      <c r="AE1068" s="21">
        <f>SUM(MasterTable[[#This Row],[ILS]:[PAR]])</f>
        <v>0</v>
      </c>
      <c r="AL1068" s="11"/>
      <c r="AR1068" s="140" t="str">
        <f>_xlfn.XLOOKUP(MasterTable[[#This Row],[Aircraft ID]],Aircraft!A:A,Aircraft!H:H)</f>
        <v>Airplane Single Engine Land</v>
      </c>
      <c r="AS1068" s="8" t="b">
        <f>OR((SUM(MasterTable[[#This Row],[ILS]:[PAR]]) = MasterTable[[#This Row],[APPR]]))</f>
        <v>1</v>
      </c>
      <c r="AT1068" s="8" t="b">
        <f>NOT(ISBLANK(MasterTable[[#This Row],[Total
Time]]))</f>
        <v>1</v>
      </c>
    </row>
    <row r="1069" spans="4:46" ht="28.8" x14ac:dyDescent="0.3">
      <c r="D1069" s="22">
        <v>42476</v>
      </c>
      <c r="E1069" s="8" t="s">
        <v>174</v>
      </c>
      <c r="F1069" s="8" t="s">
        <v>202</v>
      </c>
      <c r="G1069" s="8" t="s">
        <v>352</v>
      </c>
      <c r="I1069" s="10">
        <v>1.9</v>
      </c>
      <c r="J1069" s="10">
        <v>1.9</v>
      </c>
      <c r="L1069" s="10">
        <v>0</v>
      </c>
      <c r="M1069" s="13">
        <v>0</v>
      </c>
      <c r="N1069" s="13"/>
      <c r="O1069" s="10">
        <v>0</v>
      </c>
      <c r="P1069" s="10">
        <v>0</v>
      </c>
      <c r="Q1069" s="14">
        <v>0</v>
      </c>
      <c r="R1069" s="14">
        <v>0</v>
      </c>
      <c r="S1069" s="10">
        <v>0</v>
      </c>
      <c r="T1069" s="10">
        <v>1.9</v>
      </c>
      <c r="U1069" s="14">
        <v>0</v>
      </c>
      <c r="V1069" s="10"/>
      <c r="W1069" s="11">
        <v>2</v>
      </c>
      <c r="X1069" s="11">
        <v>2</v>
      </c>
      <c r="Y1069" s="11">
        <v>0</v>
      </c>
      <c r="Z1069" s="11">
        <v>0</v>
      </c>
      <c r="AA1069" s="11">
        <f>MasterTable[[#This Row],[Landings
Night]]+MasterTable[[#This Row],[Landings
Day]]</f>
        <v>2</v>
      </c>
      <c r="AB1069" s="10">
        <v>0</v>
      </c>
      <c r="AC1069" s="10">
        <v>0</v>
      </c>
      <c r="AD1069" s="11">
        <v>0</v>
      </c>
      <c r="AE1069" s="21">
        <f>SUM(MasterTable[[#This Row],[ILS]:[PAR]])</f>
        <v>0</v>
      </c>
      <c r="AL1069" s="11"/>
      <c r="AR1069" s="140" t="str">
        <f>_xlfn.XLOOKUP(MasterTable[[#This Row],[Aircraft ID]],Aircraft!A:A,Aircraft!H:H)</f>
        <v>Airplane Single Engine Land</v>
      </c>
      <c r="AS1069" s="8" t="b">
        <f>OR((SUM(MasterTable[[#This Row],[ILS]:[PAR]]) = MasterTable[[#This Row],[APPR]]))</f>
        <v>1</v>
      </c>
      <c r="AT1069" s="8" t="b">
        <f>NOT(ISBLANK(MasterTable[[#This Row],[Total
Time]]))</f>
        <v>1</v>
      </c>
    </row>
    <row r="1070" spans="4:46" ht="28.8" x14ac:dyDescent="0.3">
      <c r="D1070" s="22">
        <v>42470</v>
      </c>
      <c r="E1070" s="8" t="s">
        <v>72</v>
      </c>
      <c r="F1070" s="8" t="s">
        <v>293</v>
      </c>
      <c r="G1070" s="8" t="s">
        <v>244</v>
      </c>
      <c r="I1070" s="10">
        <v>0</v>
      </c>
      <c r="J1070" s="10">
        <v>0</v>
      </c>
      <c r="L1070" s="10">
        <v>0</v>
      </c>
      <c r="M1070" s="13">
        <v>0</v>
      </c>
      <c r="N1070" s="13"/>
      <c r="O1070" s="10">
        <v>0</v>
      </c>
      <c r="P1070" s="10">
        <v>0</v>
      </c>
      <c r="Q1070" s="14">
        <v>0</v>
      </c>
      <c r="R1070" s="14">
        <v>0</v>
      </c>
      <c r="S1070" s="10">
        <v>0</v>
      </c>
      <c r="T1070" s="10">
        <v>0</v>
      </c>
      <c r="U1070" s="14">
        <v>0</v>
      </c>
      <c r="V1070" s="10"/>
      <c r="W1070" s="11">
        <v>2</v>
      </c>
      <c r="X1070" s="11">
        <v>2</v>
      </c>
      <c r="Y1070" s="11">
        <v>0</v>
      </c>
      <c r="Z1070" s="11">
        <v>0</v>
      </c>
      <c r="AA1070" s="11">
        <f>MasterTable[[#This Row],[Landings
Night]]+MasterTable[[#This Row],[Landings
Day]]</f>
        <v>2</v>
      </c>
      <c r="AB1070" s="10">
        <v>0</v>
      </c>
      <c r="AC1070" s="10">
        <v>0</v>
      </c>
      <c r="AD1070" s="11">
        <v>0</v>
      </c>
      <c r="AE1070" s="21">
        <f>SUM(MasterTable[[#This Row],[ILS]:[PAR]])</f>
        <v>0</v>
      </c>
      <c r="AL1070" s="11"/>
      <c r="AR1070" s="140" t="str">
        <f>_xlfn.XLOOKUP(MasterTable[[#This Row],[Aircraft ID]],Aircraft!A:A,Aircraft!H:H)</f>
        <v>Airplane Multi Engine Land</v>
      </c>
      <c r="AS1070" s="8" t="b">
        <f>OR((SUM(MasterTable[[#This Row],[ILS]:[PAR]]) = MasterTable[[#This Row],[APPR]]))</f>
        <v>1</v>
      </c>
      <c r="AT1070" s="8" t="b">
        <f>NOT(ISBLANK(MasterTable[[#This Row],[Total
Time]]))</f>
        <v>1</v>
      </c>
    </row>
    <row r="1071" spans="4:46" ht="28.8" x14ac:dyDescent="0.3">
      <c r="D1071" s="22">
        <v>42451</v>
      </c>
      <c r="E1071" s="8" t="s">
        <v>174</v>
      </c>
      <c r="F1071" s="8" t="s">
        <v>202</v>
      </c>
      <c r="G1071" s="8" t="s">
        <v>353</v>
      </c>
      <c r="I1071" s="10">
        <v>3</v>
      </c>
      <c r="J1071" s="10">
        <v>3</v>
      </c>
      <c r="L1071" s="10">
        <v>0</v>
      </c>
      <c r="M1071" s="13">
        <v>0</v>
      </c>
      <c r="N1071" s="13"/>
      <c r="O1071" s="10">
        <v>0</v>
      </c>
      <c r="P1071" s="10">
        <v>0</v>
      </c>
      <c r="Q1071" s="14">
        <v>0</v>
      </c>
      <c r="R1071" s="14">
        <v>0</v>
      </c>
      <c r="S1071" s="10">
        <v>0</v>
      </c>
      <c r="T1071" s="10">
        <v>3</v>
      </c>
      <c r="U1071" s="14">
        <v>0</v>
      </c>
      <c r="V1071" s="10"/>
      <c r="W1071" s="11">
        <v>2</v>
      </c>
      <c r="X1071" s="11">
        <v>2</v>
      </c>
      <c r="Y1071" s="11">
        <v>0</v>
      </c>
      <c r="Z1071" s="11">
        <v>0</v>
      </c>
      <c r="AA1071" s="11">
        <f>MasterTable[[#This Row],[Landings
Night]]+MasterTable[[#This Row],[Landings
Day]]</f>
        <v>2</v>
      </c>
      <c r="AB1071" s="10">
        <v>0</v>
      </c>
      <c r="AC1071" s="10">
        <v>0</v>
      </c>
      <c r="AD1071" s="11">
        <v>0</v>
      </c>
      <c r="AE1071" s="21">
        <f>SUM(MasterTable[[#This Row],[ILS]:[PAR]])</f>
        <v>0</v>
      </c>
      <c r="AL1071" s="11"/>
      <c r="AR1071" s="140" t="str">
        <f>_xlfn.XLOOKUP(MasterTable[[#This Row],[Aircraft ID]],Aircraft!A:A,Aircraft!H:H)</f>
        <v>Airplane Single Engine Land</v>
      </c>
      <c r="AS1071" s="8" t="b">
        <f>OR((SUM(MasterTable[[#This Row],[ILS]:[PAR]]) = MasterTable[[#This Row],[APPR]]))</f>
        <v>1</v>
      </c>
      <c r="AT1071" s="8" t="b">
        <f>NOT(ISBLANK(MasterTable[[#This Row],[Total
Time]]))</f>
        <v>1</v>
      </c>
    </row>
    <row r="1072" spans="4:46" ht="28.8" x14ac:dyDescent="0.3">
      <c r="D1072" s="22">
        <v>42449</v>
      </c>
      <c r="E1072" s="8" t="s">
        <v>174</v>
      </c>
      <c r="F1072" s="8" t="s">
        <v>202</v>
      </c>
      <c r="G1072" s="8" t="s">
        <v>241</v>
      </c>
      <c r="I1072" s="10">
        <v>1.5</v>
      </c>
      <c r="J1072" s="10">
        <v>1.5</v>
      </c>
      <c r="L1072" s="10">
        <v>0</v>
      </c>
      <c r="M1072" s="13">
        <v>0</v>
      </c>
      <c r="N1072" s="13"/>
      <c r="O1072" s="10">
        <v>0</v>
      </c>
      <c r="P1072" s="10">
        <v>0</v>
      </c>
      <c r="Q1072" s="14">
        <v>0</v>
      </c>
      <c r="R1072" s="14">
        <v>0</v>
      </c>
      <c r="S1072" s="10">
        <v>0</v>
      </c>
      <c r="T1072" s="10">
        <v>0</v>
      </c>
      <c r="U1072" s="14">
        <v>0</v>
      </c>
      <c r="V1072" s="10"/>
      <c r="W1072" s="11">
        <v>3</v>
      </c>
      <c r="X1072" s="11">
        <v>3</v>
      </c>
      <c r="Y1072" s="11">
        <v>0</v>
      </c>
      <c r="Z1072" s="11">
        <v>0</v>
      </c>
      <c r="AA1072" s="11">
        <f>MasterTable[[#This Row],[Landings
Night]]+MasterTable[[#This Row],[Landings
Day]]</f>
        <v>3</v>
      </c>
      <c r="AB1072" s="10">
        <v>0</v>
      </c>
      <c r="AC1072" s="10">
        <v>0</v>
      </c>
      <c r="AD1072" s="11">
        <v>0</v>
      </c>
      <c r="AE1072" s="21">
        <f>SUM(MasterTable[[#This Row],[ILS]:[PAR]])</f>
        <v>0</v>
      </c>
      <c r="AL1072" s="11"/>
      <c r="AR1072" s="140" t="str">
        <f>_xlfn.XLOOKUP(MasterTable[[#This Row],[Aircraft ID]],Aircraft!A:A,Aircraft!H:H)</f>
        <v>Airplane Single Engine Land</v>
      </c>
      <c r="AS1072" s="8" t="b">
        <f>OR((SUM(MasterTable[[#This Row],[ILS]:[PAR]]) = MasterTable[[#This Row],[APPR]]))</f>
        <v>1</v>
      </c>
      <c r="AT1072" s="8" t="b">
        <f>NOT(ISBLANK(MasterTable[[#This Row],[Total
Time]]))</f>
        <v>1</v>
      </c>
    </row>
    <row r="1073" spans="4:46" ht="28.8" x14ac:dyDescent="0.3">
      <c r="D1073" s="22">
        <v>42426</v>
      </c>
      <c r="E1073" s="8" t="s">
        <v>174</v>
      </c>
      <c r="F1073" s="8" t="s">
        <v>202</v>
      </c>
      <c r="G1073" s="8" t="s">
        <v>354</v>
      </c>
      <c r="I1073" s="10">
        <v>2.4</v>
      </c>
      <c r="J1073" s="10">
        <v>2.4</v>
      </c>
      <c r="L1073" s="10">
        <v>0</v>
      </c>
      <c r="M1073" s="13">
        <v>0</v>
      </c>
      <c r="N1073" s="13"/>
      <c r="O1073" s="10">
        <v>0</v>
      </c>
      <c r="P1073" s="10">
        <v>0</v>
      </c>
      <c r="Q1073" s="14">
        <v>0</v>
      </c>
      <c r="R1073" s="14">
        <v>0</v>
      </c>
      <c r="S1073" s="10">
        <v>1</v>
      </c>
      <c r="T1073" s="10">
        <v>2.4</v>
      </c>
      <c r="U1073" s="14">
        <v>0</v>
      </c>
      <c r="V1073" s="10"/>
      <c r="W1073" s="11">
        <v>2</v>
      </c>
      <c r="X1073" s="11">
        <v>2</v>
      </c>
      <c r="Y1073" s="11">
        <v>0</v>
      </c>
      <c r="Z1073" s="11">
        <v>0</v>
      </c>
      <c r="AA1073" s="11">
        <f>MasterTable[[#This Row],[Landings
Night]]+MasterTable[[#This Row],[Landings
Day]]</f>
        <v>2</v>
      </c>
      <c r="AB1073" s="10">
        <v>0</v>
      </c>
      <c r="AC1073" s="10">
        <v>0</v>
      </c>
      <c r="AD1073" s="11">
        <v>0</v>
      </c>
      <c r="AE1073" s="21">
        <f>SUM(MasterTable[[#This Row],[ILS]:[PAR]])</f>
        <v>0</v>
      </c>
      <c r="AL1073" s="11"/>
      <c r="AR1073" s="140" t="str">
        <f>_xlfn.XLOOKUP(MasterTable[[#This Row],[Aircraft ID]],Aircraft!A:A,Aircraft!H:H)</f>
        <v>Airplane Single Engine Land</v>
      </c>
      <c r="AS1073" s="8" t="b">
        <f>OR((SUM(MasterTable[[#This Row],[ILS]:[PAR]]) = MasterTable[[#This Row],[APPR]]))</f>
        <v>1</v>
      </c>
      <c r="AT1073" s="8" t="b">
        <f>NOT(ISBLANK(MasterTable[[#This Row],[Total
Time]]))</f>
        <v>1</v>
      </c>
    </row>
    <row r="1074" spans="4:46" ht="28.8" x14ac:dyDescent="0.3">
      <c r="D1074" s="22">
        <v>42415</v>
      </c>
      <c r="E1074" s="8" t="s">
        <v>174</v>
      </c>
      <c r="F1074" s="8" t="s">
        <v>202</v>
      </c>
      <c r="G1074" s="8" t="s">
        <v>355</v>
      </c>
      <c r="I1074" s="10">
        <v>2.7</v>
      </c>
      <c r="J1074" s="10">
        <v>2.7</v>
      </c>
      <c r="L1074" s="10">
        <v>0</v>
      </c>
      <c r="M1074" s="13">
        <v>0</v>
      </c>
      <c r="N1074" s="13"/>
      <c r="O1074" s="10">
        <v>0</v>
      </c>
      <c r="P1074" s="10">
        <v>0</v>
      </c>
      <c r="Q1074" s="14">
        <v>0</v>
      </c>
      <c r="R1074" s="14">
        <v>0</v>
      </c>
      <c r="S1074" s="10">
        <v>0</v>
      </c>
      <c r="T1074" s="10">
        <v>2.7</v>
      </c>
      <c r="U1074" s="14">
        <v>0</v>
      </c>
      <c r="V1074" s="10"/>
      <c r="W1074" s="11">
        <v>2</v>
      </c>
      <c r="X1074" s="11">
        <v>2</v>
      </c>
      <c r="Y1074" s="11">
        <v>0</v>
      </c>
      <c r="Z1074" s="11">
        <v>0</v>
      </c>
      <c r="AA1074" s="11">
        <f>MasterTable[[#This Row],[Landings
Night]]+MasterTable[[#This Row],[Landings
Day]]</f>
        <v>2</v>
      </c>
      <c r="AB1074" s="10">
        <v>0</v>
      </c>
      <c r="AC1074" s="10">
        <v>0</v>
      </c>
      <c r="AD1074" s="11">
        <v>0</v>
      </c>
      <c r="AE1074" s="21">
        <f>SUM(MasterTable[[#This Row],[ILS]:[PAR]])</f>
        <v>0</v>
      </c>
      <c r="AL1074" s="11"/>
      <c r="AR1074" s="140" t="str">
        <f>_xlfn.XLOOKUP(MasterTable[[#This Row],[Aircraft ID]],Aircraft!A:A,Aircraft!H:H)</f>
        <v>Airplane Single Engine Land</v>
      </c>
      <c r="AS1074" s="8" t="b">
        <f>OR((SUM(MasterTable[[#This Row],[ILS]:[PAR]]) = MasterTable[[#This Row],[APPR]]))</f>
        <v>1</v>
      </c>
      <c r="AT1074" s="8" t="b">
        <f>NOT(ISBLANK(MasterTable[[#This Row],[Total
Time]]))</f>
        <v>1</v>
      </c>
    </row>
    <row r="1075" spans="4:46" ht="28.8" x14ac:dyDescent="0.3">
      <c r="D1075" s="22">
        <v>42406</v>
      </c>
      <c r="E1075" s="8" t="s">
        <v>174</v>
      </c>
      <c r="F1075" s="8" t="s">
        <v>202</v>
      </c>
      <c r="G1075" s="8" t="s">
        <v>202</v>
      </c>
      <c r="I1075" s="10">
        <v>1.2</v>
      </c>
      <c r="J1075" s="10">
        <v>1.2</v>
      </c>
      <c r="L1075" s="10">
        <v>0</v>
      </c>
      <c r="M1075" s="13">
        <v>0</v>
      </c>
      <c r="N1075" s="13"/>
      <c r="O1075" s="10">
        <v>0</v>
      </c>
      <c r="P1075" s="10">
        <v>0</v>
      </c>
      <c r="Q1075" s="14">
        <v>0</v>
      </c>
      <c r="R1075" s="14">
        <v>0</v>
      </c>
      <c r="S1075" s="10">
        <v>0.2</v>
      </c>
      <c r="T1075" s="10">
        <v>0</v>
      </c>
      <c r="U1075" s="14">
        <v>0</v>
      </c>
      <c r="V1075" s="10"/>
      <c r="W1075" s="11">
        <v>1</v>
      </c>
      <c r="X1075" s="11">
        <v>1</v>
      </c>
      <c r="Y1075" s="11">
        <v>0</v>
      </c>
      <c r="Z1075" s="11">
        <v>0</v>
      </c>
      <c r="AA1075" s="11">
        <f>MasterTable[[#This Row],[Landings
Night]]+MasterTable[[#This Row],[Landings
Day]]</f>
        <v>1</v>
      </c>
      <c r="AB1075" s="10">
        <v>0</v>
      </c>
      <c r="AC1075" s="10">
        <v>0</v>
      </c>
      <c r="AD1075" s="11">
        <v>0</v>
      </c>
      <c r="AE1075" s="21">
        <f>SUM(MasterTable[[#This Row],[ILS]:[PAR]])</f>
        <v>0</v>
      </c>
      <c r="AL1075" s="11"/>
      <c r="AR1075" s="140" t="str">
        <f>_xlfn.XLOOKUP(MasterTable[[#This Row],[Aircraft ID]],Aircraft!A:A,Aircraft!H:H)</f>
        <v>Airplane Single Engine Land</v>
      </c>
      <c r="AS1075" s="8" t="b">
        <f>OR((SUM(MasterTable[[#This Row],[ILS]:[PAR]]) = MasterTable[[#This Row],[APPR]]))</f>
        <v>1</v>
      </c>
      <c r="AT1075" s="8" t="b">
        <f>NOT(ISBLANK(MasterTable[[#This Row],[Total
Time]]))</f>
        <v>1</v>
      </c>
    </row>
    <row r="1076" spans="4:46" ht="28.8" x14ac:dyDescent="0.3">
      <c r="D1076" s="22">
        <v>42400</v>
      </c>
      <c r="E1076" s="8" t="s">
        <v>174</v>
      </c>
      <c r="F1076" s="8" t="s">
        <v>202</v>
      </c>
      <c r="G1076" s="8" t="s">
        <v>202</v>
      </c>
      <c r="I1076" s="10">
        <v>0.9</v>
      </c>
      <c r="J1076" s="10">
        <v>0.9</v>
      </c>
      <c r="L1076" s="10">
        <v>0</v>
      </c>
      <c r="M1076" s="13">
        <v>0</v>
      </c>
      <c r="N1076" s="13"/>
      <c r="O1076" s="10">
        <v>0</v>
      </c>
      <c r="P1076" s="10">
        <v>0</v>
      </c>
      <c r="Q1076" s="14">
        <v>0</v>
      </c>
      <c r="R1076" s="14">
        <v>0</v>
      </c>
      <c r="S1076" s="10">
        <v>0</v>
      </c>
      <c r="T1076" s="10">
        <v>0</v>
      </c>
      <c r="U1076" s="14">
        <v>0</v>
      </c>
      <c r="V1076" s="10"/>
      <c r="W1076" s="11">
        <v>4</v>
      </c>
      <c r="X1076" s="11">
        <v>4</v>
      </c>
      <c r="Y1076" s="11">
        <v>0</v>
      </c>
      <c r="Z1076" s="11">
        <v>0</v>
      </c>
      <c r="AA1076" s="11">
        <f>MasterTable[[#This Row],[Landings
Night]]+MasterTable[[#This Row],[Landings
Day]]</f>
        <v>4</v>
      </c>
      <c r="AB1076" s="10">
        <v>0</v>
      </c>
      <c r="AC1076" s="10">
        <v>0</v>
      </c>
      <c r="AD1076" s="11">
        <v>0</v>
      </c>
      <c r="AE1076" s="21">
        <f>SUM(MasterTable[[#This Row],[ILS]:[PAR]])</f>
        <v>0</v>
      </c>
      <c r="AL1076" s="11"/>
      <c r="AR1076" s="140" t="str">
        <f>_xlfn.XLOOKUP(MasterTable[[#This Row],[Aircraft ID]],Aircraft!A:A,Aircraft!H:H)</f>
        <v>Airplane Single Engine Land</v>
      </c>
      <c r="AS1076" s="8" t="b">
        <f>OR((SUM(MasterTable[[#This Row],[ILS]:[PAR]]) = MasterTable[[#This Row],[APPR]]))</f>
        <v>1</v>
      </c>
      <c r="AT1076" s="8" t="b">
        <f>NOT(ISBLANK(MasterTable[[#This Row],[Total
Time]]))</f>
        <v>1</v>
      </c>
    </row>
    <row r="1077" spans="4:46" ht="28.8" x14ac:dyDescent="0.3">
      <c r="D1077" s="22">
        <v>42376</v>
      </c>
      <c r="E1077" s="8" t="s">
        <v>72</v>
      </c>
      <c r="F1077" s="8" t="s">
        <v>293</v>
      </c>
      <c r="G1077" s="8" t="s">
        <v>346</v>
      </c>
      <c r="I1077" s="10">
        <v>0</v>
      </c>
      <c r="J1077" s="10">
        <v>0</v>
      </c>
      <c r="L1077" s="10">
        <v>0</v>
      </c>
      <c r="M1077" s="13">
        <v>0</v>
      </c>
      <c r="N1077" s="13"/>
      <c r="O1077" s="10">
        <v>0</v>
      </c>
      <c r="P1077" s="10">
        <v>0</v>
      </c>
      <c r="Q1077" s="14">
        <v>0</v>
      </c>
      <c r="R1077" s="14">
        <v>0</v>
      </c>
      <c r="S1077" s="10">
        <v>0</v>
      </c>
      <c r="T1077" s="10">
        <v>0</v>
      </c>
      <c r="U1077" s="14">
        <v>0</v>
      </c>
      <c r="V1077" s="10"/>
      <c r="W1077" s="11">
        <v>2</v>
      </c>
      <c r="X1077" s="11">
        <v>2</v>
      </c>
      <c r="Y1077" s="11">
        <v>0</v>
      </c>
      <c r="Z1077" s="11">
        <v>0</v>
      </c>
      <c r="AA1077" s="11">
        <f>MasterTable[[#This Row],[Landings
Night]]+MasterTable[[#This Row],[Landings
Day]]</f>
        <v>2</v>
      </c>
      <c r="AB1077" s="10">
        <v>0</v>
      </c>
      <c r="AC1077" s="10">
        <v>0</v>
      </c>
      <c r="AD1077" s="11">
        <v>0</v>
      </c>
      <c r="AE1077" s="21">
        <f>SUM(MasterTable[[#This Row],[ILS]:[PAR]])</f>
        <v>0</v>
      </c>
      <c r="AL1077" s="11"/>
      <c r="AR1077" s="140" t="str">
        <f>_xlfn.XLOOKUP(MasterTable[[#This Row],[Aircraft ID]],Aircraft!A:A,Aircraft!H:H)</f>
        <v>Airplane Multi Engine Land</v>
      </c>
      <c r="AS1077" s="8" t="b">
        <f>OR((SUM(MasterTable[[#This Row],[ILS]:[PAR]]) = MasterTable[[#This Row],[APPR]]))</f>
        <v>1</v>
      </c>
      <c r="AT1077" s="8" t="b">
        <f>NOT(ISBLANK(MasterTable[[#This Row],[Total
Time]]))</f>
        <v>1</v>
      </c>
    </row>
    <row r="1078" spans="4:46" ht="28.8" x14ac:dyDescent="0.3">
      <c r="D1078" s="22">
        <v>42373</v>
      </c>
      <c r="E1078" s="8" t="s">
        <v>72</v>
      </c>
      <c r="F1078" s="8" t="s">
        <v>202</v>
      </c>
      <c r="G1078" s="8" t="s">
        <v>202</v>
      </c>
      <c r="I1078" s="10">
        <v>0</v>
      </c>
      <c r="J1078" s="10">
        <v>0</v>
      </c>
      <c r="L1078" s="10">
        <v>0</v>
      </c>
      <c r="M1078" s="13">
        <v>0</v>
      </c>
      <c r="N1078" s="13"/>
      <c r="O1078" s="10">
        <v>0</v>
      </c>
      <c r="P1078" s="10">
        <v>0</v>
      </c>
      <c r="Q1078" s="14">
        <v>0</v>
      </c>
      <c r="R1078" s="14">
        <v>0</v>
      </c>
      <c r="S1078" s="10">
        <v>0</v>
      </c>
      <c r="T1078" s="10">
        <v>0</v>
      </c>
      <c r="U1078" s="14">
        <v>0</v>
      </c>
      <c r="V1078" s="10"/>
      <c r="W1078" s="11">
        <v>1</v>
      </c>
      <c r="X1078" s="11">
        <v>1</v>
      </c>
      <c r="Y1078" s="11">
        <v>0</v>
      </c>
      <c r="Z1078" s="11">
        <v>0</v>
      </c>
      <c r="AA1078" s="11">
        <f>MasterTable[[#This Row],[Landings
Night]]+MasterTable[[#This Row],[Landings
Day]]</f>
        <v>1</v>
      </c>
      <c r="AB1078" s="10">
        <v>0</v>
      </c>
      <c r="AC1078" s="10">
        <v>0</v>
      </c>
      <c r="AD1078" s="11">
        <v>0</v>
      </c>
      <c r="AE1078" s="21">
        <f>SUM(MasterTable[[#This Row],[ILS]:[PAR]])</f>
        <v>0</v>
      </c>
      <c r="AL1078" s="11"/>
      <c r="AR1078" s="140" t="str">
        <f>_xlfn.XLOOKUP(MasterTable[[#This Row],[Aircraft ID]],Aircraft!A:A,Aircraft!H:H)</f>
        <v>Airplane Multi Engine Land</v>
      </c>
      <c r="AS1078" s="8" t="b">
        <f>OR((SUM(MasterTable[[#This Row],[ILS]:[PAR]]) = MasterTable[[#This Row],[APPR]]))</f>
        <v>1</v>
      </c>
      <c r="AT1078" s="8" t="b">
        <f>NOT(ISBLANK(MasterTable[[#This Row],[Total
Time]]))</f>
        <v>1</v>
      </c>
    </row>
    <row r="1079" spans="4:46" ht="28.8" x14ac:dyDescent="0.3">
      <c r="D1079" s="22">
        <v>42368</v>
      </c>
      <c r="E1079" s="8" t="s">
        <v>174</v>
      </c>
      <c r="F1079" s="8" t="s">
        <v>202</v>
      </c>
      <c r="G1079" s="8" t="s">
        <v>204</v>
      </c>
      <c r="I1079" s="10">
        <v>3.2</v>
      </c>
      <c r="J1079" s="10">
        <v>3.2</v>
      </c>
      <c r="L1079" s="10">
        <v>0</v>
      </c>
      <c r="M1079" s="13">
        <v>0</v>
      </c>
      <c r="N1079" s="13"/>
      <c r="O1079" s="10">
        <v>0</v>
      </c>
      <c r="P1079" s="10">
        <v>0</v>
      </c>
      <c r="Q1079" s="14">
        <v>0</v>
      </c>
      <c r="R1079" s="14">
        <v>0</v>
      </c>
      <c r="S1079" s="10">
        <v>0</v>
      </c>
      <c r="T1079" s="10">
        <v>3.2</v>
      </c>
      <c r="U1079" s="14">
        <v>0</v>
      </c>
      <c r="V1079" s="10"/>
      <c r="W1079" s="11">
        <v>2</v>
      </c>
      <c r="X1079" s="11">
        <v>2</v>
      </c>
      <c r="Y1079" s="11">
        <v>0</v>
      </c>
      <c r="Z1079" s="11">
        <v>0</v>
      </c>
      <c r="AA1079" s="11">
        <f>MasterTable[[#This Row],[Landings
Night]]+MasterTable[[#This Row],[Landings
Day]]</f>
        <v>2</v>
      </c>
      <c r="AB1079" s="10">
        <v>0</v>
      </c>
      <c r="AC1079" s="10">
        <v>0</v>
      </c>
      <c r="AD1079" s="11">
        <v>0</v>
      </c>
      <c r="AE1079" s="21">
        <f>SUM(MasterTable[[#This Row],[ILS]:[PAR]])</f>
        <v>0</v>
      </c>
      <c r="AL1079" s="11"/>
      <c r="AR1079" s="140" t="str">
        <f>_xlfn.XLOOKUP(MasterTable[[#This Row],[Aircraft ID]],Aircraft!A:A,Aircraft!H:H)</f>
        <v>Airplane Single Engine Land</v>
      </c>
      <c r="AS1079" s="8" t="b">
        <f>OR((SUM(MasterTable[[#This Row],[ILS]:[PAR]]) = MasterTable[[#This Row],[APPR]]))</f>
        <v>1</v>
      </c>
      <c r="AT1079" s="8" t="b">
        <f>NOT(ISBLANK(MasterTable[[#This Row],[Total
Time]]))</f>
        <v>1</v>
      </c>
    </row>
    <row r="1080" spans="4:46" ht="28.8" x14ac:dyDescent="0.3">
      <c r="D1080" s="22">
        <v>42367</v>
      </c>
      <c r="E1080" s="8" t="s">
        <v>174</v>
      </c>
      <c r="F1080" s="8" t="s">
        <v>202</v>
      </c>
      <c r="G1080" s="8" t="s">
        <v>344</v>
      </c>
      <c r="I1080" s="10">
        <v>2.1</v>
      </c>
      <c r="J1080" s="10">
        <v>2.1</v>
      </c>
      <c r="L1080" s="10">
        <v>0</v>
      </c>
      <c r="M1080" s="13">
        <v>0</v>
      </c>
      <c r="N1080" s="13"/>
      <c r="O1080" s="10">
        <v>0</v>
      </c>
      <c r="P1080" s="10">
        <v>0</v>
      </c>
      <c r="Q1080" s="14">
        <v>0</v>
      </c>
      <c r="R1080" s="14">
        <v>0</v>
      </c>
      <c r="S1080" s="10">
        <v>0</v>
      </c>
      <c r="T1080" s="10">
        <v>0</v>
      </c>
      <c r="U1080" s="14">
        <v>0</v>
      </c>
      <c r="V1080" s="10"/>
      <c r="W1080" s="11">
        <v>8</v>
      </c>
      <c r="X1080" s="11">
        <v>8</v>
      </c>
      <c r="Y1080" s="11">
        <v>0</v>
      </c>
      <c r="Z1080" s="11">
        <v>0</v>
      </c>
      <c r="AA1080" s="11">
        <f>MasterTable[[#This Row],[Landings
Night]]+MasterTable[[#This Row],[Landings
Day]]</f>
        <v>8</v>
      </c>
      <c r="AB1080" s="10">
        <v>0</v>
      </c>
      <c r="AC1080" s="10">
        <v>0</v>
      </c>
      <c r="AD1080" s="11">
        <v>0</v>
      </c>
      <c r="AE1080" s="21">
        <f>SUM(MasterTable[[#This Row],[ILS]:[PAR]])</f>
        <v>0</v>
      </c>
      <c r="AL1080" s="11"/>
      <c r="AR1080" s="140" t="str">
        <f>_xlfn.XLOOKUP(MasterTable[[#This Row],[Aircraft ID]],Aircraft!A:A,Aircraft!H:H)</f>
        <v>Airplane Single Engine Land</v>
      </c>
      <c r="AS1080" s="8" t="b">
        <f>OR((SUM(MasterTable[[#This Row],[ILS]:[PAR]]) = MasterTable[[#This Row],[APPR]]))</f>
        <v>1</v>
      </c>
      <c r="AT1080" s="8" t="b">
        <f>NOT(ISBLANK(MasterTable[[#This Row],[Total
Time]]))</f>
        <v>1</v>
      </c>
    </row>
    <row r="1081" spans="4:46" ht="28.8" x14ac:dyDescent="0.3">
      <c r="D1081" s="22">
        <v>42365</v>
      </c>
      <c r="E1081" s="8" t="s">
        <v>174</v>
      </c>
      <c r="F1081" s="8" t="s">
        <v>202</v>
      </c>
      <c r="G1081" s="8" t="s">
        <v>233</v>
      </c>
      <c r="I1081" s="10">
        <v>2.2000000000000002</v>
      </c>
      <c r="J1081" s="10">
        <v>2.2000000000000002</v>
      </c>
      <c r="L1081" s="10">
        <v>0</v>
      </c>
      <c r="M1081" s="13">
        <v>0</v>
      </c>
      <c r="N1081" s="13"/>
      <c r="O1081" s="10">
        <v>0</v>
      </c>
      <c r="P1081" s="10">
        <v>0</v>
      </c>
      <c r="Q1081" s="14">
        <v>0</v>
      </c>
      <c r="R1081" s="14">
        <v>0</v>
      </c>
      <c r="S1081" s="10">
        <v>0</v>
      </c>
      <c r="T1081" s="10">
        <v>2.2000000000000002</v>
      </c>
      <c r="U1081" s="14">
        <v>0</v>
      </c>
      <c r="V1081" s="10"/>
      <c r="W1081" s="11">
        <v>2</v>
      </c>
      <c r="X1081" s="11">
        <v>2</v>
      </c>
      <c r="Y1081" s="11">
        <v>0</v>
      </c>
      <c r="Z1081" s="11">
        <v>0</v>
      </c>
      <c r="AA1081" s="11">
        <f>MasterTable[[#This Row],[Landings
Night]]+MasterTable[[#This Row],[Landings
Day]]</f>
        <v>2</v>
      </c>
      <c r="AB1081" s="10">
        <v>0</v>
      </c>
      <c r="AC1081" s="10">
        <v>0</v>
      </c>
      <c r="AD1081" s="11">
        <v>0</v>
      </c>
      <c r="AE1081" s="21">
        <f>SUM(MasterTable[[#This Row],[ILS]:[PAR]])</f>
        <v>0</v>
      </c>
      <c r="AL1081" s="11"/>
      <c r="AR1081" s="140" t="str">
        <f>_xlfn.XLOOKUP(MasterTable[[#This Row],[Aircraft ID]],Aircraft!A:A,Aircraft!H:H)</f>
        <v>Airplane Single Engine Land</v>
      </c>
      <c r="AS1081" s="8" t="b">
        <f>OR((SUM(MasterTable[[#This Row],[ILS]:[PAR]]) = MasterTable[[#This Row],[APPR]]))</f>
        <v>1</v>
      </c>
      <c r="AT1081" s="8" t="b">
        <f>NOT(ISBLANK(MasterTable[[#This Row],[Total
Time]]))</f>
        <v>1</v>
      </c>
    </row>
    <row r="1082" spans="4:46" ht="28.8" x14ac:dyDescent="0.3">
      <c r="D1082" s="22">
        <v>42364</v>
      </c>
      <c r="E1082" s="8" t="s">
        <v>174</v>
      </c>
      <c r="F1082" s="8" t="s">
        <v>202</v>
      </c>
      <c r="G1082" s="8" t="s">
        <v>356</v>
      </c>
      <c r="I1082" s="10">
        <v>2.2000000000000002</v>
      </c>
      <c r="J1082" s="10">
        <v>2.2000000000000002</v>
      </c>
      <c r="L1082" s="10">
        <v>0</v>
      </c>
      <c r="M1082" s="13">
        <v>0</v>
      </c>
      <c r="N1082" s="13"/>
      <c r="O1082" s="10">
        <v>0</v>
      </c>
      <c r="P1082" s="10">
        <v>0</v>
      </c>
      <c r="Q1082" s="14">
        <v>0</v>
      </c>
      <c r="R1082" s="14">
        <v>0</v>
      </c>
      <c r="S1082" s="10">
        <v>0</v>
      </c>
      <c r="T1082" s="10">
        <v>2.2000000000000002</v>
      </c>
      <c r="U1082" s="14">
        <v>0</v>
      </c>
      <c r="V1082" s="10"/>
      <c r="W1082" s="11">
        <v>2</v>
      </c>
      <c r="X1082" s="11">
        <v>2</v>
      </c>
      <c r="Y1082" s="11">
        <v>0</v>
      </c>
      <c r="Z1082" s="11">
        <v>0</v>
      </c>
      <c r="AA1082" s="11">
        <f>MasterTable[[#This Row],[Landings
Night]]+MasterTable[[#This Row],[Landings
Day]]</f>
        <v>2</v>
      </c>
      <c r="AB1082" s="10">
        <v>0</v>
      </c>
      <c r="AC1082" s="10">
        <v>0</v>
      </c>
      <c r="AD1082" s="11">
        <v>0</v>
      </c>
      <c r="AE1082" s="21">
        <f>SUM(MasterTable[[#This Row],[ILS]:[PAR]])</f>
        <v>0</v>
      </c>
      <c r="AL1082" s="11"/>
      <c r="AR1082" s="140" t="str">
        <f>_xlfn.XLOOKUP(MasterTable[[#This Row],[Aircraft ID]],Aircraft!A:A,Aircraft!H:H)</f>
        <v>Airplane Single Engine Land</v>
      </c>
      <c r="AS1082" s="8" t="b">
        <f>OR((SUM(MasterTable[[#This Row],[ILS]:[PAR]]) = MasterTable[[#This Row],[APPR]]))</f>
        <v>1</v>
      </c>
      <c r="AT1082" s="8" t="b">
        <f>NOT(ISBLANK(MasterTable[[#This Row],[Total
Time]]))</f>
        <v>1</v>
      </c>
    </row>
    <row r="1083" spans="4:46" ht="28.8" x14ac:dyDescent="0.3">
      <c r="D1083" s="22">
        <v>42358</v>
      </c>
      <c r="E1083" s="8" t="s">
        <v>174</v>
      </c>
      <c r="F1083" s="8" t="s">
        <v>202</v>
      </c>
      <c r="G1083" s="8" t="s">
        <v>293</v>
      </c>
      <c r="I1083" s="10">
        <v>0.7</v>
      </c>
      <c r="J1083" s="10">
        <v>0.7</v>
      </c>
      <c r="L1083" s="10">
        <v>0</v>
      </c>
      <c r="M1083" s="13">
        <v>0</v>
      </c>
      <c r="N1083" s="13"/>
      <c r="O1083" s="10">
        <v>0</v>
      </c>
      <c r="P1083" s="10">
        <v>0</v>
      </c>
      <c r="Q1083" s="14">
        <v>0</v>
      </c>
      <c r="R1083" s="14">
        <v>0</v>
      </c>
      <c r="S1083" s="10">
        <v>0</v>
      </c>
      <c r="T1083" s="10">
        <v>0</v>
      </c>
      <c r="U1083" s="14">
        <v>0</v>
      </c>
      <c r="V1083" s="10"/>
      <c r="W1083" s="11">
        <v>2</v>
      </c>
      <c r="X1083" s="11">
        <v>2</v>
      </c>
      <c r="Y1083" s="11">
        <v>0</v>
      </c>
      <c r="Z1083" s="11">
        <v>0</v>
      </c>
      <c r="AA1083" s="11">
        <f>MasterTable[[#This Row],[Landings
Night]]+MasterTable[[#This Row],[Landings
Day]]</f>
        <v>2</v>
      </c>
      <c r="AB1083" s="10">
        <v>0</v>
      </c>
      <c r="AC1083" s="10">
        <v>0</v>
      </c>
      <c r="AD1083" s="11">
        <v>0</v>
      </c>
      <c r="AE1083" s="21">
        <f>SUM(MasterTable[[#This Row],[ILS]:[PAR]])</f>
        <v>0</v>
      </c>
      <c r="AL1083" s="11"/>
      <c r="AR1083" s="140" t="str">
        <f>_xlfn.XLOOKUP(MasterTable[[#This Row],[Aircraft ID]],Aircraft!A:A,Aircraft!H:H)</f>
        <v>Airplane Single Engine Land</v>
      </c>
      <c r="AS1083" s="8" t="b">
        <f>OR((SUM(MasterTable[[#This Row],[ILS]:[PAR]]) = MasterTable[[#This Row],[APPR]]))</f>
        <v>1</v>
      </c>
      <c r="AT1083" s="8" t="b">
        <f>NOT(ISBLANK(MasterTable[[#This Row],[Total
Time]]))</f>
        <v>1</v>
      </c>
    </row>
    <row r="1084" spans="4:46" ht="28.8" x14ac:dyDescent="0.3">
      <c r="D1084" s="22">
        <v>42356</v>
      </c>
      <c r="E1084" s="8" t="s">
        <v>174</v>
      </c>
      <c r="F1084" s="8" t="s">
        <v>202</v>
      </c>
      <c r="G1084" s="8" t="s">
        <v>241</v>
      </c>
      <c r="I1084" s="10">
        <v>1.3</v>
      </c>
      <c r="J1084" s="10">
        <v>1.3</v>
      </c>
      <c r="L1084" s="10">
        <v>0</v>
      </c>
      <c r="M1084" s="13">
        <v>0</v>
      </c>
      <c r="N1084" s="13"/>
      <c r="O1084" s="10">
        <v>0</v>
      </c>
      <c r="P1084" s="10">
        <v>0</v>
      </c>
      <c r="Q1084" s="14">
        <v>0</v>
      </c>
      <c r="R1084" s="14">
        <v>0</v>
      </c>
      <c r="S1084" s="10">
        <v>0</v>
      </c>
      <c r="T1084" s="10">
        <v>0</v>
      </c>
      <c r="U1084" s="14">
        <v>0</v>
      </c>
      <c r="V1084" s="10"/>
      <c r="W1084" s="11">
        <v>2</v>
      </c>
      <c r="X1084" s="11">
        <v>2</v>
      </c>
      <c r="Y1084" s="11">
        <v>0</v>
      </c>
      <c r="Z1084" s="11">
        <v>0</v>
      </c>
      <c r="AA1084" s="11">
        <f>MasterTable[[#This Row],[Landings
Night]]+MasterTable[[#This Row],[Landings
Day]]</f>
        <v>2</v>
      </c>
      <c r="AB1084" s="10">
        <v>0</v>
      </c>
      <c r="AC1084" s="10">
        <v>0</v>
      </c>
      <c r="AD1084" s="11">
        <v>0</v>
      </c>
      <c r="AE1084" s="21">
        <f>SUM(MasterTable[[#This Row],[ILS]:[PAR]])</f>
        <v>0</v>
      </c>
      <c r="AL1084" s="11"/>
      <c r="AR1084" s="140" t="str">
        <f>_xlfn.XLOOKUP(MasterTable[[#This Row],[Aircraft ID]],Aircraft!A:A,Aircraft!H:H)</f>
        <v>Airplane Single Engine Land</v>
      </c>
      <c r="AS1084" s="8" t="b">
        <f>OR((SUM(MasterTable[[#This Row],[ILS]:[PAR]]) = MasterTable[[#This Row],[APPR]]))</f>
        <v>1</v>
      </c>
      <c r="AT1084" s="8" t="b">
        <f>NOT(ISBLANK(MasterTable[[#This Row],[Total
Time]]))</f>
        <v>1</v>
      </c>
    </row>
    <row r="1085" spans="4:46" ht="28.8" x14ac:dyDescent="0.3">
      <c r="D1085" s="22">
        <v>42345</v>
      </c>
      <c r="E1085" s="8" t="s">
        <v>72</v>
      </c>
      <c r="F1085" s="8" t="s">
        <v>293</v>
      </c>
      <c r="G1085" s="8" t="s">
        <v>346</v>
      </c>
      <c r="I1085" s="10">
        <v>0</v>
      </c>
      <c r="J1085" s="10">
        <v>0</v>
      </c>
      <c r="L1085" s="10">
        <v>0</v>
      </c>
      <c r="M1085" s="13">
        <v>0</v>
      </c>
      <c r="N1085" s="13"/>
      <c r="O1085" s="10">
        <v>0</v>
      </c>
      <c r="P1085" s="10">
        <v>0</v>
      </c>
      <c r="Q1085" s="14">
        <v>0</v>
      </c>
      <c r="R1085" s="14">
        <v>0</v>
      </c>
      <c r="S1085" s="10">
        <v>0</v>
      </c>
      <c r="T1085" s="10">
        <v>0</v>
      </c>
      <c r="U1085" s="14">
        <v>0</v>
      </c>
      <c r="V1085" s="10"/>
      <c r="W1085" s="11">
        <v>2</v>
      </c>
      <c r="X1085" s="11">
        <v>2</v>
      </c>
      <c r="Y1085" s="11">
        <v>0</v>
      </c>
      <c r="Z1085" s="11">
        <v>0</v>
      </c>
      <c r="AA1085" s="11">
        <f>MasterTable[[#This Row],[Landings
Night]]+MasterTable[[#This Row],[Landings
Day]]</f>
        <v>2</v>
      </c>
      <c r="AB1085" s="10">
        <v>0</v>
      </c>
      <c r="AC1085" s="10">
        <v>0</v>
      </c>
      <c r="AD1085" s="11">
        <v>0</v>
      </c>
      <c r="AE1085" s="21">
        <f>SUM(MasterTable[[#This Row],[ILS]:[PAR]])</f>
        <v>0</v>
      </c>
      <c r="AL1085" s="11"/>
      <c r="AR1085" s="140" t="str">
        <f>_xlfn.XLOOKUP(MasterTable[[#This Row],[Aircraft ID]],Aircraft!A:A,Aircraft!H:H)</f>
        <v>Airplane Multi Engine Land</v>
      </c>
      <c r="AS1085" s="8" t="b">
        <f>OR((SUM(MasterTable[[#This Row],[ILS]:[PAR]]) = MasterTable[[#This Row],[APPR]]))</f>
        <v>1</v>
      </c>
      <c r="AT1085" s="8" t="b">
        <f>NOT(ISBLANK(MasterTable[[#This Row],[Total
Time]]))</f>
        <v>1</v>
      </c>
    </row>
    <row r="1086" spans="4:46" ht="28.8" x14ac:dyDescent="0.3">
      <c r="D1086" s="22">
        <v>42338</v>
      </c>
      <c r="E1086" s="8" t="s">
        <v>72</v>
      </c>
      <c r="F1086" s="8" t="s">
        <v>293</v>
      </c>
      <c r="G1086" s="8" t="s">
        <v>346</v>
      </c>
      <c r="I1086" s="10">
        <v>0</v>
      </c>
      <c r="J1086" s="10">
        <v>0</v>
      </c>
      <c r="L1086" s="10">
        <v>0</v>
      </c>
      <c r="M1086" s="13">
        <v>0</v>
      </c>
      <c r="N1086" s="13"/>
      <c r="O1086" s="10">
        <v>0</v>
      </c>
      <c r="P1086" s="10">
        <v>0</v>
      </c>
      <c r="Q1086" s="14">
        <v>0</v>
      </c>
      <c r="R1086" s="14">
        <v>0</v>
      </c>
      <c r="S1086" s="10">
        <v>0</v>
      </c>
      <c r="T1086" s="10">
        <v>0</v>
      </c>
      <c r="U1086" s="14">
        <v>0</v>
      </c>
      <c r="V1086" s="10"/>
      <c r="W1086" s="11">
        <v>2</v>
      </c>
      <c r="X1086" s="11">
        <v>2</v>
      </c>
      <c r="Y1086" s="11">
        <v>0</v>
      </c>
      <c r="Z1086" s="11">
        <v>0</v>
      </c>
      <c r="AA1086" s="11">
        <f>MasterTable[[#This Row],[Landings
Night]]+MasterTable[[#This Row],[Landings
Day]]</f>
        <v>2</v>
      </c>
      <c r="AB1086" s="10">
        <v>0</v>
      </c>
      <c r="AC1086" s="10">
        <v>0</v>
      </c>
      <c r="AD1086" s="11">
        <v>0</v>
      </c>
      <c r="AE1086" s="21">
        <f>SUM(MasterTable[[#This Row],[ILS]:[PAR]])</f>
        <v>0</v>
      </c>
      <c r="AL1086" s="11"/>
      <c r="AR1086" s="140" t="str">
        <f>_xlfn.XLOOKUP(MasterTable[[#This Row],[Aircraft ID]],Aircraft!A:A,Aircraft!H:H)</f>
        <v>Airplane Multi Engine Land</v>
      </c>
      <c r="AS1086" s="8" t="b">
        <f>OR((SUM(MasterTable[[#This Row],[ILS]:[PAR]]) = MasterTable[[#This Row],[APPR]]))</f>
        <v>1</v>
      </c>
      <c r="AT1086" s="8" t="b">
        <f>NOT(ISBLANK(MasterTable[[#This Row],[Total
Time]]))</f>
        <v>1</v>
      </c>
    </row>
    <row r="1087" spans="4:46" ht="28.8" x14ac:dyDescent="0.3">
      <c r="D1087" s="22">
        <v>42336</v>
      </c>
      <c r="E1087" s="8" t="s">
        <v>174</v>
      </c>
      <c r="F1087" s="8" t="s">
        <v>357</v>
      </c>
      <c r="G1087" s="8" t="s">
        <v>202</v>
      </c>
      <c r="I1087" s="10">
        <v>1.3</v>
      </c>
      <c r="J1087" s="10">
        <v>1.3</v>
      </c>
      <c r="L1087" s="10">
        <v>0</v>
      </c>
      <c r="M1087" s="13">
        <v>0</v>
      </c>
      <c r="N1087" s="13"/>
      <c r="O1087" s="10">
        <v>0</v>
      </c>
      <c r="P1087" s="10">
        <v>0</v>
      </c>
      <c r="Q1087" s="14">
        <v>0</v>
      </c>
      <c r="R1087" s="14">
        <v>0</v>
      </c>
      <c r="S1087" s="10">
        <v>0</v>
      </c>
      <c r="T1087" s="10">
        <v>1.3</v>
      </c>
      <c r="U1087" s="14">
        <v>0</v>
      </c>
      <c r="V1087" s="10"/>
      <c r="W1087" s="11">
        <v>1</v>
      </c>
      <c r="X1087" s="11">
        <v>1</v>
      </c>
      <c r="Y1087" s="11">
        <v>0</v>
      </c>
      <c r="Z1087" s="11">
        <v>0</v>
      </c>
      <c r="AA1087" s="11">
        <f>MasterTable[[#This Row],[Landings
Night]]+MasterTable[[#This Row],[Landings
Day]]</f>
        <v>1</v>
      </c>
      <c r="AB1087" s="10">
        <v>0</v>
      </c>
      <c r="AC1087" s="10">
        <v>0</v>
      </c>
      <c r="AD1087" s="11">
        <v>0</v>
      </c>
      <c r="AE1087" s="21">
        <f>SUM(MasterTable[[#This Row],[ILS]:[PAR]])</f>
        <v>0</v>
      </c>
      <c r="AL1087" s="11"/>
      <c r="AR1087" s="140" t="str">
        <f>_xlfn.XLOOKUP(MasterTable[[#This Row],[Aircraft ID]],Aircraft!A:A,Aircraft!H:H)</f>
        <v>Airplane Single Engine Land</v>
      </c>
      <c r="AS1087" s="8" t="b">
        <f>OR((SUM(MasterTable[[#This Row],[ILS]:[PAR]]) = MasterTable[[#This Row],[APPR]]))</f>
        <v>1</v>
      </c>
      <c r="AT1087" s="8" t="b">
        <f>NOT(ISBLANK(MasterTable[[#This Row],[Total
Time]]))</f>
        <v>1</v>
      </c>
    </row>
    <row r="1088" spans="4:46" ht="28.8" x14ac:dyDescent="0.3">
      <c r="D1088" s="22">
        <v>42336</v>
      </c>
      <c r="E1088" s="8" t="s">
        <v>174</v>
      </c>
      <c r="F1088" s="8" t="s">
        <v>202</v>
      </c>
      <c r="G1088" s="8" t="s">
        <v>357</v>
      </c>
      <c r="I1088" s="10">
        <v>1.3</v>
      </c>
      <c r="J1088" s="10">
        <v>1.3</v>
      </c>
      <c r="L1088" s="10">
        <v>0</v>
      </c>
      <c r="M1088" s="13">
        <v>0</v>
      </c>
      <c r="N1088" s="13"/>
      <c r="O1088" s="10">
        <v>0</v>
      </c>
      <c r="P1088" s="10">
        <v>0</v>
      </c>
      <c r="Q1088" s="14">
        <v>0</v>
      </c>
      <c r="R1088" s="14">
        <v>0</v>
      </c>
      <c r="S1088" s="10">
        <v>0</v>
      </c>
      <c r="T1088" s="10">
        <v>1.3</v>
      </c>
      <c r="U1088" s="14">
        <v>0</v>
      </c>
      <c r="V1088" s="10"/>
      <c r="W1088" s="11">
        <v>1</v>
      </c>
      <c r="X1088" s="11">
        <v>1</v>
      </c>
      <c r="Y1088" s="11">
        <v>0</v>
      </c>
      <c r="Z1088" s="11">
        <v>0</v>
      </c>
      <c r="AA1088" s="11">
        <f>MasterTable[[#This Row],[Landings
Night]]+MasterTable[[#This Row],[Landings
Day]]</f>
        <v>1</v>
      </c>
      <c r="AB1088" s="10">
        <v>0</v>
      </c>
      <c r="AC1088" s="10">
        <v>0</v>
      </c>
      <c r="AD1088" s="11">
        <v>0</v>
      </c>
      <c r="AE1088" s="21">
        <f>SUM(MasterTable[[#This Row],[ILS]:[PAR]])</f>
        <v>0</v>
      </c>
      <c r="AL1088" s="11"/>
      <c r="AR1088" s="140" t="str">
        <f>_xlfn.XLOOKUP(MasterTable[[#This Row],[Aircraft ID]],Aircraft!A:A,Aircraft!H:H)</f>
        <v>Airplane Single Engine Land</v>
      </c>
      <c r="AS1088" s="8" t="b">
        <f>OR((SUM(MasterTable[[#This Row],[ILS]:[PAR]]) = MasterTable[[#This Row],[APPR]]))</f>
        <v>1</v>
      </c>
      <c r="AT1088" s="8" t="b">
        <f>NOT(ISBLANK(MasterTable[[#This Row],[Total
Time]]))</f>
        <v>1</v>
      </c>
    </row>
    <row r="1089" spans="4:46" ht="28.8" x14ac:dyDescent="0.3">
      <c r="D1089" s="22">
        <v>42332</v>
      </c>
      <c r="E1089" s="8" t="s">
        <v>72</v>
      </c>
      <c r="F1089" s="8" t="s">
        <v>293</v>
      </c>
      <c r="G1089" s="8" t="s">
        <v>346</v>
      </c>
      <c r="I1089" s="10">
        <v>0</v>
      </c>
      <c r="J1089" s="10">
        <v>0</v>
      </c>
      <c r="L1089" s="10">
        <v>0</v>
      </c>
      <c r="M1089" s="13">
        <v>0</v>
      </c>
      <c r="N1089" s="13"/>
      <c r="O1089" s="10">
        <v>0</v>
      </c>
      <c r="P1089" s="10">
        <v>0</v>
      </c>
      <c r="Q1089" s="14">
        <v>0</v>
      </c>
      <c r="R1089" s="14">
        <v>0</v>
      </c>
      <c r="S1089" s="10">
        <v>0</v>
      </c>
      <c r="T1089" s="10">
        <v>0</v>
      </c>
      <c r="U1089" s="14">
        <v>0</v>
      </c>
      <c r="V1089" s="10"/>
      <c r="W1089" s="11">
        <v>2</v>
      </c>
      <c r="X1089" s="11">
        <v>2</v>
      </c>
      <c r="Y1089" s="11">
        <v>0</v>
      </c>
      <c r="Z1089" s="11">
        <v>0</v>
      </c>
      <c r="AA1089" s="11">
        <f>MasterTable[[#This Row],[Landings
Night]]+MasterTable[[#This Row],[Landings
Day]]</f>
        <v>2</v>
      </c>
      <c r="AB1089" s="10">
        <v>0</v>
      </c>
      <c r="AC1089" s="10">
        <v>0</v>
      </c>
      <c r="AD1089" s="11">
        <v>0</v>
      </c>
      <c r="AE1089" s="21">
        <f>SUM(MasterTable[[#This Row],[ILS]:[PAR]])</f>
        <v>0</v>
      </c>
      <c r="AL1089" s="11"/>
      <c r="AR1089" s="140" t="str">
        <f>_xlfn.XLOOKUP(MasterTable[[#This Row],[Aircraft ID]],Aircraft!A:A,Aircraft!H:H)</f>
        <v>Airplane Multi Engine Land</v>
      </c>
      <c r="AS1089" s="8" t="b">
        <f>OR((SUM(MasterTable[[#This Row],[ILS]:[PAR]]) = MasterTable[[#This Row],[APPR]]))</f>
        <v>1</v>
      </c>
      <c r="AT1089" s="8" t="b">
        <f>NOT(ISBLANK(MasterTable[[#This Row],[Total
Time]]))</f>
        <v>1</v>
      </c>
    </row>
    <row r="1090" spans="4:46" ht="28.8" x14ac:dyDescent="0.3">
      <c r="D1090" s="22">
        <v>42318</v>
      </c>
      <c r="E1090" s="8" t="s">
        <v>174</v>
      </c>
      <c r="F1090" s="8" t="s">
        <v>202</v>
      </c>
      <c r="G1090" s="8" t="s">
        <v>265</v>
      </c>
      <c r="I1090" s="10">
        <v>0.9</v>
      </c>
      <c r="J1090" s="10">
        <v>0.9</v>
      </c>
      <c r="L1090" s="10">
        <v>0</v>
      </c>
      <c r="M1090" s="13">
        <v>0</v>
      </c>
      <c r="N1090" s="13"/>
      <c r="O1090" s="10">
        <v>0</v>
      </c>
      <c r="P1090" s="10">
        <v>0</v>
      </c>
      <c r="Q1090" s="14">
        <v>0</v>
      </c>
      <c r="R1090" s="14">
        <v>0</v>
      </c>
      <c r="S1090" s="10">
        <v>0</v>
      </c>
      <c r="T1090" s="10">
        <v>0</v>
      </c>
      <c r="U1090" s="14">
        <v>0</v>
      </c>
      <c r="V1090" s="10"/>
      <c r="W1090" s="11">
        <v>2</v>
      </c>
      <c r="X1090" s="11">
        <v>2</v>
      </c>
      <c r="Y1090" s="11">
        <v>0</v>
      </c>
      <c r="Z1090" s="11">
        <v>0</v>
      </c>
      <c r="AA1090" s="11">
        <f>MasterTable[[#This Row],[Landings
Night]]+MasterTable[[#This Row],[Landings
Day]]</f>
        <v>2</v>
      </c>
      <c r="AB1090" s="10">
        <v>0</v>
      </c>
      <c r="AC1090" s="10">
        <v>0.9</v>
      </c>
      <c r="AD1090" s="11">
        <v>0</v>
      </c>
      <c r="AE1090" s="21">
        <f>SUM(MasterTable[[#This Row],[ILS]:[PAR]])</f>
        <v>0</v>
      </c>
      <c r="AL1090" s="11"/>
      <c r="AR1090" s="140" t="str">
        <f>_xlfn.XLOOKUP(MasterTable[[#This Row],[Aircraft ID]],Aircraft!A:A,Aircraft!H:H)</f>
        <v>Airplane Single Engine Land</v>
      </c>
      <c r="AS1090" s="8" t="b">
        <f>OR((SUM(MasterTable[[#This Row],[ILS]:[PAR]]) = MasterTable[[#This Row],[APPR]]))</f>
        <v>1</v>
      </c>
      <c r="AT1090" s="8" t="b">
        <f>NOT(ISBLANK(MasterTable[[#This Row],[Total
Time]]))</f>
        <v>1</v>
      </c>
    </row>
    <row r="1091" spans="4:46" ht="28.8" x14ac:dyDescent="0.3">
      <c r="D1091" s="22">
        <v>42315</v>
      </c>
      <c r="E1091" s="8" t="s">
        <v>174</v>
      </c>
      <c r="F1091" s="8" t="s">
        <v>202</v>
      </c>
      <c r="G1091" s="8" t="s">
        <v>358</v>
      </c>
      <c r="I1091" s="10">
        <v>2.2999999999999998</v>
      </c>
      <c r="J1091" s="10">
        <v>2.2999999999999998</v>
      </c>
      <c r="L1091" s="10">
        <v>0</v>
      </c>
      <c r="M1091" s="13">
        <v>0</v>
      </c>
      <c r="N1091" s="13"/>
      <c r="O1091" s="10">
        <v>0</v>
      </c>
      <c r="P1091" s="10">
        <v>0</v>
      </c>
      <c r="Q1091" s="14">
        <v>0</v>
      </c>
      <c r="R1091" s="14">
        <v>0</v>
      </c>
      <c r="S1091" s="10">
        <v>0</v>
      </c>
      <c r="T1091" s="10">
        <v>2.2999999999999998</v>
      </c>
      <c r="U1091" s="14">
        <v>0</v>
      </c>
      <c r="V1091" s="10"/>
      <c r="W1091" s="11">
        <v>2</v>
      </c>
      <c r="X1091" s="11">
        <v>2</v>
      </c>
      <c r="Y1091" s="11">
        <v>0</v>
      </c>
      <c r="Z1091" s="11">
        <v>0</v>
      </c>
      <c r="AA1091" s="11">
        <f>MasterTable[[#This Row],[Landings
Night]]+MasterTable[[#This Row],[Landings
Day]]</f>
        <v>2</v>
      </c>
      <c r="AB1091" s="10">
        <v>0</v>
      </c>
      <c r="AC1091" s="10">
        <v>0</v>
      </c>
      <c r="AD1091" s="11">
        <v>0</v>
      </c>
      <c r="AE1091" s="21">
        <f>SUM(MasterTable[[#This Row],[ILS]:[PAR]])</f>
        <v>0</v>
      </c>
      <c r="AL1091" s="11"/>
      <c r="AR1091" s="140" t="str">
        <f>_xlfn.XLOOKUP(MasterTable[[#This Row],[Aircraft ID]],Aircraft!A:A,Aircraft!H:H)</f>
        <v>Airplane Single Engine Land</v>
      </c>
      <c r="AS1091" s="8" t="b">
        <f>OR((SUM(MasterTable[[#This Row],[ILS]:[PAR]]) = MasterTable[[#This Row],[APPR]]))</f>
        <v>1</v>
      </c>
      <c r="AT1091" s="8" t="b">
        <f>NOT(ISBLANK(MasterTable[[#This Row],[Total
Time]]))</f>
        <v>1</v>
      </c>
    </row>
    <row r="1092" spans="4:46" ht="28.8" x14ac:dyDescent="0.3">
      <c r="D1092" s="22">
        <v>42308</v>
      </c>
      <c r="E1092" s="8" t="s">
        <v>174</v>
      </c>
      <c r="F1092" s="8" t="s">
        <v>202</v>
      </c>
      <c r="G1092" s="8" t="s">
        <v>293</v>
      </c>
      <c r="I1092" s="10">
        <v>1.2</v>
      </c>
      <c r="J1092" s="10">
        <v>1.2</v>
      </c>
      <c r="L1092" s="10">
        <v>0</v>
      </c>
      <c r="M1092" s="13">
        <v>0</v>
      </c>
      <c r="N1092" s="13"/>
      <c r="O1092" s="10">
        <v>0</v>
      </c>
      <c r="P1092" s="10">
        <v>0</v>
      </c>
      <c r="Q1092" s="14">
        <v>0</v>
      </c>
      <c r="R1092" s="14">
        <v>0</v>
      </c>
      <c r="S1092" s="10">
        <v>0</v>
      </c>
      <c r="T1092" s="10">
        <v>0</v>
      </c>
      <c r="U1092" s="14">
        <v>0</v>
      </c>
      <c r="V1092" s="10"/>
      <c r="W1092" s="11">
        <v>2</v>
      </c>
      <c r="X1092" s="11">
        <v>2</v>
      </c>
      <c r="Y1092" s="11">
        <v>0</v>
      </c>
      <c r="Z1092" s="11">
        <v>0</v>
      </c>
      <c r="AA1092" s="11">
        <f>MasterTable[[#This Row],[Landings
Night]]+MasterTable[[#This Row],[Landings
Day]]</f>
        <v>2</v>
      </c>
      <c r="AB1092" s="10">
        <v>0</v>
      </c>
      <c r="AC1092" s="10">
        <v>0</v>
      </c>
      <c r="AD1092" s="11">
        <v>0</v>
      </c>
      <c r="AE1092" s="21">
        <f>SUM(MasterTable[[#This Row],[ILS]:[PAR]])</f>
        <v>0</v>
      </c>
      <c r="AL1092" s="11"/>
      <c r="AR1092" s="140" t="str">
        <f>_xlfn.XLOOKUP(MasterTable[[#This Row],[Aircraft ID]],Aircraft!A:A,Aircraft!H:H)</f>
        <v>Airplane Single Engine Land</v>
      </c>
      <c r="AS1092" s="8" t="b">
        <f>OR((SUM(MasterTable[[#This Row],[ILS]:[PAR]]) = MasterTable[[#This Row],[APPR]]))</f>
        <v>1</v>
      </c>
      <c r="AT1092" s="8" t="b">
        <f>NOT(ISBLANK(MasterTable[[#This Row],[Total
Time]]))</f>
        <v>1</v>
      </c>
    </row>
    <row r="1093" spans="4:46" ht="28.8" x14ac:dyDescent="0.3">
      <c r="D1093" s="22">
        <v>42302</v>
      </c>
      <c r="E1093" s="8" t="s">
        <v>174</v>
      </c>
      <c r="F1093" s="8" t="s">
        <v>202</v>
      </c>
      <c r="G1093" s="8" t="s">
        <v>273</v>
      </c>
      <c r="I1093" s="10">
        <v>2.1</v>
      </c>
      <c r="J1093" s="10">
        <v>2.1</v>
      </c>
      <c r="L1093" s="10">
        <v>0</v>
      </c>
      <c r="M1093" s="13">
        <v>0</v>
      </c>
      <c r="N1093" s="13"/>
      <c r="O1093" s="10">
        <v>0</v>
      </c>
      <c r="P1093" s="10">
        <v>0</v>
      </c>
      <c r="Q1093" s="14">
        <v>0</v>
      </c>
      <c r="R1093" s="14">
        <v>0</v>
      </c>
      <c r="S1093" s="10">
        <v>0</v>
      </c>
      <c r="T1093" s="10">
        <v>2.1</v>
      </c>
      <c r="U1093" s="14">
        <v>0</v>
      </c>
      <c r="V1093" s="10"/>
      <c r="W1093" s="11">
        <v>2</v>
      </c>
      <c r="X1093" s="11">
        <v>2</v>
      </c>
      <c r="Y1093" s="11">
        <v>0</v>
      </c>
      <c r="Z1093" s="11">
        <v>0</v>
      </c>
      <c r="AA1093" s="11">
        <f>MasterTable[[#This Row],[Landings
Night]]+MasterTable[[#This Row],[Landings
Day]]</f>
        <v>2</v>
      </c>
      <c r="AB1093" s="10">
        <v>0</v>
      </c>
      <c r="AC1093" s="10">
        <v>0</v>
      </c>
      <c r="AD1093" s="11">
        <v>0</v>
      </c>
      <c r="AE1093" s="21">
        <f>SUM(MasterTable[[#This Row],[ILS]:[PAR]])</f>
        <v>0</v>
      </c>
      <c r="AL1093" s="11"/>
      <c r="AR1093" s="140" t="str">
        <f>_xlfn.XLOOKUP(MasterTable[[#This Row],[Aircraft ID]],Aircraft!A:A,Aircraft!H:H)</f>
        <v>Airplane Single Engine Land</v>
      </c>
      <c r="AS1093" s="8" t="b">
        <f>OR((SUM(MasterTable[[#This Row],[ILS]:[PAR]]) = MasterTable[[#This Row],[APPR]]))</f>
        <v>1</v>
      </c>
      <c r="AT1093" s="8" t="b">
        <f>NOT(ISBLANK(MasterTable[[#This Row],[Total
Time]]))</f>
        <v>1</v>
      </c>
    </row>
    <row r="1094" spans="4:46" ht="28.8" x14ac:dyDescent="0.3">
      <c r="D1094" s="22">
        <v>42295</v>
      </c>
      <c r="E1094" s="8" t="s">
        <v>174</v>
      </c>
      <c r="F1094" s="8" t="s">
        <v>202</v>
      </c>
      <c r="G1094" s="8" t="s">
        <v>293</v>
      </c>
      <c r="I1094" s="10">
        <v>2.2999999999999998</v>
      </c>
      <c r="J1094" s="10">
        <v>2.2999999999999998</v>
      </c>
      <c r="L1094" s="10">
        <v>0</v>
      </c>
      <c r="M1094" s="13">
        <v>0</v>
      </c>
      <c r="N1094" s="13"/>
      <c r="O1094" s="10">
        <v>0</v>
      </c>
      <c r="P1094" s="10">
        <v>0</v>
      </c>
      <c r="Q1094" s="14">
        <v>0</v>
      </c>
      <c r="R1094" s="14">
        <v>0</v>
      </c>
      <c r="S1094" s="10">
        <v>0</v>
      </c>
      <c r="T1094" s="10">
        <v>0</v>
      </c>
      <c r="U1094" s="14">
        <v>0</v>
      </c>
      <c r="V1094" s="10"/>
      <c r="W1094" s="11">
        <v>3</v>
      </c>
      <c r="X1094" s="11">
        <v>3</v>
      </c>
      <c r="Y1094" s="11">
        <v>0</v>
      </c>
      <c r="Z1094" s="11">
        <v>0</v>
      </c>
      <c r="AA1094" s="11">
        <f>MasterTable[[#This Row],[Landings
Night]]+MasterTable[[#This Row],[Landings
Day]]</f>
        <v>3</v>
      </c>
      <c r="AB1094" s="10">
        <v>0</v>
      </c>
      <c r="AC1094" s="10">
        <v>0</v>
      </c>
      <c r="AD1094" s="11">
        <v>0</v>
      </c>
      <c r="AE1094" s="21">
        <f>SUM(MasterTable[[#This Row],[ILS]:[PAR]])</f>
        <v>0</v>
      </c>
      <c r="AL1094" s="11"/>
      <c r="AR1094" s="140" t="str">
        <f>_xlfn.XLOOKUP(MasterTable[[#This Row],[Aircraft ID]],Aircraft!A:A,Aircraft!H:H)</f>
        <v>Airplane Single Engine Land</v>
      </c>
      <c r="AS1094" s="8" t="b">
        <f>OR((SUM(MasterTable[[#This Row],[ILS]:[PAR]]) = MasterTable[[#This Row],[APPR]]))</f>
        <v>1</v>
      </c>
      <c r="AT1094" s="8" t="b">
        <f>NOT(ISBLANK(MasterTable[[#This Row],[Total
Time]]))</f>
        <v>1</v>
      </c>
    </row>
    <row r="1095" spans="4:46" ht="28.8" x14ac:dyDescent="0.3">
      <c r="D1095" s="22">
        <v>42283</v>
      </c>
      <c r="E1095" s="8" t="s">
        <v>72</v>
      </c>
      <c r="F1095" s="8" t="s">
        <v>293</v>
      </c>
      <c r="G1095" s="8" t="s">
        <v>303</v>
      </c>
      <c r="J1095" s="10">
        <v>0</v>
      </c>
      <c r="L1095" s="10">
        <v>0</v>
      </c>
      <c r="M1095" s="13">
        <v>0</v>
      </c>
      <c r="N1095" s="13"/>
      <c r="O1095" s="10">
        <v>0</v>
      </c>
      <c r="P1095" s="10">
        <v>0</v>
      </c>
      <c r="Q1095" s="14">
        <v>0</v>
      </c>
      <c r="R1095" s="14">
        <v>0</v>
      </c>
      <c r="S1095" s="10">
        <v>0</v>
      </c>
      <c r="T1095" s="10">
        <v>0</v>
      </c>
      <c r="U1095" s="14">
        <v>0</v>
      </c>
      <c r="V1095" s="10"/>
      <c r="W1095" s="11">
        <v>2</v>
      </c>
      <c r="X1095" s="11">
        <v>2</v>
      </c>
      <c r="Y1095" s="11">
        <v>0</v>
      </c>
      <c r="Z1095" s="11">
        <v>0</v>
      </c>
      <c r="AA1095" s="11">
        <f>MasterTable[[#This Row],[Landings
Night]]+MasterTable[[#This Row],[Landings
Day]]</f>
        <v>2</v>
      </c>
      <c r="AB1095" s="10">
        <v>0</v>
      </c>
      <c r="AC1095" s="10">
        <v>0</v>
      </c>
      <c r="AD1095" s="11">
        <v>0</v>
      </c>
      <c r="AE1095" s="21">
        <f>SUM(MasterTable[[#This Row],[ILS]:[PAR]])</f>
        <v>0</v>
      </c>
      <c r="AL1095" s="11"/>
      <c r="AR1095" s="140" t="str">
        <f>_xlfn.XLOOKUP(MasterTable[[#This Row],[Aircraft ID]],Aircraft!A:A,Aircraft!H:H)</f>
        <v>Airplane Multi Engine Land</v>
      </c>
      <c r="AS1095" s="8" t="b">
        <f>OR((SUM(MasterTable[[#This Row],[ILS]:[PAR]]) = MasterTable[[#This Row],[APPR]]))</f>
        <v>1</v>
      </c>
      <c r="AT1095" s="8" t="b">
        <f>NOT(ISBLANK(MasterTable[[#This Row],[Total
Time]]))</f>
        <v>0</v>
      </c>
    </row>
    <row r="1096" spans="4:46" ht="28.8" x14ac:dyDescent="0.3">
      <c r="D1096" s="22">
        <v>42283</v>
      </c>
      <c r="E1096" s="8" t="s">
        <v>174</v>
      </c>
      <c r="F1096" s="8" t="s">
        <v>359</v>
      </c>
      <c r="G1096" s="8" t="s">
        <v>202</v>
      </c>
      <c r="I1096" s="10">
        <v>1</v>
      </c>
      <c r="J1096" s="10">
        <v>1</v>
      </c>
      <c r="L1096" s="10">
        <v>0</v>
      </c>
      <c r="M1096" s="13">
        <v>0</v>
      </c>
      <c r="N1096" s="13"/>
      <c r="O1096" s="10">
        <v>0</v>
      </c>
      <c r="P1096" s="10">
        <v>0</v>
      </c>
      <c r="Q1096" s="14">
        <v>0</v>
      </c>
      <c r="R1096" s="14">
        <v>0</v>
      </c>
      <c r="S1096" s="10">
        <v>0</v>
      </c>
      <c r="T1096" s="10">
        <v>1</v>
      </c>
      <c r="U1096" s="14">
        <v>0</v>
      </c>
      <c r="V1096" s="10"/>
      <c r="W1096" s="11">
        <v>1</v>
      </c>
      <c r="X1096" s="11">
        <v>1</v>
      </c>
      <c r="Y1096" s="11">
        <v>0</v>
      </c>
      <c r="Z1096" s="11">
        <v>0</v>
      </c>
      <c r="AA1096" s="11">
        <f>MasterTable[[#This Row],[Landings
Night]]+MasterTable[[#This Row],[Landings
Day]]</f>
        <v>1</v>
      </c>
      <c r="AB1096" s="10">
        <v>0</v>
      </c>
      <c r="AC1096" s="10">
        <v>0</v>
      </c>
      <c r="AD1096" s="11">
        <v>0</v>
      </c>
      <c r="AE1096" s="21">
        <f>SUM(MasterTable[[#This Row],[ILS]:[PAR]])</f>
        <v>0</v>
      </c>
      <c r="AL1096" s="11"/>
      <c r="AR1096" s="140" t="str">
        <f>_xlfn.XLOOKUP(MasterTable[[#This Row],[Aircraft ID]],Aircraft!A:A,Aircraft!H:H)</f>
        <v>Airplane Single Engine Land</v>
      </c>
      <c r="AS1096" s="8" t="b">
        <f>OR((SUM(MasterTable[[#This Row],[ILS]:[PAR]]) = MasterTable[[#This Row],[APPR]]))</f>
        <v>1</v>
      </c>
      <c r="AT1096" s="8" t="b">
        <f>NOT(ISBLANK(MasterTable[[#This Row],[Total
Time]]))</f>
        <v>1</v>
      </c>
    </row>
    <row r="1097" spans="4:46" ht="28.8" x14ac:dyDescent="0.3">
      <c r="D1097" s="22">
        <v>42283</v>
      </c>
      <c r="E1097" s="8" t="s">
        <v>174</v>
      </c>
      <c r="F1097" s="8" t="s">
        <v>359</v>
      </c>
      <c r="G1097" s="8" t="s">
        <v>359</v>
      </c>
      <c r="I1097" s="10">
        <v>1.3</v>
      </c>
      <c r="J1097" s="10">
        <v>1.3</v>
      </c>
      <c r="L1097" s="10">
        <v>0</v>
      </c>
      <c r="M1097" s="13">
        <v>0</v>
      </c>
      <c r="N1097" s="13"/>
      <c r="O1097" s="10">
        <v>0</v>
      </c>
      <c r="P1097" s="10">
        <v>0</v>
      </c>
      <c r="Q1097" s="14">
        <v>0</v>
      </c>
      <c r="R1097" s="14">
        <v>0</v>
      </c>
      <c r="S1097" s="10">
        <v>0</v>
      </c>
      <c r="T1097" s="10">
        <v>0</v>
      </c>
      <c r="U1097" s="14">
        <v>0</v>
      </c>
      <c r="V1097" s="10"/>
      <c r="W1097" s="11">
        <v>4</v>
      </c>
      <c r="X1097" s="11">
        <v>4</v>
      </c>
      <c r="Y1097" s="11">
        <v>0</v>
      </c>
      <c r="Z1097" s="11">
        <v>0</v>
      </c>
      <c r="AA1097" s="11">
        <f>MasterTable[[#This Row],[Landings
Night]]+MasterTable[[#This Row],[Landings
Day]]</f>
        <v>4</v>
      </c>
      <c r="AB1097" s="10">
        <v>0</v>
      </c>
      <c r="AC1097" s="10">
        <v>0</v>
      </c>
      <c r="AD1097" s="11">
        <v>0</v>
      </c>
      <c r="AE1097" s="21">
        <f>SUM(MasterTable[[#This Row],[ILS]:[PAR]])</f>
        <v>0</v>
      </c>
      <c r="AL1097" s="11"/>
      <c r="AN1097" s="27" t="b">
        <v>1</v>
      </c>
      <c r="AP1097" s="27" t="b">
        <v>1</v>
      </c>
      <c r="AR1097" s="140" t="str">
        <f>_xlfn.XLOOKUP(MasterTable[[#This Row],[Aircraft ID]],Aircraft!A:A,Aircraft!H:H)</f>
        <v>Airplane Single Engine Land</v>
      </c>
      <c r="AS1097" s="8" t="b">
        <f>OR((SUM(MasterTable[[#This Row],[ILS]:[PAR]]) = MasterTable[[#This Row],[APPR]]))</f>
        <v>1</v>
      </c>
      <c r="AT1097" s="8" t="b">
        <f>NOT(ISBLANK(MasterTable[[#This Row],[Total
Time]]))</f>
        <v>1</v>
      </c>
    </row>
    <row r="1098" spans="4:46" ht="28.8" x14ac:dyDescent="0.3">
      <c r="D1098" s="22">
        <v>42282</v>
      </c>
      <c r="E1098" s="8" t="s">
        <v>174</v>
      </c>
      <c r="F1098" s="8" t="s">
        <v>202</v>
      </c>
      <c r="G1098" s="8" t="s">
        <v>359</v>
      </c>
      <c r="I1098" s="10">
        <v>2.2999999999999998</v>
      </c>
      <c r="J1098" s="10">
        <v>0</v>
      </c>
      <c r="L1098" s="10">
        <v>0</v>
      </c>
      <c r="M1098" s="13">
        <v>0</v>
      </c>
      <c r="N1098" s="13"/>
      <c r="O1098" s="10">
        <v>0</v>
      </c>
      <c r="P1098" s="10">
        <v>2.2999999999999998</v>
      </c>
      <c r="Q1098" s="14">
        <v>0</v>
      </c>
      <c r="R1098" s="14">
        <v>0</v>
      </c>
      <c r="S1098" s="10">
        <v>0</v>
      </c>
      <c r="T1098" s="10">
        <v>2.2999999999999998</v>
      </c>
      <c r="U1098" s="14">
        <v>0</v>
      </c>
      <c r="V1098" s="10"/>
      <c r="W1098" s="11">
        <v>9</v>
      </c>
      <c r="X1098" s="11">
        <v>9</v>
      </c>
      <c r="Y1098" s="11">
        <v>0</v>
      </c>
      <c r="Z1098" s="11">
        <v>0</v>
      </c>
      <c r="AA1098" s="11">
        <f>MasterTable[[#This Row],[Landings
Night]]+MasterTable[[#This Row],[Landings
Day]]</f>
        <v>9</v>
      </c>
      <c r="AB1098" s="10">
        <v>0</v>
      </c>
      <c r="AC1098" s="10">
        <v>0</v>
      </c>
      <c r="AD1098" s="11">
        <v>0</v>
      </c>
      <c r="AE1098" s="21">
        <f>SUM(MasterTable[[#This Row],[ILS]:[PAR]])</f>
        <v>0</v>
      </c>
      <c r="AL1098" s="11"/>
      <c r="AR1098" s="140" t="str">
        <f>_xlfn.XLOOKUP(MasterTable[[#This Row],[Aircraft ID]],Aircraft!A:A,Aircraft!H:H)</f>
        <v>Airplane Single Engine Land</v>
      </c>
      <c r="AS1098" s="8" t="b">
        <f>OR((SUM(MasterTable[[#This Row],[ILS]:[PAR]]) = MasterTable[[#This Row],[APPR]]))</f>
        <v>1</v>
      </c>
      <c r="AT1098" s="8" t="b">
        <f>NOT(ISBLANK(MasterTable[[#This Row],[Total
Time]]))</f>
        <v>1</v>
      </c>
    </row>
    <row r="1099" spans="4:46" ht="28.8" x14ac:dyDescent="0.3">
      <c r="D1099" s="22">
        <v>42281</v>
      </c>
      <c r="E1099" s="8" t="s">
        <v>174</v>
      </c>
      <c r="F1099" s="8" t="s">
        <v>344</v>
      </c>
      <c r="G1099" s="8" t="s">
        <v>202</v>
      </c>
      <c r="I1099" s="10">
        <v>0.6</v>
      </c>
      <c r="J1099" s="10">
        <v>0.6</v>
      </c>
      <c r="L1099" s="10">
        <v>0</v>
      </c>
      <c r="M1099" s="13">
        <v>0</v>
      </c>
      <c r="N1099" s="13"/>
      <c r="O1099" s="10">
        <v>0</v>
      </c>
      <c r="P1099" s="10">
        <v>0</v>
      </c>
      <c r="Q1099" s="14">
        <v>0</v>
      </c>
      <c r="R1099" s="14">
        <v>0</v>
      </c>
      <c r="S1099" s="10">
        <v>0</v>
      </c>
      <c r="T1099" s="10">
        <v>0</v>
      </c>
      <c r="U1099" s="14">
        <v>0</v>
      </c>
      <c r="V1099" s="10"/>
      <c r="W1099" s="11">
        <v>1</v>
      </c>
      <c r="X1099" s="11">
        <v>1</v>
      </c>
      <c r="Y1099" s="11">
        <v>0</v>
      </c>
      <c r="Z1099" s="11">
        <v>0</v>
      </c>
      <c r="AA1099" s="11">
        <f>MasterTable[[#This Row],[Landings
Night]]+MasterTable[[#This Row],[Landings
Day]]</f>
        <v>1</v>
      </c>
      <c r="AB1099" s="10">
        <v>0</v>
      </c>
      <c r="AC1099" s="10">
        <v>0</v>
      </c>
      <c r="AD1099" s="11">
        <v>0</v>
      </c>
      <c r="AE1099" s="21">
        <f>SUM(MasterTable[[#This Row],[ILS]:[PAR]])</f>
        <v>0</v>
      </c>
      <c r="AL1099" s="11"/>
      <c r="AR1099" s="140" t="str">
        <f>_xlfn.XLOOKUP(MasterTable[[#This Row],[Aircraft ID]],Aircraft!A:A,Aircraft!H:H)</f>
        <v>Airplane Single Engine Land</v>
      </c>
      <c r="AS1099" s="8" t="b">
        <f>OR((SUM(MasterTable[[#This Row],[ILS]:[PAR]]) = MasterTable[[#This Row],[APPR]]))</f>
        <v>1</v>
      </c>
      <c r="AT1099" s="8" t="b">
        <f>NOT(ISBLANK(MasterTable[[#This Row],[Total
Time]]))</f>
        <v>1</v>
      </c>
    </row>
    <row r="1100" spans="4:46" ht="28.8" x14ac:dyDescent="0.3">
      <c r="D1100" s="22">
        <v>42281</v>
      </c>
      <c r="E1100" s="8" t="s">
        <v>174</v>
      </c>
      <c r="F1100" s="8" t="s">
        <v>344</v>
      </c>
      <c r="G1100" s="8" t="s">
        <v>344</v>
      </c>
      <c r="I1100" s="10">
        <v>1.7</v>
      </c>
      <c r="J1100" s="10">
        <v>0</v>
      </c>
      <c r="L1100" s="10">
        <v>0</v>
      </c>
      <c r="M1100" s="13">
        <v>0</v>
      </c>
      <c r="N1100" s="13"/>
      <c r="O1100" s="10">
        <v>0</v>
      </c>
      <c r="P1100" s="10">
        <v>1.7</v>
      </c>
      <c r="Q1100" s="14">
        <v>0</v>
      </c>
      <c r="R1100" s="14">
        <v>0</v>
      </c>
      <c r="S1100" s="10">
        <v>0</v>
      </c>
      <c r="T1100" s="10">
        <v>0</v>
      </c>
      <c r="U1100" s="14">
        <v>0</v>
      </c>
      <c r="V1100" s="10"/>
      <c r="W1100" s="11">
        <v>5</v>
      </c>
      <c r="X1100" s="11">
        <v>5</v>
      </c>
      <c r="Y1100" s="11">
        <v>0</v>
      </c>
      <c r="Z1100" s="11">
        <v>0</v>
      </c>
      <c r="AA1100" s="11">
        <f>MasterTable[[#This Row],[Landings
Night]]+MasterTable[[#This Row],[Landings
Day]]</f>
        <v>5</v>
      </c>
      <c r="AB1100" s="10">
        <v>0</v>
      </c>
      <c r="AC1100" s="10">
        <v>0</v>
      </c>
      <c r="AD1100" s="11">
        <v>0</v>
      </c>
      <c r="AE1100" s="21">
        <f>SUM(MasterTable[[#This Row],[ILS]:[PAR]])</f>
        <v>0</v>
      </c>
      <c r="AL1100" s="11"/>
      <c r="AR1100" s="140" t="str">
        <f>_xlfn.XLOOKUP(MasterTable[[#This Row],[Aircraft ID]],Aircraft!A:A,Aircraft!H:H)</f>
        <v>Airplane Single Engine Land</v>
      </c>
      <c r="AS1100" s="8" t="b">
        <f>OR((SUM(MasterTable[[#This Row],[ILS]:[PAR]]) = MasterTable[[#This Row],[APPR]]))</f>
        <v>1</v>
      </c>
      <c r="AT1100" s="8" t="b">
        <f>NOT(ISBLANK(MasterTable[[#This Row],[Total
Time]]))</f>
        <v>1</v>
      </c>
    </row>
    <row r="1101" spans="4:46" ht="28.8" x14ac:dyDescent="0.3">
      <c r="D1101" s="22">
        <v>42280</v>
      </c>
      <c r="E1101" s="8" t="s">
        <v>174</v>
      </c>
      <c r="F1101" s="8" t="s">
        <v>202</v>
      </c>
      <c r="G1101" s="8" t="s">
        <v>344</v>
      </c>
      <c r="I1101" s="10">
        <v>0.5</v>
      </c>
      <c r="J1101" s="10">
        <v>0.5</v>
      </c>
      <c r="L1101" s="10">
        <v>0</v>
      </c>
      <c r="M1101" s="13">
        <v>0</v>
      </c>
      <c r="N1101" s="13"/>
      <c r="O1101" s="10">
        <v>0</v>
      </c>
      <c r="P1101" s="10">
        <v>0</v>
      </c>
      <c r="Q1101" s="14">
        <v>0</v>
      </c>
      <c r="R1101" s="14">
        <v>0</v>
      </c>
      <c r="S1101" s="10">
        <v>0</v>
      </c>
      <c r="T1101" s="10">
        <v>0</v>
      </c>
      <c r="U1101" s="14">
        <v>0</v>
      </c>
      <c r="V1101" s="10"/>
      <c r="W1101" s="11">
        <v>1</v>
      </c>
      <c r="X1101" s="11">
        <v>1</v>
      </c>
      <c r="Y1101" s="11">
        <v>0</v>
      </c>
      <c r="Z1101" s="11">
        <v>0</v>
      </c>
      <c r="AA1101" s="11">
        <f>MasterTable[[#This Row],[Landings
Night]]+MasterTable[[#This Row],[Landings
Day]]</f>
        <v>1</v>
      </c>
      <c r="AB1101" s="10">
        <v>0</v>
      </c>
      <c r="AC1101" s="10">
        <v>0</v>
      </c>
      <c r="AD1101" s="11">
        <v>0</v>
      </c>
      <c r="AE1101" s="21">
        <f>SUM(MasterTable[[#This Row],[ILS]:[PAR]])</f>
        <v>0</v>
      </c>
      <c r="AL1101" s="11"/>
      <c r="AR1101" s="140" t="str">
        <f>_xlfn.XLOOKUP(MasterTable[[#This Row],[Aircraft ID]],Aircraft!A:A,Aircraft!H:H)</f>
        <v>Airplane Single Engine Land</v>
      </c>
      <c r="AS1101" s="8" t="b">
        <f>OR((SUM(MasterTable[[#This Row],[ILS]:[PAR]]) = MasterTable[[#This Row],[APPR]]))</f>
        <v>1</v>
      </c>
      <c r="AT1101" s="8" t="b">
        <f>NOT(ISBLANK(MasterTable[[#This Row],[Total
Time]]))</f>
        <v>1</v>
      </c>
    </row>
    <row r="1102" spans="4:46" ht="28.8" x14ac:dyDescent="0.3">
      <c r="D1102" s="22">
        <v>42280</v>
      </c>
      <c r="E1102" s="8" t="s">
        <v>174</v>
      </c>
      <c r="F1102" s="8" t="s">
        <v>344</v>
      </c>
      <c r="G1102" s="8" t="s">
        <v>344</v>
      </c>
      <c r="I1102" s="10">
        <v>1.1000000000000001</v>
      </c>
      <c r="J1102" s="10">
        <v>0</v>
      </c>
      <c r="L1102" s="10">
        <v>0</v>
      </c>
      <c r="M1102" s="13">
        <v>0</v>
      </c>
      <c r="N1102" s="13"/>
      <c r="O1102" s="10">
        <v>0</v>
      </c>
      <c r="P1102" s="10">
        <v>1.1000000000000001</v>
      </c>
      <c r="Q1102" s="14">
        <v>0</v>
      </c>
      <c r="R1102" s="14">
        <v>0</v>
      </c>
      <c r="S1102" s="10">
        <v>0</v>
      </c>
      <c r="T1102" s="10">
        <v>0</v>
      </c>
      <c r="U1102" s="14">
        <v>0</v>
      </c>
      <c r="V1102" s="10"/>
      <c r="W1102" s="11">
        <v>1</v>
      </c>
      <c r="X1102" s="11">
        <v>1</v>
      </c>
      <c r="Y1102" s="11">
        <v>0</v>
      </c>
      <c r="Z1102" s="11">
        <v>0</v>
      </c>
      <c r="AA1102" s="11">
        <f>MasterTable[[#This Row],[Landings
Night]]+MasterTable[[#This Row],[Landings
Day]]</f>
        <v>1</v>
      </c>
      <c r="AB1102" s="10">
        <v>0</v>
      </c>
      <c r="AC1102" s="10">
        <v>0.2</v>
      </c>
      <c r="AD1102" s="11">
        <v>0</v>
      </c>
      <c r="AE1102" s="21">
        <f>SUM(MasterTable[[#This Row],[ILS]:[PAR]])</f>
        <v>0</v>
      </c>
      <c r="AL1102" s="11"/>
      <c r="AR1102" s="140" t="str">
        <f>_xlfn.XLOOKUP(MasterTable[[#This Row],[Aircraft ID]],Aircraft!A:A,Aircraft!H:H)</f>
        <v>Airplane Single Engine Land</v>
      </c>
      <c r="AS1102" s="8" t="b">
        <f>OR((SUM(MasterTable[[#This Row],[ILS]:[PAR]]) = MasterTable[[#This Row],[APPR]]))</f>
        <v>1</v>
      </c>
      <c r="AT1102" s="8" t="b">
        <f>NOT(ISBLANK(MasterTable[[#This Row],[Total
Time]]))</f>
        <v>1</v>
      </c>
    </row>
    <row r="1103" spans="4:46" ht="28.8" x14ac:dyDescent="0.3">
      <c r="D1103" s="22">
        <v>42276</v>
      </c>
      <c r="E1103" s="8" t="s">
        <v>174</v>
      </c>
      <c r="F1103" s="8" t="s">
        <v>202</v>
      </c>
      <c r="G1103" s="8" t="s">
        <v>202</v>
      </c>
      <c r="H1103" s="8" t="s">
        <v>202</v>
      </c>
      <c r="I1103" s="10">
        <v>1.1000000000000001</v>
      </c>
      <c r="J1103" s="10">
        <v>0</v>
      </c>
      <c r="L1103" s="10">
        <v>0</v>
      </c>
      <c r="M1103" s="13">
        <v>0</v>
      </c>
      <c r="N1103" s="13"/>
      <c r="O1103" s="10">
        <v>0</v>
      </c>
      <c r="P1103" s="10">
        <v>1.1000000000000001</v>
      </c>
      <c r="Q1103" s="14">
        <v>0</v>
      </c>
      <c r="R1103" s="14">
        <v>0</v>
      </c>
      <c r="S1103" s="10">
        <v>0</v>
      </c>
      <c r="T1103" s="10">
        <v>0</v>
      </c>
      <c r="U1103" s="14">
        <v>0</v>
      </c>
      <c r="V1103" s="10"/>
      <c r="W1103" s="11">
        <v>3</v>
      </c>
      <c r="X1103" s="11">
        <v>3</v>
      </c>
      <c r="Y1103" s="11">
        <v>0</v>
      </c>
      <c r="Z1103" s="11">
        <v>0</v>
      </c>
      <c r="AA1103" s="11">
        <f>MasterTable[[#This Row],[Landings
Night]]+MasterTable[[#This Row],[Landings
Day]]</f>
        <v>3</v>
      </c>
      <c r="AB1103" s="10">
        <v>0</v>
      </c>
      <c r="AC1103" s="10">
        <v>0.6</v>
      </c>
      <c r="AD1103" s="11">
        <v>0</v>
      </c>
      <c r="AE1103" s="21">
        <f>SUM(MasterTable[[#This Row],[ILS]:[PAR]])</f>
        <v>0</v>
      </c>
      <c r="AL1103" s="11"/>
      <c r="AR1103" s="140" t="str">
        <f>_xlfn.XLOOKUP(MasterTable[[#This Row],[Aircraft ID]],Aircraft!A:A,Aircraft!H:H)</f>
        <v>Airplane Single Engine Land</v>
      </c>
      <c r="AS1103" s="8" t="b">
        <f>OR((SUM(MasterTable[[#This Row],[ILS]:[PAR]]) = MasterTable[[#This Row],[APPR]]))</f>
        <v>1</v>
      </c>
      <c r="AT1103" s="8" t="b">
        <f>NOT(ISBLANK(MasterTable[[#This Row],[Total
Time]]))</f>
        <v>1</v>
      </c>
    </row>
    <row r="1104" spans="4:46" ht="28.8" x14ac:dyDescent="0.3">
      <c r="D1104" s="22">
        <v>42271</v>
      </c>
      <c r="E1104" s="8" t="s">
        <v>174</v>
      </c>
      <c r="F1104" s="8" t="s">
        <v>202</v>
      </c>
      <c r="G1104" s="8" t="s">
        <v>211</v>
      </c>
      <c r="H1104" s="8" t="s">
        <v>360</v>
      </c>
      <c r="I1104" s="10">
        <v>3.2</v>
      </c>
      <c r="J1104" s="10">
        <v>3.2</v>
      </c>
      <c r="L1104" s="10">
        <v>0</v>
      </c>
      <c r="M1104" s="13">
        <v>0</v>
      </c>
      <c r="N1104" s="13"/>
      <c r="O1104" s="10">
        <v>0</v>
      </c>
      <c r="P1104" s="10">
        <v>0</v>
      </c>
      <c r="Q1104" s="14">
        <v>0</v>
      </c>
      <c r="R1104" s="14">
        <v>0</v>
      </c>
      <c r="S1104" s="10">
        <v>0</v>
      </c>
      <c r="T1104" s="10">
        <v>3.2</v>
      </c>
      <c r="U1104" s="14">
        <v>0</v>
      </c>
      <c r="V1104" s="10"/>
      <c r="W1104" s="11">
        <v>3</v>
      </c>
      <c r="X1104" s="11">
        <v>3</v>
      </c>
      <c r="Y1104" s="11">
        <v>0</v>
      </c>
      <c r="Z1104" s="11">
        <v>0</v>
      </c>
      <c r="AA1104" s="11">
        <f>MasterTable[[#This Row],[Landings
Night]]+MasterTable[[#This Row],[Landings
Day]]</f>
        <v>3</v>
      </c>
      <c r="AB1104" s="10">
        <v>0</v>
      </c>
      <c r="AC1104" s="10">
        <v>0</v>
      </c>
      <c r="AD1104" s="11">
        <v>0</v>
      </c>
      <c r="AE1104" s="21">
        <f>SUM(MasterTable[[#This Row],[ILS]:[PAR]])</f>
        <v>0</v>
      </c>
      <c r="AL1104" s="11"/>
      <c r="AR1104" s="140" t="str">
        <f>_xlfn.XLOOKUP(MasterTable[[#This Row],[Aircraft ID]],Aircraft!A:A,Aircraft!H:H)</f>
        <v>Airplane Single Engine Land</v>
      </c>
      <c r="AS1104" s="8" t="b">
        <f>OR((SUM(MasterTable[[#This Row],[ILS]:[PAR]]) = MasterTable[[#This Row],[APPR]]))</f>
        <v>1</v>
      </c>
      <c r="AT1104" s="8" t="b">
        <f>NOT(ISBLANK(MasterTable[[#This Row],[Total
Time]]))</f>
        <v>1</v>
      </c>
    </row>
    <row r="1105" spans="4:46" ht="28.8" x14ac:dyDescent="0.3">
      <c r="D1105" s="22">
        <v>42269</v>
      </c>
      <c r="E1105" s="8" t="s">
        <v>174</v>
      </c>
      <c r="F1105" s="8" t="s">
        <v>202</v>
      </c>
      <c r="G1105" s="8" t="s">
        <v>311</v>
      </c>
      <c r="I1105" s="10">
        <v>1.1000000000000001</v>
      </c>
      <c r="J1105" s="10">
        <v>1.1000000000000001</v>
      </c>
      <c r="L1105" s="10">
        <v>0</v>
      </c>
      <c r="M1105" s="13">
        <v>0</v>
      </c>
      <c r="N1105" s="13"/>
      <c r="O1105" s="10">
        <v>0</v>
      </c>
      <c r="P1105" s="10">
        <v>0</v>
      </c>
      <c r="Q1105" s="14">
        <v>0</v>
      </c>
      <c r="R1105" s="14">
        <v>0</v>
      </c>
      <c r="S1105" s="10">
        <v>0</v>
      </c>
      <c r="T1105" s="10">
        <v>0</v>
      </c>
      <c r="U1105" s="14">
        <v>0</v>
      </c>
      <c r="V1105" s="10"/>
      <c r="W1105" s="11">
        <v>4</v>
      </c>
      <c r="X1105" s="11">
        <v>4</v>
      </c>
      <c r="Y1105" s="11">
        <v>0</v>
      </c>
      <c r="Z1105" s="11">
        <v>0</v>
      </c>
      <c r="AA1105" s="11">
        <f>MasterTable[[#This Row],[Landings
Night]]+MasterTable[[#This Row],[Landings
Day]]</f>
        <v>4</v>
      </c>
      <c r="AB1105" s="10">
        <v>0</v>
      </c>
      <c r="AC1105" s="10">
        <v>0</v>
      </c>
      <c r="AD1105" s="11">
        <v>0</v>
      </c>
      <c r="AE1105" s="21">
        <f>SUM(MasterTable[[#This Row],[ILS]:[PAR]])</f>
        <v>0</v>
      </c>
      <c r="AL1105" s="11"/>
      <c r="AR1105" s="140" t="str">
        <f>_xlfn.XLOOKUP(MasterTable[[#This Row],[Aircraft ID]],Aircraft!A:A,Aircraft!H:H)</f>
        <v>Airplane Single Engine Land</v>
      </c>
      <c r="AS1105" s="8" t="b">
        <f>OR((SUM(MasterTable[[#This Row],[ILS]:[PAR]]) = MasterTable[[#This Row],[APPR]]))</f>
        <v>1</v>
      </c>
      <c r="AT1105" s="8" t="b">
        <f>NOT(ISBLANK(MasterTable[[#This Row],[Total
Time]]))</f>
        <v>1</v>
      </c>
    </row>
    <row r="1106" spans="4:46" ht="28.8" x14ac:dyDescent="0.3">
      <c r="D1106" s="22">
        <v>42264</v>
      </c>
      <c r="E1106" s="8" t="s">
        <v>174</v>
      </c>
      <c r="F1106" s="8" t="s">
        <v>202</v>
      </c>
      <c r="G1106" s="8" t="s">
        <v>265</v>
      </c>
      <c r="I1106" s="10">
        <v>1</v>
      </c>
      <c r="J1106" s="10">
        <v>0</v>
      </c>
      <c r="L1106" s="10">
        <v>0</v>
      </c>
      <c r="M1106" s="13">
        <v>0</v>
      </c>
      <c r="N1106" s="13"/>
      <c r="O1106" s="10">
        <v>0</v>
      </c>
      <c r="P1106" s="10">
        <v>1</v>
      </c>
      <c r="Q1106" s="14">
        <v>0</v>
      </c>
      <c r="R1106" s="14">
        <v>0</v>
      </c>
      <c r="S1106" s="10">
        <v>0</v>
      </c>
      <c r="T1106" s="10">
        <v>0</v>
      </c>
      <c r="U1106" s="14">
        <v>0</v>
      </c>
      <c r="V1106" s="10"/>
      <c r="W1106" s="11">
        <v>2</v>
      </c>
      <c r="X1106" s="11">
        <v>2</v>
      </c>
      <c r="Y1106" s="11">
        <v>0</v>
      </c>
      <c r="Z1106" s="11">
        <v>0</v>
      </c>
      <c r="AA1106" s="11">
        <f>MasterTable[[#This Row],[Landings
Night]]+MasterTable[[#This Row],[Landings
Day]]</f>
        <v>2</v>
      </c>
      <c r="AB1106" s="10">
        <v>0</v>
      </c>
      <c r="AC1106" s="10">
        <v>0</v>
      </c>
      <c r="AD1106" s="11">
        <v>0</v>
      </c>
      <c r="AE1106" s="21">
        <f>SUM(MasterTable[[#This Row],[ILS]:[PAR]])</f>
        <v>0</v>
      </c>
      <c r="AL1106" s="11"/>
      <c r="AR1106" s="140" t="str">
        <f>_xlfn.XLOOKUP(MasterTable[[#This Row],[Aircraft ID]],Aircraft!A:A,Aircraft!H:H)</f>
        <v>Airplane Single Engine Land</v>
      </c>
      <c r="AS1106" s="8" t="b">
        <f>OR((SUM(MasterTable[[#This Row],[ILS]:[PAR]]) = MasterTable[[#This Row],[APPR]]))</f>
        <v>1</v>
      </c>
      <c r="AT1106" s="8" t="b">
        <f>NOT(ISBLANK(MasterTable[[#This Row],[Total
Time]]))</f>
        <v>1</v>
      </c>
    </row>
    <row r="1107" spans="4:46" ht="28.8" x14ac:dyDescent="0.3">
      <c r="D1107" s="22">
        <v>42257</v>
      </c>
      <c r="E1107" s="8" t="s">
        <v>174</v>
      </c>
      <c r="F1107" s="8" t="s">
        <v>202</v>
      </c>
      <c r="G1107" s="8" t="s">
        <v>202</v>
      </c>
      <c r="I1107" s="10">
        <v>2.2000000000000002</v>
      </c>
      <c r="J1107" s="10">
        <v>0</v>
      </c>
      <c r="L1107" s="10">
        <v>0</v>
      </c>
      <c r="M1107" s="13">
        <v>0</v>
      </c>
      <c r="N1107" s="13"/>
      <c r="O1107" s="10">
        <v>0</v>
      </c>
      <c r="P1107" s="10">
        <v>2.2000000000000002</v>
      </c>
      <c r="Q1107" s="14">
        <v>0</v>
      </c>
      <c r="R1107" s="14">
        <v>0</v>
      </c>
      <c r="S1107" s="10">
        <v>0</v>
      </c>
      <c r="T1107" s="10">
        <v>0</v>
      </c>
      <c r="U1107" s="14">
        <v>0</v>
      </c>
      <c r="V1107" s="10"/>
      <c r="W1107" s="11">
        <v>5</v>
      </c>
      <c r="X1107" s="11">
        <v>5</v>
      </c>
      <c r="Y1107" s="11">
        <v>0</v>
      </c>
      <c r="Z1107" s="11">
        <v>0</v>
      </c>
      <c r="AA1107" s="11">
        <f>MasterTable[[#This Row],[Landings
Night]]+MasterTable[[#This Row],[Landings
Day]]</f>
        <v>5</v>
      </c>
      <c r="AB1107" s="10">
        <v>0</v>
      </c>
      <c r="AC1107" s="10">
        <v>0</v>
      </c>
      <c r="AD1107" s="11">
        <v>0</v>
      </c>
      <c r="AE1107" s="21">
        <f>SUM(MasterTable[[#This Row],[ILS]:[PAR]])</f>
        <v>0</v>
      </c>
      <c r="AL1107" s="11"/>
      <c r="AR1107" s="140" t="str">
        <f>_xlfn.XLOOKUP(MasterTable[[#This Row],[Aircraft ID]],Aircraft!A:A,Aircraft!H:H)</f>
        <v>Airplane Single Engine Land</v>
      </c>
      <c r="AS1107" s="8" t="b">
        <f>OR((SUM(MasterTable[[#This Row],[ILS]:[PAR]]) = MasterTable[[#This Row],[APPR]]))</f>
        <v>1</v>
      </c>
      <c r="AT1107" s="8" t="b">
        <f>NOT(ISBLANK(MasterTable[[#This Row],[Total
Time]]))</f>
        <v>1</v>
      </c>
    </row>
    <row r="1108" spans="4:46" ht="28.8" x14ac:dyDescent="0.3">
      <c r="D1108" s="22">
        <v>42254</v>
      </c>
      <c r="E1108" s="8" t="s">
        <v>41</v>
      </c>
      <c r="F1108" s="8" t="s">
        <v>344</v>
      </c>
      <c r="G1108" s="8" t="s">
        <v>290</v>
      </c>
      <c r="J1108" s="10">
        <v>0</v>
      </c>
      <c r="L1108" s="10">
        <v>0</v>
      </c>
      <c r="M1108" s="13">
        <v>0</v>
      </c>
      <c r="N1108" s="13"/>
      <c r="O1108" s="10">
        <v>0</v>
      </c>
      <c r="P1108" s="10">
        <v>0</v>
      </c>
      <c r="Q1108" s="14">
        <v>0</v>
      </c>
      <c r="R1108" s="14">
        <v>0</v>
      </c>
      <c r="S1108" s="10">
        <v>0</v>
      </c>
      <c r="T1108" s="10">
        <v>0</v>
      </c>
      <c r="U1108" s="14">
        <v>0</v>
      </c>
      <c r="V1108" s="10"/>
      <c r="W1108" s="11">
        <v>1</v>
      </c>
      <c r="X1108" s="11">
        <v>1</v>
      </c>
      <c r="Y1108" s="11">
        <v>0</v>
      </c>
      <c r="Z1108" s="11">
        <v>0</v>
      </c>
      <c r="AA1108" s="11">
        <f>MasterTable[[#This Row],[Landings
Night]]+MasterTable[[#This Row],[Landings
Day]]</f>
        <v>1</v>
      </c>
      <c r="AB1108" s="10">
        <v>0</v>
      </c>
      <c r="AC1108" s="10">
        <v>0</v>
      </c>
      <c r="AD1108" s="11">
        <v>0</v>
      </c>
      <c r="AE1108" s="21">
        <f>SUM(MasterTable[[#This Row],[ILS]:[PAR]])</f>
        <v>0</v>
      </c>
      <c r="AL1108" s="11"/>
      <c r="AR1108" s="140" t="str">
        <f>_xlfn.XLOOKUP(MasterTable[[#This Row],[Aircraft ID]],Aircraft!A:A,Aircraft!H:H)</f>
        <v>Airplane Single Engine Land</v>
      </c>
      <c r="AS1108" s="8" t="b">
        <f>OR((SUM(MasterTable[[#This Row],[ILS]:[PAR]]) = MasterTable[[#This Row],[APPR]]))</f>
        <v>1</v>
      </c>
      <c r="AT1108" s="8" t="b">
        <f>NOT(ISBLANK(MasterTable[[#This Row],[Total
Time]]))</f>
        <v>0</v>
      </c>
    </row>
    <row r="1109" spans="4:46" ht="28.8" x14ac:dyDescent="0.3">
      <c r="D1109" s="22">
        <v>42241</v>
      </c>
      <c r="E1109" s="8" t="s">
        <v>174</v>
      </c>
      <c r="F1109" s="8" t="s">
        <v>202</v>
      </c>
      <c r="G1109" s="8" t="s">
        <v>265</v>
      </c>
      <c r="I1109" s="10">
        <v>0.6</v>
      </c>
      <c r="J1109" s="10">
        <v>0.6</v>
      </c>
      <c r="L1109" s="10">
        <v>0</v>
      </c>
      <c r="M1109" s="13">
        <v>0</v>
      </c>
      <c r="N1109" s="13"/>
      <c r="O1109" s="10">
        <v>0</v>
      </c>
      <c r="P1109" s="10">
        <v>0</v>
      </c>
      <c r="Q1109" s="14">
        <v>0</v>
      </c>
      <c r="R1109" s="14">
        <v>0</v>
      </c>
      <c r="S1109" s="10">
        <v>0</v>
      </c>
      <c r="U1109" s="14">
        <v>0</v>
      </c>
      <c r="V1109" s="10"/>
      <c r="W1109" s="11">
        <v>1</v>
      </c>
      <c r="X1109" s="11">
        <v>1</v>
      </c>
      <c r="Y1109" s="11">
        <v>0</v>
      </c>
      <c r="Z1109" s="11">
        <v>0</v>
      </c>
      <c r="AA1109" s="11">
        <f>MasterTable[[#This Row],[Landings
Night]]+MasterTable[[#This Row],[Landings
Day]]</f>
        <v>1</v>
      </c>
      <c r="AB1109" s="10">
        <v>0</v>
      </c>
      <c r="AC1109" s="10">
        <v>0</v>
      </c>
      <c r="AD1109" s="11">
        <v>0</v>
      </c>
      <c r="AE1109" s="21">
        <f>SUM(MasterTable[[#This Row],[ILS]:[PAR]])</f>
        <v>0</v>
      </c>
      <c r="AL1109" s="11"/>
      <c r="AR1109" s="140" t="str">
        <f>_xlfn.XLOOKUP(MasterTable[[#This Row],[Aircraft ID]],Aircraft!A:A,Aircraft!H:H)</f>
        <v>Airplane Single Engine Land</v>
      </c>
      <c r="AS1109" s="8" t="b">
        <f>OR((SUM(MasterTable[[#This Row],[ILS]:[PAR]]) = MasterTable[[#This Row],[APPR]]))</f>
        <v>1</v>
      </c>
      <c r="AT1109" s="8" t="b">
        <f>NOT(ISBLANK(MasterTable[[#This Row],[Total
Time]]))</f>
        <v>1</v>
      </c>
    </row>
    <row r="1110" spans="4:46" ht="28.8" x14ac:dyDescent="0.3">
      <c r="D1110" s="22">
        <v>42238</v>
      </c>
      <c r="E1110" s="8" t="s">
        <v>174</v>
      </c>
      <c r="F1110" s="8" t="s">
        <v>202</v>
      </c>
      <c r="G1110" s="8" t="s">
        <v>269</v>
      </c>
      <c r="I1110" s="10">
        <v>3.1</v>
      </c>
      <c r="J1110" s="10">
        <v>0</v>
      </c>
      <c r="L1110" s="10">
        <v>0</v>
      </c>
      <c r="M1110" s="13">
        <v>0</v>
      </c>
      <c r="N1110" s="13"/>
      <c r="O1110" s="10">
        <v>0</v>
      </c>
      <c r="P1110" s="10">
        <v>3.1</v>
      </c>
      <c r="Q1110" s="14">
        <v>0</v>
      </c>
      <c r="R1110" s="14">
        <v>0</v>
      </c>
      <c r="S1110" s="10">
        <v>3.1</v>
      </c>
      <c r="T1110" s="10">
        <v>3.1</v>
      </c>
      <c r="U1110" s="14">
        <v>0</v>
      </c>
      <c r="V1110" s="10"/>
      <c r="W1110" s="11">
        <v>0</v>
      </c>
      <c r="X1110" s="11">
        <v>0</v>
      </c>
      <c r="Y1110" s="11">
        <v>5</v>
      </c>
      <c r="Z1110" s="11">
        <v>5</v>
      </c>
      <c r="AA1110" s="11">
        <f>MasterTable[[#This Row],[Landings
Night]]+MasterTable[[#This Row],[Landings
Day]]</f>
        <v>5</v>
      </c>
      <c r="AB1110" s="10">
        <v>0.7</v>
      </c>
      <c r="AC1110" s="10">
        <v>0</v>
      </c>
      <c r="AD1110" s="11">
        <v>0</v>
      </c>
      <c r="AE1110" s="21">
        <f>SUM(MasterTable[[#This Row],[ILS]:[PAR]])</f>
        <v>0</v>
      </c>
      <c r="AL1110" s="11"/>
      <c r="AR1110" s="140" t="str">
        <f>_xlfn.XLOOKUP(MasterTable[[#This Row],[Aircraft ID]],Aircraft!A:A,Aircraft!H:H)</f>
        <v>Airplane Single Engine Land</v>
      </c>
      <c r="AS1110" s="8" t="b">
        <f>OR((SUM(MasterTable[[#This Row],[ILS]:[PAR]]) = MasterTable[[#This Row],[APPR]]))</f>
        <v>1</v>
      </c>
      <c r="AT1110" s="8" t="b">
        <f>NOT(ISBLANK(MasterTable[[#This Row],[Total
Time]]))</f>
        <v>1</v>
      </c>
    </row>
    <row r="1111" spans="4:46" ht="28.8" x14ac:dyDescent="0.3">
      <c r="D1111" s="22">
        <v>42215</v>
      </c>
      <c r="E1111" s="8" t="s">
        <v>174</v>
      </c>
      <c r="F1111" s="8" t="s">
        <v>202</v>
      </c>
      <c r="G1111" s="8" t="s">
        <v>204</v>
      </c>
      <c r="I1111" s="10">
        <v>2.9</v>
      </c>
      <c r="J1111" s="10">
        <v>2.9</v>
      </c>
      <c r="L1111" s="10">
        <v>0</v>
      </c>
      <c r="M1111" s="13">
        <v>0</v>
      </c>
      <c r="N1111" s="13"/>
      <c r="O1111" s="10">
        <v>0</v>
      </c>
      <c r="P1111" s="10">
        <v>0</v>
      </c>
      <c r="Q1111" s="14">
        <v>0</v>
      </c>
      <c r="R1111" s="14">
        <v>0</v>
      </c>
      <c r="S1111" s="10">
        <v>0</v>
      </c>
      <c r="T1111" s="10">
        <v>2.9</v>
      </c>
      <c r="U1111" s="14">
        <v>0</v>
      </c>
      <c r="V1111" s="10"/>
      <c r="W1111" s="11">
        <v>2</v>
      </c>
      <c r="X1111" s="11">
        <v>2</v>
      </c>
      <c r="Y1111" s="11">
        <v>0</v>
      </c>
      <c r="Z1111" s="11">
        <v>0</v>
      </c>
      <c r="AA1111" s="11">
        <f>MasterTable[[#This Row],[Landings
Night]]+MasterTable[[#This Row],[Landings
Day]]</f>
        <v>2</v>
      </c>
      <c r="AB1111" s="10">
        <v>0</v>
      </c>
      <c r="AC1111" s="10">
        <v>0</v>
      </c>
      <c r="AD1111" s="11">
        <v>0</v>
      </c>
      <c r="AE1111" s="21">
        <f>SUM(MasterTable[[#This Row],[ILS]:[PAR]])</f>
        <v>0</v>
      </c>
      <c r="AL1111" s="11"/>
      <c r="AR1111" s="140" t="str">
        <f>_xlfn.XLOOKUP(MasterTable[[#This Row],[Aircraft ID]],Aircraft!A:A,Aircraft!H:H)</f>
        <v>Airplane Single Engine Land</v>
      </c>
      <c r="AS1111" s="8" t="b">
        <f>OR((SUM(MasterTable[[#This Row],[ILS]:[PAR]]) = MasterTable[[#This Row],[APPR]]))</f>
        <v>1</v>
      </c>
      <c r="AT1111" s="8" t="b">
        <f>NOT(ISBLANK(MasterTable[[#This Row],[Total
Time]]))</f>
        <v>1</v>
      </c>
    </row>
    <row r="1112" spans="4:46" ht="28.8" x14ac:dyDescent="0.3">
      <c r="D1112" s="22">
        <v>42209</v>
      </c>
      <c r="E1112" s="8" t="s">
        <v>174</v>
      </c>
      <c r="F1112" s="8" t="s">
        <v>202</v>
      </c>
      <c r="G1112" s="8" t="s">
        <v>202</v>
      </c>
      <c r="I1112" s="10">
        <v>1.1000000000000001</v>
      </c>
      <c r="J1112" s="10">
        <v>1.1000000000000001</v>
      </c>
      <c r="L1112" s="10">
        <v>0</v>
      </c>
      <c r="M1112" s="13">
        <v>0</v>
      </c>
      <c r="N1112" s="13"/>
      <c r="O1112" s="10">
        <v>0</v>
      </c>
      <c r="P1112" s="10">
        <v>0</v>
      </c>
      <c r="Q1112" s="14">
        <v>0</v>
      </c>
      <c r="R1112" s="14">
        <v>0</v>
      </c>
      <c r="S1112" s="10">
        <v>0</v>
      </c>
      <c r="T1112" s="10">
        <v>0</v>
      </c>
      <c r="U1112" s="14">
        <v>0</v>
      </c>
      <c r="V1112" s="10"/>
      <c r="W1112" s="11">
        <v>4</v>
      </c>
      <c r="X1112" s="11">
        <v>4</v>
      </c>
      <c r="Y1112" s="11">
        <v>0</v>
      </c>
      <c r="Z1112" s="11">
        <v>0</v>
      </c>
      <c r="AA1112" s="11">
        <f>MasterTable[[#This Row],[Landings
Night]]+MasterTable[[#This Row],[Landings
Day]]</f>
        <v>4</v>
      </c>
      <c r="AB1112" s="10">
        <v>0</v>
      </c>
      <c r="AC1112" s="10">
        <v>0</v>
      </c>
      <c r="AD1112" s="11">
        <v>0</v>
      </c>
      <c r="AE1112" s="21">
        <f>SUM(MasterTable[[#This Row],[ILS]:[PAR]])</f>
        <v>0</v>
      </c>
      <c r="AL1112" s="11"/>
      <c r="AR1112" s="140" t="str">
        <f>_xlfn.XLOOKUP(MasterTable[[#This Row],[Aircraft ID]],Aircraft!A:A,Aircraft!H:H)</f>
        <v>Airplane Single Engine Land</v>
      </c>
      <c r="AS1112" s="8" t="b">
        <f>OR((SUM(MasterTable[[#This Row],[ILS]:[PAR]]) = MasterTable[[#This Row],[APPR]]))</f>
        <v>1</v>
      </c>
      <c r="AT1112" s="8" t="b">
        <f>NOT(ISBLANK(MasterTable[[#This Row],[Total
Time]]))</f>
        <v>1</v>
      </c>
    </row>
    <row r="1113" spans="4:46" ht="28.8" x14ac:dyDescent="0.3">
      <c r="D1113" s="22">
        <v>42205</v>
      </c>
      <c r="E1113" s="8" t="s">
        <v>174</v>
      </c>
      <c r="F1113" s="8" t="s">
        <v>202</v>
      </c>
      <c r="G1113" s="8" t="s">
        <v>202</v>
      </c>
      <c r="I1113" s="10">
        <v>1</v>
      </c>
      <c r="J1113" s="10">
        <v>0</v>
      </c>
      <c r="L1113" s="10">
        <v>0</v>
      </c>
      <c r="M1113" s="13">
        <v>0</v>
      </c>
      <c r="N1113" s="13"/>
      <c r="O1113" s="10">
        <v>0</v>
      </c>
      <c r="P1113" s="10">
        <v>1</v>
      </c>
      <c r="Q1113" s="14">
        <v>0</v>
      </c>
      <c r="R1113" s="14">
        <v>0</v>
      </c>
      <c r="S1113" s="10">
        <v>0</v>
      </c>
      <c r="T1113" s="10">
        <v>0</v>
      </c>
      <c r="U1113" s="14">
        <v>0</v>
      </c>
      <c r="V1113" s="10"/>
      <c r="W1113" s="11">
        <v>1</v>
      </c>
      <c r="X1113" s="11">
        <v>1</v>
      </c>
      <c r="Y1113" s="11">
        <v>0</v>
      </c>
      <c r="Z1113" s="11">
        <v>0</v>
      </c>
      <c r="AA1113" s="11">
        <f>MasterTable[[#This Row],[Landings
Night]]+MasterTable[[#This Row],[Landings
Day]]</f>
        <v>1</v>
      </c>
      <c r="AB1113" s="10">
        <v>0</v>
      </c>
      <c r="AC1113" s="10">
        <v>0</v>
      </c>
      <c r="AD1113" s="11">
        <v>0</v>
      </c>
      <c r="AE1113" s="21">
        <f>SUM(MasterTable[[#This Row],[ILS]:[PAR]])</f>
        <v>0</v>
      </c>
      <c r="AL1113" s="11"/>
      <c r="AR1113" s="140" t="str">
        <f>_xlfn.XLOOKUP(MasterTable[[#This Row],[Aircraft ID]],Aircraft!A:A,Aircraft!H:H)</f>
        <v>Airplane Single Engine Land</v>
      </c>
      <c r="AS1113" s="8" t="b">
        <f>OR((SUM(MasterTable[[#This Row],[ILS]:[PAR]]) = MasterTable[[#This Row],[APPR]]))</f>
        <v>1</v>
      </c>
      <c r="AT1113" s="8" t="b">
        <f>NOT(ISBLANK(MasterTable[[#This Row],[Total
Time]]))</f>
        <v>1</v>
      </c>
    </row>
    <row r="1114" spans="4:46" ht="28.8" x14ac:dyDescent="0.3">
      <c r="D1114" s="22">
        <v>42199</v>
      </c>
      <c r="E1114" s="8" t="s">
        <v>174</v>
      </c>
      <c r="F1114" s="8" t="s">
        <v>202</v>
      </c>
      <c r="G1114" s="8" t="s">
        <v>202</v>
      </c>
      <c r="I1114" s="10">
        <v>1.4</v>
      </c>
      <c r="J1114" s="10">
        <v>1</v>
      </c>
      <c r="L1114" s="10">
        <v>0</v>
      </c>
      <c r="M1114" s="13">
        <v>0</v>
      </c>
      <c r="N1114" s="13"/>
      <c r="O1114" s="10">
        <v>0</v>
      </c>
      <c r="P1114" s="10">
        <v>0.4</v>
      </c>
      <c r="Q1114" s="14">
        <v>0</v>
      </c>
      <c r="R1114" s="14">
        <v>0</v>
      </c>
      <c r="S1114" s="10">
        <v>0</v>
      </c>
      <c r="T1114" s="10">
        <v>0</v>
      </c>
      <c r="U1114" s="14">
        <v>0</v>
      </c>
      <c r="V1114" s="10"/>
      <c r="W1114" s="11">
        <v>4</v>
      </c>
      <c r="X1114" s="11">
        <v>4</v>
      </c>
      <c r="Y1114" s="11">
        <v>0</v>
      </c>
      <c r="Z1114" s="11">
        <v>0</v>
      </c>
      <c r="AA1114" s="11">
        <f>MasterTable[[#This Row],[Landings
Night]]+MasterTable[[#This Row],[Landings
Day]]</f>
        <v>4</v>
      </c>
      <c r="AB1114" s="10">
        <v>0</v>
      </c>
      <c r="AC1114" s="10">
        <v>0</v>
      </c>
      <c r="AD1114" s="11">
        <v>0</v>
      </c>
      <c r="AE1114" s="21">
        <f>SUM(MasterTable[[#This Row],[ILS]:[PAR]])</f>
        <v>0</v>
      </c>
      <c r="AL1114" s="11"/>
      <c r="AR1114" s="140" t="str">
        <f>_xlfn.XLOOKUP(MasterTable[[#This Row],[Aircraft ID]],Aircraft!A:A,Aircraft!H:H)</f>
        <v>Airplane Single Engine Land</v>
      </c>
      <c r="AS1114" s="8" t="b">
        <f>OR((SUM(MasterTable[[#This Row],[ILS]:[PAR]]) = MasterTable[[#This Row],[APPR]]))</f>
        <v>1</v>
      </c>
      <c r="AT1114" s="8" t="b">
        <f>NOT(ISBLANK(MasterTable[[#This Row],[Total
Time]]))</f>
        <v>1</v>
      </c>
    </row>
    <row r="1115" spans="4:46" ht="28.8" x14ac:dyDescent="0.3">
      <c r="D1115" s="22">
        <v>42193</v>
      </c>
      <c r="E1115" s="8" t="s">
        <v>174</v>
      </c>
      <c r="F1115" s="8" t="s">
        <v>202</v>
      </c>
      <c r="G1115" s="8" t="s">
        <v>300</v>
      </c>
      <c r="I1115" s="10">
        <v>1.1000000000000001</v>
      </c>
      <c r="J1115" s="10">
        <v>0</v>
      </c>
      <c r="L1115" s="10">
        <v>0</v>
      </c>
      <c r="M1115" s="13">
        <v>0</v>
      </c>
      <c r="N1115" s="13"/>
      <c r="O1115" s="10">
        <v>0</v>
      </c>
      <c r="P1115" s="10">
        <v>1.1000000000000001</v>
      </c>
      <c r="Q1115" s="14">
        <v>0</v>
      </c>
      <c r="R1115" s="14">
        <v>0</v>
      </c>
      <c r="S1115" s="10">
        <v>0</v>
      </c>
      <c r="T1115" s="10">
        <v>0</v>
      </c>
      <c r="U1115" s="14">
        <v>0</v>
      </c>
      <c r="V1115" s="10"/>
      <c r="W1115" s="11">
        <v>3</v>
      </c>
      <c r="X1115" s="11">
        <v>3</v>
      </c>
      <c r="Y1115" s="11">
        <v>0</v>
      </c>
      <c r="Z1115" s="11">
        <v>0</v>
      </c>
      <c r="AA1115" s="11">
        <f>MasterTable[[#This Row],[Landings
Night]]+MasterTable[[#This Row],[Landings
Day]]</f>
        <v>3</v>
      </c>
      <c r="AB1115" s="10">
        <v>0</v>
      </c>
      <c r="AC1115" s="10">
        <v>0</v>
      </c>
      <c r="AD1115" s="11">
        <v>0</v>
      </c>
      <c r="AE1115" s="21">
        <f>SUM(MasterTable[[#This Row],[ILS]:[PAR]])</f>
        <v>0</v>
      </c>
      <c r="AL1115" s="11"/>
      <c r="AR1115" s="140" t="str">
        <f>_xlfn.XLOOKUP(MasterTable[[#This Row],[Aircraft ID]],Aircraft!A:A,Aircraft!H:H)</f>
        <v>Airplane Single Engine Land</v>
      </c>
      <c r="AS1115" s="8" t="b">
        <f>OR((SUM(MasterTable[[#This Row],[ILS]:[PAR]]) = MasterTable[[#This Row],[APPR]]))</f>
        <v>1</v>
      </c>
      <c r="AT1115" s="8" t="b">
        <f>NOT(ISBLANK(MasterTable[[#This Row],[Total
Time]]))</f>
        <v>1</v>
      </c>
    </row>
    <row r="1116" spans="4:46" ht="28.8" x14ac:dyDescent="0.3">
      <c r="D1116" s="22">
        <v>42155</v>
      </c>
      <c r="E1116" s="8" t="s">
        <v>174</v>
      </c>
      <c r="F1116" s="8" t="s">
        <v>202</v>
      </c>
      <c r="G1116" s="8" t="s">
        <v>202</v>
      </c>
      <c r="I1116" s="10">
        <v>1.5</v>
      </c>
      <c r="J1116" s="10">
        <v>1</v>
      </c>
      <c r="L1116" s="10">
        <v>0</v>
      </c>
      <c r="M1116" s="13">
        <v>0</v>
      </c>
      <c r="N1116" s="13"/>
      <c r="O1116" s="10">
        <v>0</v>
      </c>
      <c r="P1116" s="10">
        <v>0.5</v>
      </c>
      <c r="Q1116" s="14">
        <v>0</v>
      </c>
      <c r="R1116" s="14">
        <v>0</v>
      </c>
      <c r="S1116" s="10">
        <v>0</v>
      </c>
      <c r="T1116" s="10">
        <v>0</v>
      </c>
      <c r="U1116" s="14">
        <v>0</v>
      </c>
      <c r="V1116" s="10"/>
      <c r="W1116" s="11">
        <v>4</v>
      </c>
      <c r="X1116" s="11">
        <v>4</v>
      </c>
      <c r="Y1116" s="11">
        <v>0</v>
      </c>
      <c r="Z1116" s="11">
        <v>0</v>
      </c>
      <c r="AA1116" s="11">
        <f>MasterTable[[#This Row],[Landings
Night]]+MasterTable[[#This Row],[Landings
Day]]</f>
        <v>4</v>
      </c>
      <c r="AB1116" s="10">
        <v>0</v>
      </c>
      <c r="AC1116" s="10">
        <v>0</v>
      </c>
      <c r="AD1116" s="11">
        <v>0</v>
      </c>
      <c r="AE1116" s="21">
        <f>SUM(MasterTable[[#This Row],[ILS]:[PAR]])</f>
        <v>0</v>
      </c>
      <c r="AL1116" s="11"/>
      <c r="AR1116" s="140" t="str">
        <f>_xlfn.XLOOKUP(MasterTable[[#This Row],[Aircraft ID]],Aircraft!A:A,Aircraft!H:H)</f>
        <v>Airplane Single Engine Land</v>
      </c>
      <c r="AS1116" s="8" t="b">
        <f>OR((SUM(MasterTable[[#This Row],[ILS]:[PAR]]) = MasterTable[[#This Row],[APPR]]))</f>
        <v>1</v>
      </c>
      <c r="AT1116" s="8" t="b">
        <f>NOT(ISBLANK(MasterTable[[#This Row],[Total
Time]]))</f>
        <v>1</v>
      </c>
    </row>
    <row r="1117" spans="4:46" ht="28.8" x14ac:dyDescent="0.3">
      <c r="D1117" s="22">
        <v>42154</v>
      </c>
      <c r="E1117" s="8" t="s">
        <v>174</v>
      </c>
      <c r="F1117" s="8" t="s">
        <v>202</v>
      </c>
      <c r="G1117" s="8" t="s">
        <v>202</v>
      </c>
      <c r="I1117" s="10">
        <v>1.8</v>
      </c>
      <c r="J1117" s="10">
        <v>1.2</v>
      </c>
      <c r="L1117" s="10">
        <v>0</v>
      </c>
      <c r="M1117" s="13">
        <v>0</v>
      </c>
      <c r="N1117" s="13"/>
      <c r="O1117" s="10">
        <v>0</v>
      </c>
      <c r="P1117" s="10">
        <v>0.6</v>
      </c>
      <c r="Q1117" s="14">
        <v>0</v>
      </c>
      <c r="R1117" s="14">
        <v>0</v>
      </c>
      <c r="S1117" s="10">
        <v>0</v>
      </c>
      <c r="T1117" s="10">
        <v>0</v>
      </c>
      <c r="U1117" s="14">
        <v>0</v>
      </c>
      <c r="V1117" s="10"/>
      <c r="W1117" s="11">
        <v>6</v>
      </c>
      <c r="X1117" s="11">
        <v>6</v>
      </c>
      <c r="Y1117" s="11">
        <v>0</v>
      </c>
      <c r="Z1117" s="11">
        <v>0</v>
      </c>
      <c r="AA1117" s="11">
        <f>MasterTable[[#This Row],[Landings
Night]]+MasterTable[[#This Row],[Landings
Day]]</f>
        <v>6</v>
      </c>
      <c r="AB1117" s="10">
        <v>0</v>
      </c>
      <c r="AC1117" s="10">
        <v>0</v>
      </c>
      <c r="AD1117" s="11">
        <v>0</v>
      </c>
      <c r="AE1117" s="21">
        <f>SUM(MasterTable[[#This Row],[ILS]:[PAR]])</f>
        <v>0</v>
      </c>
      <c r="AL1117" s="11"/>
      <c r="AR1117" s="140" t="str">
        <f>_xlfn.XLOOKUP(MasterTable[[#This Row],[Aircraft ID]],Aircraft!A:A,Aircraft!H:H)</f>
        <v>Airplane Single Engine Land</v>
      </c>
      <c r="AS1117" s="8" t="b">
        <f>OR((SUM(MasterTable[[#This Row],[ILS]:[PAR]]) = MasterTable[[#This Row],[APPR]]))</f>
        <v>1</v>
      </c>
      <c r="AT1117" s="8" t="b">
        <f>NOT(ISBLANK(MasterTable[[#This Row],[Total
Time]]))</f>
        <v>1</v>
      </c>
    </row>
    <row r="1118" spans="4:46" ht="28.8" x14ac:dyDescent="0.3">
      <c r="D1118" s="22">
        <v>42106</v>
      </c>
      <c r="E1118" s="8" t="s">
        <v>174</v>
      </c>
      <c r="F1118" s="8" t="s">
        <v>202</v>
      </c>
      <c r="G1118" s="8" t="s">
        <v>202</v>
      </c>
      <c r="I1118" s="10">
        <v>0.8</v>
      </c>
      <c r="J1118" s="10">
        <v>0.6</v>
      </c>
      <c r="L1118" s="10">
        <v>0</v>
      </c>
      <c r="M1118" s="13">
        <v>0</v>
      </c>
      <c r="N1118" s="13"/>
      <c r="O1118" s="10">
        <v>0</v>
      </c>
      <c r="P1118" s="10">
        <v>0.2</v>
      </c>
      <c r="Q1118" s="14">
        <v>0</v>
      </c>
      <c r="R1118" s="14">
        <v>0</v>
      </c>
      <c r="S1118" s="10">
        <v>0</v>
      </c>
      <c r="T1118" s="10">
        <v>0</v>
      </c>
      <c r="U1118" s="14">
        <v>0</v>
      </c>
      <c r="V1118" s="10"/>
      <c r="W1118" s="11">
        <v>6</v>
      </c>
      <c r="X1118" s="11">
        <v>6</v>
      </c>
      <c r="Y1118" s="11">
        <v>0</v>
      </c>
      <c r="Z1118" s="11">
        <v>0</v>
      </c>
      <c r="AA1118" s="11">
        <f>MasterTable[[#This Row],[Landings
Night]]+MasterTable[[#This Row],[Landings
Day]]</f>
        <v>6</v>
      </c>
      <c r="AB1118" s="10">
        <v>0</v>
      </c>
      <c r="AC1118" s="10">
        <v>0</v>
      </c>
      <c r="AD1118" s="11">
        <v>0</v>
      </c>
      <c r="AE1118" s="21">
        <f>SUM(MasterTable[[#This Row],[ILS]:[PAR]])</f>
        <v>0</v>
      </c>
      <c r="AL1118" s="11"/>
      <c r="AR1118" s="140" t="str">
        <f>_xlfn.XLOOKUP(MasterTable[[#This Row],[Aircraft ID]],Aircraft!A:A,Aircraft!H:H)</f>
        <v>Airplane Single Engine Land</v>
      </c>
      <c r="AS1118" s="8" t="b">
        <f>OR((SUM(MasterTable[[#This Row],[ILS]:[PAR]]) = MasterTable[[#This Row],[APPR]]))</f>
        <v>1</v>
      </c>
      <c r="AT1118" s="8" t="b">
        <f>NOT(ISBLANK(MasterTable[[#This Row],[Total
Time]]))</f>
        <v>1</v>
      </c>
    </row>
    <row r="1119" spans="4:46" ht="28.8" x14ac:dyDescent="0.3">
      <c r="D1119" s="22">
        <v>42093</v>
      </c>
      <c r="E1119" s="8" t="s">
        <v>174</v>
      </c>
      <c r="F1119" s="8" t="s">
        <v>202</v>
      </c>
      <c r="G1119" s="8" t="s">
        <v>202</v>
      </c>
      <c r="I1119" s="10">
        <v>0.9</v>
      </c>
      <c r="J1119" s="10">
        <v>0</v>
      </c>
      <c r="L1119" s="10">
        <v>0</v>
      </c>
      <c r="M1119" s="13">
        <v>0</v>
      </c>
      <c r="N1119" s="13"/>
      <c r="O1119" s="10">
        <v>0</v>
      </c>
      <c r="P1119" s="10">
        <v>0.9</v>
      </c>
      <c r="Q1119" s="14">
        <v>0</v>
      </c>
      <c r="R1119" s="14">
        <v>0</v>
      </c>
      <c r="S1119" s="10">
        <v>0</v>
      </c>
      <c r="T1119" s="10">
        <v>0</v>
      </c>
      <c r="U1119" s="14">
        <v>0</v>
      </c>
      <c r="V1119" s="10"/>
      <c r="W1119" s="11">
        <v>7</v>
      </c>
      <c r="X1119" s="11">
        <v>7</v>
      </c>
      <c r="Y1119" s="11">
        <v>0</v>
      </c>
      <c r="Z1119" s="11">
        <v>0</v>
      </c>
      <c r="AA1119" s="11">
        <f>MasterTable[[#This Row],[Landings
Night]]+MasterTable[[#This Row],[Landings
Day]]</f>
        <v>7</v>
      </c>
      <c r="AB1119" s="10">
        <v>0</v>
      </c>
      <c r="AC1119" s="10">
        <v>0</v>
      </c>
      <c r="AD1119" s="11">
        <v>0</v>
      </c>
      <c r="AE1119" s="21">
        <f>SUM(MasterTable[[#This Row],[ILS]:[PAR]])</f>
        <v>0</v>
      </c>
      <c r="AL1119" s="11"/>
      <c r="AR1119" s="140" t="str">
        <f>_xlfn.XLOOKUP(MasterTable[[#This Row],[Aircraft ID]],Aircraft!A:A,Aircraft!H:H)</f>
        <v>Airplane Single Engine Land</v>
      </c>
      <c r="AS1119" s="8" t="b">
        <f>OR((SUM(MasterTable[[#This Row],[ILS]:[PAR]]) = MasterTable[[#This Row],[APPR]]))</f>
        <v>1</v>
      </c>
      <c r="AT1119" s="8" t="b">
        <f>NOT(ISBLANK(MasterTable[[#This Row],[Total
Time]]))</f>
        <v>1</v>
      </c>
    </row>
    <row r="1120" spans="4:46" ht="28.8" x14ac:dyDescent="0.3">
      <c r="D1120" s="22">
        <v>42085</v>
      </c>
      <c r="E1120" s="8" t="s">
        <v>37</v>
      </c>
      <c r="F1120" s="8" t="s">
        <v>202</v>
      </c>
      <c r="G1120" s="8" t="s">
        <v>270</v>
      </c>
      <c r="I1120" s="10">
        <v>0</v>
      </c>
      <c r="J1120" s="10">
        <v>0</v>
      </c>
      <c r="L1120" s="10">
        <v>0</v>
      </c>
      <c r="M1120" s="13">
        <v>0</v>
      </c>
      <c r="N1120" s="13"/>
      <c r="O1120" s="10">
        <v>0</v>
      </c>
      <c r="P1120" s="10">
        <v>0</v>
      </c>
      <c r="Q1120" s="14">
        <v>0</v>
      </c>
      <c r="R1120" s="14">
        <v>0</v>
      </c>
      <c r="S1120" s="10">
        <v>0</v>
      </c>
      <c r="T1120" s="10">
        <v>0</v>
      </c>
      <c r="U1120" s="14">
        <v>0</v>
      </c>
      <c r="V1120" s="10"/>
      <c r="W1120" s="11">
        <v>2</v>
      </c>
      <c r="X1120" s="11">
        <v>2</v>
      </c>
      <c r="Y1120" s="11">
        <v>0</v>
      </c>
      <c r="Z1120" s="11">
        <v>0</v>
      </c>
      <c r="AA1120" s="11">
        <f>MasterTable[[#This Row],[Landings
Night]]+MasterTable[[#This Row],[Landings
Day]]</f>
        <v>2</v>
      </c>
      <c r="AB1120" s="10">
        <v>0</v>
      </c>
      <c r="AC1120" s="10">
        <v>0</v>
      </c>
      <c r="AD1120" s="11">
        <v>0</v>
      </c>
      <c r="AE1120" s="21">
        <f>SUM(MasterTable[[#This Row],[ILS]:[PAR]])</f>
        <v>0</v>
      </c>
      <c r="AL1120" s="11"/>
      <c r="AR1120" s="140" t="str">
        <f>_xlfn.XLOOKUP(MasterTable[[#This Row],[Aircraft ID]],Aircraft!A:A,Aircraft!H:H)</f>
        <v>Airplane Multi Engine Land</v>
      </c>
      <c r="AS1120" s="8" t="b">
        <f>OR((SUM(MasterTable[[#This Row],[ILS]:[PAR]]) = MasterTable[[#This Row],[APPR]]))</f>
        <v>1</v>
      </c>
      <c r="AT1120" s="8" t="b">
        <f>NOT(ISBLANK(MasterTable[[#This Row],[Total
Time]]))</f>
        <v>1</v>
      </c>
    </row>
    <row r="1121" spans="4:46" ht="28.8" x14ac:dyDescent="0.3">
      <c r="D1121" s="22">
        <v>42066</v>
      </c>
      <c r="E1121" s="8" t="s">
        <v>37</v>
      </c>
      <c r="F1121" s="8" t="s">
        <v>202</v>
      </c>
      <c r="G1121" s="8" t="s">
        <v>202</v>
      </c>
      <c r="I1121" s="10">
        <v>0</v>
      </c>
      <c r="J1121" s="10">
        <v>0</v>
      </c>
      <c r="L1121" s="10">
        <v>0</v>
      </c>
      <c r="M1121" s="13">
        <v>0</v>
      </c>
      <c r="N1121" s="13"/>
      <c r="O1121" s="10">
        <v>0</v>
      </c>
      <c r="P1121" s="10">
        <v>0</v>
      </c>
      <c r="Q1121" s="14">
        <v>0</v>
      </c>
      <c r="R1121" s="14">
        <v>0</v>
      </c>
      <c r="S1121" s="10">
        <v>0</v>
      </c>
      <c r="T1121" s="10">
        <v>0</v>
      </c>
      <c r="U1121" s="14">
        <v>0</v>
      </c>
      <c r="V1121" s="10"/>
      <c r="W1121" s="11">
        <v>3</v>
      </c>
      <c r="X1121" s="11">
        <v>3</v>
      </c>
      <c r="Y1121" s="11">
        <v>0</v>
      </c>
      <c r="Z1121" s="11">
        <v>0</v>
      </c>
      <c r="AA1121" s="11">
        <f>MasterTable[[#This Row],[Landings
Night]]+MasterTable[[#This Row],[Landings
Day]]</f>
        <v>3</v>
      </c>
      <c r="AB1121" s="10">
        <v>0</v>
      </c>
      <c r="AC1121" s="10">
        <v>0</v>
      </c>
      <c r="AD1121" s="11">
        <v>0</v>
      </c>
      <c r="AE1121" s="21">
        <f>SUM(MasterTable[[#This Row],[ILS]:[PAR]])</f>
        <v>0</v>
      </c>
      <c r="AL1121" s="11"/>
      <c r="AR1121" s="140" t="str">
        <f>_xlfn.XLOOKUP(MasterTable[[#This Row],[Aircraft ID]],Aircraft!A:A,Aircraft!H:H)</f>
        <v>Airplane Multi Engine Land</v>
      </c>
      <c r="AS1121" s="8" t="b">
        <f>OR((SUM(MasterTable[[#This Row],[ILS]:[PAR]]) = MasterTable[[#This Row],[APPR]]))</f>
        <v>1</v>
      </c>
      <c r="AT1121" s="8" t="b">
        <f>NOT(ISBLANK(MasterTable[[#This Row],[Total
Time]]))</f>
        <v>1</v>
      </c>
    </row>
    <row r="1122" spans="4:46" ht="28.8" x14ac:dyDescent="0.3">
      <c r="D1122" s="22">
        <v>42066</v>
      </c>
      <c r="E1122" s="8" t="s">
        <v>174</v>
      </c>
      <c r="F1122" s="8" t="s">
        <v>202</v>
      </c>
      <c r="G1122" s="8" t="s">
        <v>214</v>
      </c>
      <c r="I1122" s="10">
        <v>2.2999999999999998</v>
      </c>
      <c r="J1122" s="10">
        <v>2.2999999999999998</v>
      </c>
      <c r="L1122" s="10">
        <v>0</v>
      </c>
      <c r="M1122" s="13">
        <v>0</v>
      </c>
      <c r="N1122" s="13"/>
      <c r="O1122" s="10">
        <v>0</v>
      </c>
      <c r="P1122" s="10">
        <v>0</v>
      </c>
      <c r="Q1122" s="14">
        <v>0</v>
      </c>
      <c r="R1122" s="14">
        <v>0</v>
      </c>
      <c r="S1122" s="10">
        <v>0</v>
      </c>
      <c r="T1122" s="10">
        <v>2.2999999999999998</v>
      </c>
      <c r="U1122" s="14">
        <v>0</v>
      </c>
      <c r="V1122" s="10"/>
      <c r="W1122" s="11">
        <v>2</v>
      </c>
      <c r="X1122" s="11">
        <v>2</v>
      </c>
      <c r="Y1122" s="11">
        <v>0</v>
      </c>
      <c r="Z1122" s="11">
        <v>0</v>
      </c>
      <c r="AA1122" s="11">
        <f>MasterTable[[#This Row],[Landings
Night]]+MasterTable[[#This Row],[Landings
Day]]</f>
        <v>2</v>
      </c>
      <c r="AB1122" s="10">
        <v>0</v>
      </c>
      <c r="AC1122" s="10">
        <v>0</v>
      </c>
      <c r="AD1122" s="11">
        <v>0</v>
      </c>
      <c r="AE1122" s="21">
        <f>SUM(MasterTable[[#This Row],[ILS]:[PAR]])</f>
        <v>0</v>
      </c>
      <c r="AL1122" s="11"/>
      <c r="AR1122" s="140" t="str">
        <f>_xlfn.XLOOKUP(MasterTable[[#This Row],[Aircraft ID]],Aircraft!A:A,Aircraft!H:H)</f>
        <v>Airplane Single Engine Land</v>
      </c>
      <c r="AS1122" s="8" t="b">
        <f>OR((SUM(MasterTable[[#This Row],[ILS]:[PAR]]) = MasterTable[[#This Row],[APPR]]))</f>
        <v>1</v>
      </c>
      <c r="AT1122" s="8" t="b">
        <f>NOT(ISBLANK(MasterTable[[#This Row],[Total
Time]]))</f>
        <v>1</v>
      </c>
    </row>
    <row r="1123" spans="4:46" ht="28.8" x14ac:dyDescent="0.3">
      <c r="D1123" s="22">
        <v>42050</v>
      </c>
      <c r="E1123" s="8" t="s">
        <v>174</v>
      </c>
      <c r="F1123" s="8" t="s">
        <v>202</v>
      </c>
      <c r="G1123" s="8" t="s">
        <v>219</v>
      </c>
      <c r="I1123" s="10">
        <v>0.8</v>
      </c>
      <c r="J1123" s="10">
        <v>0</v>
      </c>
      <c r="L1123" s="10">
        <v>0</v>
      </c>
      <c r="M1123" s="13">
        <v>0</v>
      </c>
      <c r="N1123" s="13"/>
      <c r="O1123" s="10">
        <v>0</v>
      </c>
      <c r="P1123" s="10">
        <v>0.8</v>
      </c>
      <c r="Q1123" s="14">
        <v>0</v>
      </c>
      <c r="R1123" s="14">
        <v>0</v>
      </c>
      <c r="S1123" s="10">
        <v>0</v>
      </c>
      <c r="T1123" s="10">
        <v>0</v>
      </c>
      <c r="U1123" s="14">
        <v>0</v>
      </c>
      <c r="V1123" s="10"/>
      <c r="W1123" s="11">
        <v>1</v>
      </c>
      <c r="X1123" s="11">
        <v>1</v>
      </c>
      <c r="Y1123" s="11">
        <v>0</v>
      </c>
      <c r="Z1123" s="11">
        <v>0</v>
      </c>
      <c r="AA1123" s="11">
        <f>MasterTable[[#This Row],[Landings
Night]]+MasterTable[[#This Row],[Landings
Day]]</f>
        <v>1</v>
      </c>
      <c r="AB1123" s="10">
        <v>0</v>
      </c>
      <c r="AC1123" s="10">
        <v>0</v>
      </c>
      <c r="AD1123" s="11">
        <v>0</v>
      </c>
      <c r="AE1123" s="21">
        <f>SUM(MasterTable[[#This Row],[ILS]:[PAR]])</f>
        <v>0</v>
      </c>
      <c r="AL1123" s="11"/>
      <c r="AR1123" s="140" t="str">
        <f>_xlfn.XLOOKUP(MasterTable[[#This Row],[Aircraft ID]],Aircraft!A:A,Aircraft!H:H)</f>
        <v>Airplane Single Engine Land</v>
      </c>
      <c r="AS1123" s="8" t="b">
        <f>OR((SUM(MasterTable[[#This Row],[ILS]:[PAR]]) = MasterTable[[#This Row],[APPR]]))</f>
        <v>1</v>
      </c>
      <c r="AT1123" s="8" t="b">
        <f>NOT(ISBLANK(MasterTable[[#This Row],[Total
Time]]))</f>
        <v>1</v>
      </c>
    </row>
    <row r="1124" spans="4:46" ht="28.8" x14ac:dyDescent="0.3">
      <c r="D1124" s="22">
        <v>42036</v>
      </c>
      <c r="E1124" s="8" t="s">
        <v>174</v>
      </c>
      <c r="F1124" s="8" t="s">
        <v>202</v>
      </c>
      <c r="G1124" s="8" t="s">
        <v>202</v>
      </c>
      <c r="I1124" s="10">
        <v>1.8</v>
      </c>
      <c r="J1124" s="10">
        <v>1.2</v>
      </c>
      <c r="L1124" s="10">
        <v>0</v>
      </c>
      <c r="M1124" s="13">
        <v>0</v>
      </c>
      <c r="N1124" s="13"/>
      <c r="O1124" s="10">
        <v>0</v>
      </c>
      <c r="P1124" s="10">
        <v>0.6</v>
      </c>
      <c r="Q1124" s="14">
        <v>0</v>
      </c>
      <c r="R1124" s="14">
        <v>0</v>
      </c>
      <c r="S1124" s="10">
        <v>0</v>
      </c>
      <c r="T1124" s="10">
        <v>0</v>
      </c>
      <c r="U1124" s="14">
        <v>0</v>
      </c>
      <c r="V1124" s="10"/>
      <c r="W1124" s="11">
        <v>4</v>
      </c>
      <c r="X1124" s="11">
        <v>4</v>
      </c>
      <c r="Y1124" s="11">
        <v>0</v>
      </c>
      <c r="Z1124" s="11">
        <v>0</v>
      </c>
      <c r="AA1124" s="11">
        <f>MasterTable[[#This Row],[Landings
Night]]+MasterTable[[#This Row],[Landings
Day]]</f>
        <v>4</v>
      </c>
      <c r="AB1124" s="10">
        <v>0</v>
      </c>
      <c r="AC1124" s="10">
        <v>0</v>
      </c>
      <c r="AD1124" s="11">
        <v>0</v>
      </c>
      <c r="AE1124" s="21">
        <f>SUM(MasterTable[[#This Row],[ILS]:[PAR]])</f>
        <v>0</v>
      </c>
      <c r="AL1124" s="11"/>
      <c r="AR1124" s="140" t="str">
        <f>_xlfn.XLOOKUP(MasterTable[[#This Row],[Aircraft ID]],Aircraft!A:A,Aircraft!H:H)</f>
        <v>Airplane Single Engine Land</v>
      </c>
      <c r="AS1124" s="8" t="b">
        <f>OR((SUM(MasterTable[[#This Row],[ILS]:[PAR]]) = MasterTable[[#This Row],[APPR]]))</f>
        <v>1</v>
      </c>
      <c r="AT1124" s="8" t="b">
        <f>NOT(ISBLANK(MasterTable[[#This Row],[Total
Time]]))</f>
        <v>1</v>
      </c>
    </row>
    <row r="1125" spans="4:46" ht="28.8" x14ac:dyDescent="0.3">
      <c r="D1125" s="22">
        <v>42021</v>
      </c>
      <c r="E1125" s="8" t="s">
        <v>37</v>
      </c>
      <c r="F1125" s="8" t="s">
        <v>202</v>
      </c>
      <c r="G1125" s="8" t="s">
        <v>361</v>
      </c>
      <c r="H1125" s="8" t="s">
        <v>435</v>
      </c>
      <c r="I1125" s="10">
        <v>0</v>
      </c>
      <c r="J1125" s="10">
        <v>0</v>
      </c>
      <c r="L1125" s="10">
        <v>0</v>
      </c>
      <c r="M1125" s="13">
        <v>0</v>
      </c>
      <c r="N1125" s="13"/>
      <c r="O1125" s="10">
        <v>0</v>
      </c>
      <c r="P1125" s="10">
        <v>0</v>
      </c>
      <c r="Q1125" s="14">
        <v>0</v>
      </c>
      <c r="R1125" s="14">
        <v>0</v>
      </c>
      <c r="S1125" s="10">
        <v>0</v>
      </c>
      <c r="T1125" s="10">
        <v>0</v>
      </c>
      <c r="U1125" s="14">
        <v>0</v>
      </c>
      <c r="V1125" s="10"/>
      <c r="W1125" s="11">
        <v>4</v>
      </c>
      <c r="X1125" s="11">
        <v>4</v>
      </c>
      <c r="Y1125" s="11">
        <v>0</v>
      </c>
      <c r="Z1125" s="11">
        <v>0</v>
      </c>
      <c r="AA1125" s="11">
        <f>MasterTable[[#This Row],[Landings
Night]]+MasterTable[[#This Row],[Landings
Day]]</f>
        <v>4</v>
      </c>
      <c r="AB1125" s="10">
        <v>0</v>
      </c>
      <c r="AC1125" s="10">
        <v>0</v>
      </c>
      <c r="AD1125" s="11">
        <v>0</v>
      </c>
      <c r="AE1125" s="21">
        <f>SUM(MasterTable[[#This Row],[ILS]:[PAR]])</f>
        <v>0</v>
      </c>
      <c r="AL1125" s="11"/>
      <c r="AR1125" s="140" t="str">
        <f>_xlfn.XLOOKUP(MasterTable[[#This Row],[Aircraft ID]],Aircraft!A:A,Aircraft!H:H)</f>
        <v>Airplane Multi Engine Land</v>
      </c>
      <c r="AS1125" s="8" t="b">
        <f>OR((SUM(MasterTable[[#This Row],[ILS]:[PAR]]) = MasterTable[[#This Row],[APPR]]))</f>
        <v>1</v>
      </c>
      <c r="AT1125" s="8" t="b">
        <f>NOT(ISBLANK(MasterTable[[#This Row],[Total
Time]]))</f>
        <v>1</v>
      </c>
    </row>
    <row r="1126" spans="4:46" ht="28.8" x14ac:dyDescent="0.3">
      <c r="D1126" s="22">
        <v>42007</v>
      </c>
      <c r="E1126" s="8" t="s">
        <v>174</v>
      </c>
      <c r="F1126" s="8" t="s">
        <v>283</v>
      </c>
      <c r="G1126" s="8" t="s">
        <v>202</v>
      </c>
      <c r="I1126" s="10">
        <v>1.1000000000000001</v>
      </c>
      <c r="J1126" s="10">
        <v>0</v>
      </c>
      <c r="L1126" s="10">
        <v>0</v>
      </c>
      <c r="M1126" s="13">
        <v>0</v>
      </c>
      <c r="N1126" s="13"/>
      <c r="O1126" s="10">
        <v>0</v>
      </c>
      <c r="P1126" s="10">
        <v>1.1000000000000001</v>
      </c>
      <c r="Q1126" s="14">
        <v>0</v>
      </c>
      <c r="R1126" s="14">
        <v>0</v>
      </c>
      <c r="S1126" s="10">
        <v>0</v>
      </c>
      <c r="T1126" s="10">
        <v>1.1000000000000001</v>
      </c>
      <c r="U1126" s="14">
        <v>0</v>
      </c>
      <c r="V1126" s="10"/>
      <c r="W1126" s="11">
        <v>1</v>
      </c>
      <c r="X1126" s="11">
        <v>1</v>
      </c>
      <c r="Y1126" s="11">
        <v>0</v>
      </c>
      <c r="Z1126" s="11">
        <v>0</v>
      </c>
      <c r="AA1126" s="11">
        <f>MasterTable[[#This Row],[Landings
Night]]+MasterTable[[#This Row],[Landings
Day]]</f>
        <v>1</v>
      </c>
      <c r="AB1126" s="10">
        <v>0</v>
      </c>
      <c r="AC1126" s="10">
        <v>0</v>
      </c>
      <c r="AD1126" s="11">
        <v>0</v>
      </c>
      <c r="AE1126" s="21">
        <f>SUM(MasterTable[[#This Row],[ILS]:[PAR]])</f>
        <v>0</v>
      </c>
      <c r="AL1126" s="11"/>
      <c r="AR1126" s="140" t="str">
        <f>_xlfn.XLOOKUP(MasterTable[[#This Row],[Aircraft ID]],Aircraft!A:A,Aircraft!H:H)</f>
        <v>Airplane Single Engine Land</v>
      </c>
      <c r="AS1126" s="8" t="b">
        <f>OR((SUM(MasterTable[[#This Row],[ILS]:[PAR]]) = MasterTable[[#This Row],[APPR]]))</f>
        <v>1</v>
      </c>
      <c r="AT1126" s="8" t="b">
        <f>NOT(ISBLANK(MasterTable[[#This Row],[Total
Time]]))</f>
        <v>1</v>
      </c>
    </row>
    <row r="1127" spans="4:46" ht="28.8" x14ac:dyDescent="0.3">
      <c r="D1127" s="22">
        <v>42002</v>
      </c>
      <c r="E1127" s="8" t="s">
        <v>174</v>
      </c>
      <c r="F1127" s="8" t="s">
        <v>202</v>
      </c>
      <c r="G1127" s="8" t="s">
        <v>293</v>
      </c>
      <c r="I1127" s="10">
        <v>0.8</v>
      </c>
      <c r="J1127" s="10">
        <v>0</v>
      </c>
      <c r="L1127" s="10">
        <v>0</v>
      </c>
      <c r="M1127" s="13">
        <v>0</v>
      </c>
      <c r="N1127" s="13"/>
      <c r="O1127" s="10">
        <v>0</v>
      </c>
      <c r="P1127" s="10">
        <v>0.8</v>
      </c>
      <c r="Q1127" s="14">
        <v>0</v>
      </c>
      <c r="R1127" s="14">
        <v>0</v>
      </c>
      <c r="S1127" s="10">
        <v>0</v>
      </c>
      <c r="T1127" s="10">
        <v>0</v>
      </c>
      <c r="U1127" s="14">
        <v>0</v>
      </c>
      <c r="V1127" s="10"/>
      <c r="W1127" s="11">
        <v>1</v>
      </c>
      <c r="X1127" s="11">
        <v>1</v>
      </c>
      <c r="Y1127" s="11">
        <v>0</v>
      </c>
      <c r="Z1127" s="11">
        <v>0</v>
      </c>
      <c r="AA1127" s="11">
        <f>MasterTable[[#This Row],[Landings
Night]]+MasterTable[[#This Row],[Landings
Day]]</f>
        <v>1</v>
      </c>
      <c r="AB1127" s="10">
        <v>0</v>
      </c>
      <c r="AC1127" s="10">
        <v>0</v>
      </c>
      <c r="AD1127" s="11">
        <v>0</v>
      </c>
      <c r="AE1127" s="21">
        <f>SUM(MasterTable[[#This Row],[ILS]:[PAR]])</f>
        <v>0</v>
      </c>
      <c r="AL1127" s="11"/>
      <c r="AR1127" s="140" t="str">
        <f>_xlfn.XLOOKUP(MasterTable[[#This Row],[Aircraft ID]],Aircraft!A:A,Aircraft!H:H)</f>
        <v>Airplane Single Engine Land</v>
      </c>
      <c r="AS1127" s="8" t="b">
        <f>OR((SUM(MasterTable[[#This Row],[ILS]:[PAR]]) = MasterTable[[#This Row],[APPR]]))</f>
        <v>1</v>
      </c>
      <c r="AT1127" s="8" t="b">
        <f>NOT(ISBLANK(MasterTable[[#This Row],[Total
Time]]))</f>
        <v>1</v>
      </c>
    </row>
    <row r="1128" spans="4:46" ht="28.8" x14ac:dyDescent="0.3">
      <c r="D1128" s="22">
        <v>41999</v>
      </c>
      <c r="E1128" s="8" t="s">
        <v>37</v>
      </c>
      <c r="F1128" s="8" t="s">
        <v>202</v>
      </c>
      <c r="G1128" s="8" t="s">
        <v>289</v>
      </c>
      <c r="J1128" s="10">
        <v>0</v>
      </c>
      <c r="L1128" s="10">
        <v>0</v>
      </c>
      <c r="M1128" s="13">
        <v>0</v>
      </c>
      <c r="N1128" s="13"/>
      <c r="O1128" s="10">
        <v>0</v>
      </c>
      <c r="P1128" s="10">
        <v>0</v>
      </c>
      <c r="Q1128" s="14">
        <v>0</v>
      </c>
      <c r="R1128" s="14">
        <v>0</v>
      </c>
      <c r="S1128" s="10">
        <v>0</v>
      </c>
      <c r="T1128" s="10">
        <v>0</v>
      </c>
      <c r="U1128" s="14">
        <v>0</v>
      </c>
      <c r="V1128" s="10"/>
      <c r="W1128" s="11">
        <v>2</v>
      </c>
      <c r="X1128" s="11">
        <v>2</v>
      </c>
      <c r="Y1128" s="11">
        <v>0</v>
      </c>
      <c r="Z1128" s="11">
        <v>0</v>
      </c>
      <c r="AA1128" s="11">
        <f>MasterTable[[#This Row],[Landings
Night]]+MasterTable[[#This Row],[Landings
Day]]</f>
        <v>2</v>
      </c>
      <c r="AB1128" s="10">
        <v>0</v>
      </c>
      <c r="AC1128" s="10">
        <v>0</v>
      </c>
      <c r="AD1128" s="11">
        <v>0</v>
      </c>
      <c r="AE1128" s="21">
        <f>SUM(MasterTable[[#This Row],[ILS]:[PAR]])</f>
        <v>0</v>
      </c>
      <c r="AL1128" s="11"/>
      <c r="AR1128" s="140" t="str">
        <f>_xlfn.XLOOKUP(MasterTable[[#This Row],[Aircraft ID]],Aircraft!A:A,Aircraft!H:H)</f>
        <v>Airplane Multi Engine Land</v>
      </c>
      <c r="AS1128" s="8" t="b">
        <f>OR((SUM(MasterTable[[#This Row],[ILS]:[PAR]]) = MasterTable[[#This Row],[APPR]]))</f>
        <v>1</v>
      </c>
      <c r="AT1128" s="8" t="b">
        <f>NOT(ISBLANK(MasterTable[[#This Row],[Total
Time]]))</f>
        <v>0</v>
      </c>
    </row>
    <row r="1129" spans="4:46" ht="28.8" x14ac:dyDescent="0.3">
      <c r="D1129" s="22">
        <v>41994</v>
      </c>
      <c r="E1129" s="8" t="s">
        <v>174</v>
      </c>
      <c r="F1129" s="8" t="s">
        <v>202</v>
      </c>
      <c r="G1129" s="8" t="s">
        <v>202</v>
      </c>
      <c r="I1129" s="10">
        <v>1.8</v>
      </c>
      <c r="J1129" s="10">
        <v>0.9</v>
      </c>
      <c r="L1129" s="10">
        <v>0</v>
      </c>
      <c r="M1129" s="13">
        <v>0</v>
      </c>
      <c r="N1129" s="13"/>
      <c r="O1129" s="10">
        <v>0</v>
      </c>
      <c r="P1129" s="10">
        <v>0.9</v>
      </c>
      <c r="Q1129" s="14">
        <v>0</v>
      </c>
      <c r="R1129" s="14">
        <v>0</v>
      </c>
      <c r="S1129" s="10">
        <v>0</v>
      </c>
      <c r="T1129" s="10">
        <v>0</v>
      </c>
      <c r="U1129" s="14">
        <v>0</v>
      </c>
      <c r="V1129" s="10"/>
      <c r="W1129" s="11">
        <v>5</v>
      </c>
      <c r="X1129" s="11">
        <v>5</v>
      </c>
      <c r="Y1129" s="11">
        <v>0</v>
      </c>
      <c r="Z1129" s="11">
        <v>0</v>
      </c>
      <c r="AA1129" s="11">
        <f>MasterTable[[#This Row],[Landings
Night]]+MasterTable[[#This Row],[Landings
Day]]</f>
        <v>5</v>
      </c>
      <c r="AB1129" s="10">
        <v>0</v>
      </c>
      <c r="AC1129" s="10">
        <v>0</v>
      </c>
      <c r="AD1129" s="11">
        <v>0</v>
      </c>
      <c r="AE1129" s="21">
        <f>SUM(MasterTable[[#This Row],[ILS]:[PAR]])</f>
        <v>0</v>
      </c>
      <c r="AL1129" s="11"/>
      <c r="AR1129" s="140" t="str">
        <f>_xlfn.XLOOKUP(MasterTable[[#This Row],[Aircraft ID]],Aircraft!A:A,Aircraft!H:H)</f>
        <v>Airplane Single Engine Land</v>
      </c>
      <c r="AS1129" s="8" t="b">
        <f>OR((SUM(MasterTable[[#This Row],[ILS]:[PAR]]) = MasterTable[[#This Row],[APPR]]))</f>
        <v>1</v>
      </c>
      <c r="AT1129" s="8" t="b">
        <f>NOT(ISBLANK(MasterTable[[#This Row],[Total
Time]]))</f>
        <v>1</v>
      </c>
    </row>
    <row r="1130" spans="4:46" ht="28.8" x14ac:dyDescent="0.3">
      <c r="D1130" s="22">
        <v>41952</v>
      </c>
      <c r="E1130" s="8" t="s">
        <v>174</v>
      </c>
      <c r="F1130" s="8" t="s">
        <v>202</v>
      </c>
      <c r="G1130" s="8" t="s">
        <v>202</v>
      </c>
      <c r="I1130" s="10">
        <v>1.5</v>
      </c>
      <c r="J1130" s="10">
        <v>1.5</v>
      </c>
      <c r="L1130" s="10">
        <v>0</v>
      </c>
      <c r="M1130" s="13">
        <v>0</v>
      </c>
      <c r="N1130" s="13"/>
      <c r="O1130" s="10">
        <v>0</v>
      </c>
      <c r="P1130" s="10">
        <v>0</v>
      </c>
      <c r="Q1130" s="14">
        <v>0</v>
      </c>
      <c r="R1130" s="14">
        <v>0</v>
      </c>
      <c r="S1130" s="10">
        <v>0</v>
      </c>
      <c r="T1130" s="10">
        <v>0</v>
      </c>
      <c r="U1130" s="14">
        <v>0</v>
      </c>
      <c r="V1130" s="10"/>
      <c r="W1130" s="11">
        <v>5</v>
      </c>
      <c r="X1130" s="11">
        <v>5</v>
      </c>
      <c r="Y1130" s="11">
        <v>0</v>
      </c>
      <c r="Z1130" s="11">
        <v>0</v>
      </c>
      <c r="AA1130" s="11">
        <f>MasterTable[[#This Row],[Landings
Night]]+MasterTable[[#This Row],[Landings
Day]]</f>
        <v>5</v>
      </c>
      <c r="AB1130" s="10">
        <v>0</v>
      </c>
      <c r="AC1130" s="10">
        <v>0</v>
      </c>
      <c r="AD1130" s="11">
        <v>0</v>
      </c>
      <c r="AE1130" s="21">
        <f>SUM(MasterTable[[#This Row],[ILS]:[PAR]])</f>
        <v>0</v>
      </c>
      <c r="AL1130" s="11"/>
      <c r="AR1130" s="140" t="str">
        <f>_xlfn.XLOOKUP(MasterTable[[#This Row],[Aircraft ID]],Aircraft!A:A,Aircraft!H:H)</f>
        <v>Airplane Single Engine Land</v>
      </c>
      <c r="AS1130" s="8" t="b">
        <f>OR((SUM(MasterTable[[#This Row],[ILS]:[PAR]]) = MasterTable[[#This Row],[APPR]]))</f>
        <v>1</v>
      </c>
      <c r="AT1130" s="8" t="b">
        <f>NOT(ISBLANK(MasterTable[[#This Row],[Total
Time]]))</f>
        <v>1</v>
      </c>
    </row>
    <row r="1131" spans="4:46" ht="28.8" x14ac:dyDescent="0.3">
      <c r="D1131" s="22">
        <v>41938</v>
      </c>
      <c r="E1131" s="8" t="s">
        <v>88</v>
      </c>
      <c r="F1131" s="8" t="s">
        <v>293</v>
      </c>
      <c r="G1131" s="8" t="s">
        <v>300</v>
      </c>
      <c r="I1131" s="10">
        <v>0</v>
      </c>
      <c r="J1131" s="10">
        <v>0</v>
      </c>
      <c r="L1131" s="10">
        <v>0</v>
      </c>
      <c r="M1131" s="13">
        <v>0</v>
      </c>
      <c r="N1131" s="13"/>
      <c r="O1131" s="10">
        <v>0</v>
      </c>
      <c r="P1131" s="10">
        <v>0</v>
      </c>
      <c r="Q1131" s="14">
        <v>0</v>
      </c>
      <c r="R1131" s="14">
        <v>0</v>
      </c>
      <c r="S1131" s="10">
        <v>0</v>
      </c>
      <c r="T1131" s="10">
        <v>0</v>
      </c>
      <c r="U1131" s="14">
        <v>0</v>
      </c>
      <c r="V1131" s="10"/>
      <c r="W1131" s="11">
        <v>2</v>
      </c>
      <c r="X1131" s="11">
        <v>2</v>
      </c>
      <c r="Y1131" s="11">
        <v>0</v>
      </c>
      <c r="Z1131" s="11">
        <v>0</v>
      </c>
      <c r="AA1131" s="11">
        <f>MasterTable[[#This Row],[Landings
Night]]+MasterTable[[#This Row],[Landings
Day]]</f>
        <v>2</v>
      </c>
      <c r="AB1131" s="10">
        <v>0</v>
      </c>
      <c r="AC1131" s="10">
        <v>0</v>
      </c>
      <c r="AD1131" s="11">
        <v>0</v>
      </c>
      <c r="AE1131" s="21">
        <f>SUM(MasterTable[[#This Row],[ILS]:[PAR]])</f>
        <v>0</v>
      </c>
      <c r="AL1131" s="11"/>
      <c r="AR1131" s="140" t="str">
        <f>_xlfn.XLOOKUP(MasterTable[[#This Row],[Aircraft ID]],Aircraft!A:A,Aircraft!H:H)</f>
        <v>Airplane Single Engine Land</v>
      </c>
      <c r="AS1131" s="8" t="b">
        <f>OR((SUM(MasterTable[[#This Row],[ILS]:[PAR]]) = MasterTable[[#This Row],[APPR]]))</f>
        <v>1</v>
      </c>
      <c r="AT1131" s="8" t="b">
        <f>NOT(ISBLANK(MasterTable[[#This Row],[Total
Time]]))</f>
        <v>1</v>
      </c>
    </row>
    <row r="1132" spans="4:46" ht="28.8" x14ac:dyDescent="0.3">
      <c r="D1132" s="22">
        <v>41937</v>
      </c>
      <c r="E1132" s="8" t="s">
        <v>174</v>
      </c>
      <c r="F1132" s="8" t="s">
        <v>202</v>
      </c>
      <c r="G1132" s="8" t="s">
        <v>219</v>
      </c>
      <c r="I1132" s="10">
        <v>1.2</v>
      </c>
      <c r="J1132" s="10">
        <v>0</v>
      </c>
      <c r="L1132" s="10">
        <v>0</v>
      </c>
      <c r="M1132" s="13">
        <v>0</v>
      </c>
      <c r="N1132" s="13"/>
      <c r="O1132" s="10">
        <v>0</v>
      </c>
      <c r="P1132" s="10">
        <v>1.2</v>
      </c>
      <c r="Q1132" s="14">
        <v>0</v>
      </c>
      <c r="R1132" s="14">
        <v>0</v>
      </c>
      <c r="S1132" s="10">
        <v>0</v>
      </c>
      <c r="T1132" s="10">
        <v>0</v>
      </c>
      <c r="U1132" s="14">
        <v>0</v>
      </c>
      <c r="V1132" s="10"/>
      <c r="W1132" s="11">
        <v>2</v>
      </c>
      <c r="X1132" s="11">
        <v>2</v>
      </c>
      <c r="Y1132" s="11">
        <v>0</v>
      </c>
      <c r="Z1132" s="11">
        <v>0</v>
      </c>
      <c r="AA1132" s="11">
        <f>MasterTable[[#This Row],[Landings
Night]]+MasterTable[[#This Row],[Landings
Day]]</f>
        <v>2</v>
      </c>
      <c r="AB1132" s="10">
        <v>0</v>
      </c>
      <c r="AC1132" s="10">
        <v>0</v>
      </c>
      <c r="AD1132" s="11">
        <v>0</v>
      </c>
      <c r="AE1132" s="21">
        <f>SUM(MasterTable[[#This Row],[ILS]:[PAR]])</f>
        <v>0</v>
      </c>
      <c r="AL1132" s="11"/>
      <c r="AR1132" s="140" t="str">
        <f>_xlfn.XLOOKUP(MasterTable[[#This Row],[Aircraft ID]],Aircraft!A:A,Aircraft!H:H)</f>
        <v>Airplane Single Engine Land</v>
      </c>
      <c r="AS1132" s="8" t="b">
        <f>OR((SUM(MasterTable[[#This Row],[ILS]:[PAR]]) = MasterTable[[#This Row],[APPR]]))</f>
        <v>1</v>
      </c>
      <c r="AT1132" s="8" t="b">
        <f>NOT(ISBLANK(MasterTable[[#This Row],[Total
Time]]))</f>
        <v>1</v>
      </c>
    </row>
    <row r="1133" spans="4:46" ht="28.8" x14ac:dyDescent="0.3">
      <c r="D1133" s="22">
        <v>41933</v>
      </c>
      <c r="E1133" s="8" t="s">
        <v>174</v>
      </c>
      <c r="F1133" s="8" t="s">
        <v>202</v>
      </c>
      <c r="G1133" s="8" t="s">
        <v>202</v>
      </c>
      <c r="I1133" s="10">
        <v>0.5</v>
      </c>
      <c r="J1133" s="10">
        <v>0.5</v>
      </c>
      <c r="L1133" s="10">
        <v>0</v>
      </c>
      <c r="M1133" s="13">
        <v>0</v>
      </c>
      <c r="N1133" s="13"/>
      <c r="O1133" s="10">
        <v>0</v>
      </c>
      <c r="P1133" s="10">
        <v>0</v>
      </c>
      <c r="Q1133" s="14">
        <v>0</v>
      </c>
      <c r="R1133" s="14">
        <v>0</v>
      </c>
      <c r="S1133" s="10">
        <v>0</v>
      </c>
      <c r="T1133" s="10">
        <v>0</v>
      </c>
      <c r="U1133" s="14">
        <v>0</v>
      </c>
      <c r="V1133" s="10"/>
      <c r="W1133" s="11">
        <v>3</v>
      </c>
      <c r="X1133" s="11">
        <v>3</v>
      </c>
      <c r="Y1133" s="11">
        <v>0</v>
      </c>
      <c r="Z1133" s="11">
        <v>0</v>
      </c>
      <c r="AA1133" s="11">
        <f>MasterTable[[#This Row],[Landings
Night]]+MasterTable[[#This Row],[Landings
Day]]</f>
        <v>3</v>
      </c>
      <c r="AB1133" s="10">
        <v>0</v>
      </c>
      <c r="AC1133" s="10">
        <v>0</v>
      </c>
      <c r="AD1133" s="11">
        <v>0</v>
      </c>
      <c r="AE1133" s="21">
        <f>SUM(MasterTable[[#This Row],[ILS]:[PAR]])</f>
        <v>0</v>
      </c>
      <c r="AL1133" s="11"/>
      <c r="AR1133" s="140" t="str">
        <f>_xlfn.XLOOKUP(MasterTable[[#This Row],[Aircraft ID]],Aircraft!A:A,Aircraft!H:H)</f>
        <v>Airplane Single Engine Land</v>
      </c>
      <c r="AS1133" s="8" t="b">
        <f>OR((SUM(MasterTable[[#This Row],[ILS]:[PAR]]) = MasterTable[[#This Row],[APPR]]))</f>
        <v>1</v>
      </c>
      <c r="AT1133" s="8" t="b">
        <f>NOT(ISBLANK(MasterTable[[#This Row],[Total
Time]]))</f>
        <v>1</v>
      </c>
    </row>
    <row r="1134" spans="4:46" ht="28.8" x14ac:dyDescent="0.3">
      <c r="D1134" s="22">
        <v>41918</v>
      </c>
      <c r="E1134" s="8" t="s">
        <v>174</v>
      </c>
      <c r="F1134" s="8" t="s">
        <v>202</v>
      </c>
      <c r="G1134" s="8" t="s">
        <v>202</v>
      </c>
      <c r="I1134" s="10">
        <v>1.5</v>
      </c>
      <c r="J1134" s="10">
        <v>1.5</v>
      </c>
      <c r="L1134" s="10">
        <v>0</v>
      </c>
      <c r="M1134" s="13">
        <v>0</v>
      </c>
      <c r="N1134" s="13"/>
      <c r="O1134" s="10">
        <v>0</v>
      </c>
      <c r="P1134" s="10">
        <v>0</v>
      </c>
      <c r="Q1134" s="14">
        <v>0</v>
      </c>
      <c r="R1134" s="14">
        <v>0</v>
      </c>
      <c r="S1134" s="10">
        <v>0</v>
      </c>
      <c r="T1134" s="10">
        <v>0</v>
      </c>
      <c r="U1134" s="14">
        <v>0</v>
      </c>
      <c r="V1134" s="10"/>
      <c r="W1134" s="11">
        <v>4</v>
      </c>
      <c r="X1134" s="11">
        <v>4</v>
      </c>
      <c r="Y1134" s="11">
        <v>0</v>
      </c>
      <c r="Z1134" s="11">
        <v>0</v>
      </c>
      <c r="AA1134" s="11">
        <f>MasterTable[[#This Row],[Landings
Night]]+MasterTable[[#This Row],[Landings
Day]]</f>
        <v>4</v>
      </c>
      <c r="AB1134" s="10">
        <v>0</v>
      </c>
      <c r="AC1134" s="10">
        <v>0</v>
      </c>
      <c r="AD1134" s="11">
        <v>0</v>
      </c>
      <c r="AE1134" s="21">
        <f>SUM(MasterTable[[#This Row],[ILS]:[PAR]])</f>
        <v>0</v>
      </c>
      <c r="AL1134" s="11"/>
      <c r="AM1134" s="8" t="s">
        <v>436</v>
      </c>
      <c r="AR1134" s="140" t="str">
        <f>_xlfn.XLOOKUP(MasterTable[[#This Row],[Aircraft ID]],Aircraft!A:A,Aircraft!H:H)</f>
        <v>Airplane Single Engine Land</v>
      </c>
      <c r="AS1134" s="8" t="b">
        <f>OR((SUM(MasterTable[[#This Row],[ILS]:[PAR]]) = MasterTable[[#This Row],[APPR]]))</f>
        <v>1</v>
      </c>
      <c r="AT1134" s="8" t="b">
        <f>NOT(ISBLANK(MasterTable[[#This Row],[Total
Time]]))</f>
        <v>1</v>
      </c>
    </row>
    <row r="1135" spans="4:46" ht="28.8" x14ac:dyDescent="0.3">
      <c r="D1135" s="22">
        <v>41917</v>
      </c>
      <c r="E1135" s="8" t="s">
        <v>174</v>
      </c>
      <c r="F1135" s="8" t="s">
        <v>202</v>
      </c>
      <c r="G1135" s="8" t="s">
        <v>202</v>
      </c>
      <c r="I1135" s="10">
        <v>1.2</v>
      </c>
      <c r="J1135" s="10">
        <v>0</v>
      </c>
      <c r="L1135" s="10">
        <v>0</v>
      </c>
      <c r="M1135" s="13">
        <v>0</v>
      </c>
      <c r="N1135" s="13"/>
      <c r="O1135" s="10">
        <v>0</v>
      </c>
      <c r="P1135" s="10">
        <v>1.2</v>
      </c>
      <c r="Q1135" s="14">
        <v>0</v>
      </c>
      <c r="R1135" s="14">
        <v>0</v>
      </c>
      <c r="S1135" s="10">
        <v>0</v>
      </c>
      <c r="T1135" s="10">
        <v>0</v>
      </c>
      <c r="U1135" s="14">
        <v>0</v>
      </c>
      <c r="V1135" s="10"/>
      <c r="W1135" s="11">
        <v>3</v>
      </c>
      <c r="X1135" s="11">
        <v>3</v>
      </c>
      <c r="Y1135" s="11">
        <v>0</v>
      </c>
      <c r="Z1135" s="11">
        <v>0</v>
      </c>
      <c r="AA1135" s="11">
        <f>MasterTable[[#This Row],[Landings
Night]]+MasterTable[[#This Row],[Landings
Day]]</f>
        <v>3</v>
      </c>
      <c r="AB1135" s="10">
        <v>0</v>
      </c>
      <c r="AC1135" s="10">
        <v>0</v>
      </c>
      <c r="AD1135" s="11">
        <v>0</v>
      </c>
      <c r="AE1135" s="21">
        <f>SUM(MasterTable[[#This Row],[ILS]:[PAR]])</f>
        <v>0</v>
      </c>
      <c r="AL1135" s="11"/>
      <c r="AR1135" s="140" t="str">
        <f>_xlfn.XLOOKUP(MasterTable[[#This Row],[Aircraft ID]],Aircraft!A:A,Aircraft!H:H)</f>
        <v>Airplane Single Engine Land</v>
      </c>
      <c r="AS1135" s="8" t="b">
        <f>OR((SUM(MasterTable[[#This Row],[ILS]:[PAR]]) = MasterTable[[#This Row],[APPR]]))</f>
        <v>1</v>
      </c>
      <c r="AT1135" s="8" t="b">
        <f>NOT(ISBLANK(MasterTable[[#This Row],[Total
Time]]))</f>
        <v>1</v>
      </c>
    </row>
    <row r="1136" spans="4:46" ht="28.8" x14ac:dyDescent="0.3">
      <c r="D1136" s="22">
        <v>41903</v>
      </c>
      <c r="E1136" s="8" t="s">
        <v>174</v>
      </c>
      <c r="F1136" s="8" t="s">
        <v>202</v>
      </c>
      <c r="G1136" s="8" t="s">
        <v>259</v>
      </c>
      <c r="I1136" s="10">
        <v>1.4</v>
      </c>
      <c r="J1136" s="10">
        <v>0</v>
      </c>
      <c r="L1136" s="10">
        <v>0</v>
      </c>
      <c r="M1136" s="13">
        <v>0</v>
      </c>
      <c r="N1136" s="13"/>
      <c r="O1136" s="10">
        <v>0</v>
      </c>
      <c r="P1136" s="10">
        <v>1.4</v>
      </c>
      <c r="Q1136" s="14">
        <v>0</v>
      </c>
      <c r="R1136" s="14">
        <v>0</v>
      </c>
      <c r="S1136" s="10">
        <v>0</v>
      </c>
      <c r="T1136" s="10">
        <v>0</v>
      </c>
      <c r="U1136" s="14">
        <v>0</v>
      </c>
      <c r="V1136" s="10"/>
      <c r="W1136" s="11">
        <v>2</v>
      </c>
      <c r="X1136" s="11">
        <v>2</v>
      </c>
      <c r="Y1136" s="11">
        <v>0</v>
      </c>
      <c r="Z1136" s="11">
        <v>0</v>
      </c>
      <c r="AA1136" s="11">
        <f>MasterTable[[#This Row],[Landings
Night]]+MasterTable[[#This Row],[Landings
Day]]</f>
        <v>2</v>
      </c>
      <c r="AB1136" s="10">
        <v>0</v>
      </c>
      <c r="AC1136" s="10">
        <v>0</v>
      </c>
      <c r="AD1136" s="11">
        <v>0</v>
      </c>
      <c r="AE1136" s="21">
        <f>SUM(MasterTable[[#This Row],[ILS]:[PAR]])</f>
        <v>0</v>
      </c>
      <c r="AL1136" s="11"/>
      <c r="AR1136" s="140" t="str">
        <f>_xlfn.XLOOKUP(MasterTable[[#This Row],[Aircraft ID]],Aircraft!A:A,Aircraft!H:H)</f>
        <v>Airplane Single Engine Land</v>
      </c>
      <c r="AS1136" s="8" t="b">
        <f>OR((SUM(MasterTable[[#This Row],[ILS]:[PAR]]) = MasterTable[[#This Row],[APPR]]))</f>
        <v>1</v>
      </c>
      <c r="AT1136" s="8" t="b">
        <f>NOT(ISBLANK(MasterTable[[#This Row],[Total
Time]]))</f>
        <v>1</v>
      </c>
    </row>
    <row r="1137" spans="4:46" ht="28.8" x14ac:dyDescent="0.3">
      <c r="D1137" s="22">
        <v>41903</v>
      </c>
      <c r="E1137" s="8" t="s">
        <v>53</v>
      </c>
      <c r="F1137" s="8" t="s">
        <v>259</v>
      </c>
      <c r="G1137" s="8" t="s">
        <v>259</v>
      </c>
      <c r="I1137" s="10">
        <v>0.8</v>
      </c>
      <c r="J1137" s="10">
        <v>0</v>
      </c>
      <c r="L1137" s="10">
        <v>0</v>
      </c>
      <c r="M1137" s="13">
        <v>0</v>
      </c>
      <c r="N1137" s="13"/>
      <c r="O1137" s="10">
        <v>0</v>
      </c>
      <c r="P1137" s="10">
        <v>0.8</v>
      </c>
      <c r="Q1137" s="14">
        <v>0</v>
      </c>
      <c r="R1137" s="14">
        <v>0</v>
      </c>
      <c r="S1137" s="10">
        <v>0</v>
      </c>
      <c r="T1137" s="10">
        <v>0</v>
      </c>
      <c r="U1137" s="14">
        <v>0</v>
      </c>
      <c r="V1137" s="10"/>
      <c r="W1137" s="11">
        <v>1</v>
      </c>
      <c r="X1137" s="11">
        <v>1</v>
      </c>
      <c r="Y1137" s="11">
        <v>0</v>
      </c>
      <c r="Z1137" s="11">
        <v>0</v>
      </c>
      <c r="AA1137" s="11">
        <f>MasterTable[[#This Row],[Landings
Night]]+MasterTable[[#This Row],[Landings
Day]]</f>
        <v>1</v>
      </c>
      <c r="AB1137" s="10">
        <v>0</v>
      </c>
      <c r="AC1137" s="10">
        <v>0</v>
      </c>
      <c r="AD1137" s="11">
        <v>0</v>
      </c>
      <c r="AE1137" s="21">
        <f>SUM(MasterTable[[#This Row],[ILS]:[PAR]])</f>
        <v>0</v>
      </c>
      <c r="AL1137" s="11"/>
      <c r="AR1137" s="140" t="str">
        <f>_xlfn.XLOOKUP(MasterTable[[#This Row],[Aircraft ID]],Aircraft!A:A,Aircraft!H:H)</f>
        <v>Airplane Single Engine Land</v>
      </c>
      <c r="AS1137" s="8" t="b">
        <f>OR((SUM(MasterTable[[#This Row],[ILS]:[PAR]]) = MasterTable[[#This Row],[APPR]]))</f>
        <v>1</v>
      </c>
      <c r="AT1137" s="8" t="b">
        <f>NOT(ISBLANK(MasterTable[[#This Row],[Total
Time]]))</f>
        <v>1</v>
      </c>
    </row>
    <row r="1138" spans="4:46" ht="28.8" x14ac:dyDescent="0.3">
      <c r="D1138" s="22">
        <v>41896</v>
      </c>
      <c r="E1138" s="8" t="s">
        <v>37</v>
      </c>
      <c r="F1138" s="8" t="s">
        <v>270</v>
      </c>
      <c r="G1138" s="8" t="s">
        <v>202</v>
      </c>
      <c r="H1138" s="8" t="s">
        <v>437</v>
      </c>
      <c r="I1138" s="10">
        <v>0</v>
      </c>
      <c r="J1138" s="10">
        <v>0</v>
      </c>
      <c r="L1138" s="10">
        <v>0</v>
      </c>
      <c r="M1138" s="13">
        <v>0</v>
      </c>
      <c r="N1138" s="13"/>
      <c r="O1138" s="10">
        <v>0</v>
      </c>
      <c r="P1138" s="10">
        <v>0</v>
      </c>
      <c r="Q1138" s="14">
        <v>0</v>
      </c>
      <c r="R1138" s="14">
        <v>0</v>
      </c>
      <c r="S1138" s="10">
        <v>0</v>
      </c>
      <c r="T1138" s="10">
        <v>0</v>
      </c>
      <c r="U1138" s="14">
        <v>0</v>
      </c>
      <c r="V1138" s="10"/>
      <c r="W1138" s="11">
        <v>2</v>
      </c>
      <c r="X1138" s="11">
        <v>2</v>
      </c>
      <c r="Y1138" s="11">
        <v>0</v>
      </c>
      <c r="Z1138" s="11">
        <v>0</v>
      </c>
      <c r="AA1138" s="11">
        <f>MasterTable[[#This Row],[Landings
Night]]+MasterTable[[#This Row],[Landings
Day]]</f>
        <v>2</v>
      </c>
      <c r="AB1138" s="10">
        <v>0</v>
      </c>
      <c r="AC1138" s="10">
        <v>0</v>
      </c>
      <c r="AD1138" s="11">
        <v>0</v>
      </c>
      <c r="AE1138" s="21">
        <f>SUM(MasterTable[[#This Row],[ILS]:[PAR]])</f>
        <v>0</v>
      </c>
      <c r="AL1138" s="11"/>
      <c r="AR1138" s="140" t="str">
        <f>_xlfn.XLOOKUP(MasterTable[[#This Row],[Aircraft ID]],Aircraft!A:A,Aircraft!H:H)</f>
        <v>Airplane Multi Engine Land</v>
      </c>
      <c r="AS1138" s="8" t="b">
        <f>OR((SUM(MasterTable[[#This Row],[ILS]:[PAR]]) = MasterTable[[#This Row],[APPR]]))</f>
        <v>1</v>
      </c>
      <c r="AT1138" s="8" t="b">
        <f>NOT(ISBLANK(MasterTable[[#This Row],[Total
Time]]))</f>
        <v>1</v>
      </c>
    </row>
    <row r="1139" spans="4:46" ht="28.8" x14ac:dyDescent="0.3">
      <c r="D1139" s="22">
        <v>41893</v>
      </c>
      <c r="E1139" s="8" t="s">
        <v>37</v>
      </c>
      <c r="F1139" s="8" t="s">
        <v>202</v>
      </c>
      <c r="G1139" s="8" t="s">
        <v>270</v>
      </c>
      <c r="H1139" s="8" t="s">
        <v>536</v>
      </c>
      <c r="I1139" s="10">
        <v>0</v>
      </c>
      <c r="J1139" s="10">
        <v>0</v>
      </c>
      <c r="L1139" s="10">
        <v>0</v>
      </c>
      <c r="M1139" s="13">
        <v>0</v>
      </c>
      <c r="N1139" s="13"/>
      <c r="O1139" s="10">
        <v>0</v>
      </c>
      <c r="P1139" s="10">
        <v>0</v>
      </c>
      <c r="Q1139" s="14">
        <v>0</v>
      </c>
      <c r="R1139" s="14">
        <v>0</v>
      </c>
      <c r="S1139" s="10">
        <v>0</v>
      </c>
      <c r="T1139" s="10">
        <v>0</v>
      </c>
      <c r="U1139" s="14">
        <v>0</v>
      </c>
      <c r="V1139" s="10"/>
      <c r="W1139" s="11">
        <v>2</v>
      </c>
      <c r="X1139" s="11">
        <v>2</v>
      </c>
      <c r="Y1139" s="11">
        <v>0</v>
      </c>
      <c r="Z1139" s="11">
        <v>0</v>
      </c>
      <c r="AA1139" s="11">
        <f>MasterTable[[#This Row],[Landings
Night]]+MasterTable[[#This Row],[Landings
Day]]</f>
        <v>2</v>
      </c>
      <c r="AB1139" s="10">
        <v>0</v>
      </c>
      <c r="AC1139" s="10">
        <v>0</v>
      </c>
      <c r="AD1139" s="11">
        <v>0</v>
      </c>
      <c r="AE1139" s="21">
        <f>SUM(MasterTable[[#This Row],[ILS]:[PAR]])</f>
        <v>0</v>
      </c>
      <c r="AL1139" s="11"/>
      <c r="AR1139" s="140" t="str">
        <f>_xlfn.XLOOKUP(MasterTable[[#This Row],[Aircraft ID]],Aircraft!A:A,Aircraft!H:H)</f>
        <v>Airplane Multi Engine Land</v>
      </c>
      <c r="AS1139" s="8" t="b">
        <f>OR((SUM(MasterTable[[#This Row],[ILS]:[PAR]]) = MasterTable[[#This Row],[APPR]]))</f>
        <v>1</v>
      </c>
      <c r="AT1139" s="8" t="b">
        <f>NOT(ISBLANK(MasterTable[[#This Row],[Total
Time]]))</f>
        <v>1</v>
      </c>
    </row>
    <row r="1140" spans="4:46" ht="28.8" x14ac:dyDescent="0.3">
      <c r="D1140" s="22">
        <v>41889</v>
      </c>
      <c r="E1140" s="8" t="s">
        <v>174</v>
      </c>
      <c r="F1140" s="8" t="s">
        <v>202</v>
      </c>
      <c r="G1140" s="8" t="s">
        <v>293</v>
      </c>
      <c r="I1140" s="10">
        <v>1.3</v>
      </c>
      <c r="J1140" s="10">
        <v>0</v>
      </c>
      <c r="L1140" s="10">
        <v>0</v>
      </c>
      <c r="M1140" s="13">
        <v>0</v>
      </c>
      <c r="N1140" s="13"/>
      <c r="O1140" s="10">
        <v>0</v>
      </c>
      <c r="P1140" s="10">
        <v>1.3</v>
      </c>
      <c r="Q1140" s="14">
        <v>0</v>
      </c>
      <c r="R1140" s="14">
        <v>0</v>
      </c>
      <c r="S1140" s="10">
        <v>0</v>
      </c>
      <c r="T1140" s="10">
        <v>0</v>
      </c>
      <c r="U1140" s="14">
        <v>0</v>
      </c>
      <c r="V1140" s="10"/>
      <c r="W1140" s="11">
        <v>6</v>
      </c>
      <c r="X1140" s="11">
        <v>6</v>
      </c>
      <c r="Y1140" s="11">
        <v>0</v>
      </c>
      <c r="Z1140" s="11">
        <v>0</v>
      </c>
      <c r="AA1140" s="11">
        <f>MasterTable[[#This Row],[Landings
Night]]+MasterTable[[#This Row],[Landings
Day]]</f>
        <v>6</v>
      </c>
      <c r="AB1140" s="10">
        <v>0</v>
      </c>
      <c r="AC1140" s="10">
        <v>0</v>
      </c>
      <c r="AD1140" s="11">
        <v>0</v>
      </c>
      <c r="AE1140" s="21">
        <f>SUM(MasterTable[[#This Row],[ILS]:[PAR]])</f>
        <v>0</v>
      </c>
      <c r="AL1140" s="11"/>
      <c r="AR1140" s="140" t="str">
        <f>_xlfn.XLOOKUP(MasterTable[[#This Row],[Aircraft ID]],Aircraft!A:A,Aircraft!H:H)</f>
        <v>Airplane Single Engine Land</v>
      </c>
      <c r="AS1140" s="8" t="b">
        <f>OR((SUM(MasterTable[[#This Row],[ILS]:[PAR]]) = MasterTable[[#This Row],[APPR]]))</f>
        <v>1</v>
      </c>
      <c r="AT1140" s="8" t="b">
        <f>NOT(ISBLANK(MasterTable[[#This Row],[Total
Time]]))</f>
        <v>1</v>
      </c>
    </row>
    <row r="1141" spans="4:46" ht="28.8" x14ac:dyDescent="0.3">
      <c r="D1141" s="22">
        <v>41883</v>
      </c>
      <c r="E1141" s="8" t="s">
        <v>174</v>
      </c>
      <c r="F1141" s="8" t="s">
        <v>202</v>
      </c>
      <c r="G1141" s="8" t="s">
        <v>265</v>
      </c>
      <c r="H1141" s="8" t="s">
        <v>537</v>
      </c>
      <c r="I1141" s="10">
        <v>1.7</v>
      </c>
      <c r="J1141" s="10">
        <v>0</v>
      </c>
      <c r="L1141" s="10">
        <v>0</v>
      </c>
      <c r="M1141" s="13">
        <v>0</v>
      </c>
      <c r="N1141" s="13"/>
      <c r="O1141" s="10">
        <v>0</v>
      </c>
      <c r="P1141" s="10">
        <v>1.7</v>
      </c>
      <c r="Q1141" s="14">
        <v>0</v>
      </c>
      <c r="R1141" s="14">
        <v>0</v>
      </c>
      <c r="S1141" s="10">
        <v>0</v>
      </c>
      <c r="T1141" s="10">
        <v>0</v>
      </c>
      <c r="U1141" s="14">
        <v>0</v>
      </c>
      <c r="V1141" s="10"/>
      <c r="W1141" s="11">
        <v>5</v>
      </c>
      <c r="X1141" s="11">
        <v>5</v>
      </c>
      <c r="Y1141" s="11">
        <v>0</v>
      </c>
      <c r="Z1141" s="11">
        <v>0</v>
      </c>
      <c r="AA1141" s="11">
        <f>MasterTable[[#This Row],[Landings
Night]]+MasterTable[[#This Row],[Landings
Day]]</f>
        <v>5</v>
      </c>
      <c r="AB1141" s="10">
        <v>0</v>
      </c>
      <c r="AC1141" s="10">
        <v>0</v>
      </c>
      <c r="AD1141" s="11">
        <v>0</v>
      </c>
      <c r="AE1141" s="21">
        <f>SUM(MasterTable[[#This Row],[ILS]:[PAR]])</f>
        <v>0</v>
      </c>
      <c r="AL1141" s="11"/>
      <c r="AR1141" s="140" t="str">
        <f>_xlfn.XLOOKUP(MasterTable[[#This Row],[Aircraft ID]],Aircraft!A:A,Aircraft!H:H)</f>
        <v>Airplane Single Engine Land</v>
      </c>
      <c r="AS1141" s="8" t="b">
        <f>OR((SUM(MasterTable[[#This Row],[ILS]:[PAR]]) = MasterTable[[#This Row],[APPR]]))</f>
        <v>1</v>
      </c>
      <c r="AT1141" s="8" t="b">
        <f>NOT(ISBLANK(MasterTable[[#This Row],[Total
Time]]))</f>
        <v>1</v>
      </c>
    </row>
    <row r="1142" spans="4:46" ht="28.8" x14ac:dyDescent="0.3">
      <c r="D1142" s="22">
        <v>41877</v>
      </c>
      <c r="E1142" s="8" t="s">
        <v>174</v>
      </c>
      <c r="F1142" s="8" t="s">
        <v>202</v>
      </c>
      <c r="G1142" s="8" t="s">
        <v>325</v>
      </c>
      <c r="I1142" s="10">
        <v>2.7</v>
      </c>
      <c r="J1142" s="10">
        <v>0</v>
      </c>
      <c r="L1142" s="10">
        <v>0</v>
      </c>
      <c r="M1142" s="13">
        <v>0</v>
      </c>
      <c r="N1142" s="13"/>
      <c r="O1142" s="10">
        <v>0</v>
      </c>
      <c r="P1142" s="10">
        <v>2.7</v>
      </c>
      <c r="Q1142" s="14">
        <v>0</v>
      </c>
      <c r="R1142" s="14">
        <v>0</v>
      </c>
      <c r="S1142" s="10">
        <v>0</v>
      </c>
      <c r="T1142" s="10">
        <v>2.7</v>
      </c>
      <c r="U1142" s="14">
        <v>0</v>
      </c>
      <c r="V1142" s="10"/>
      <c r="W1142" s="11">
        <v>2</v>
      </c>
      <c r="X1142" s="11">
        <v>2</v>
      </c>
      <c r="Y1142" s="11">
        <v>0</v>
      </c>
      <c r="Z1142" s="11">
        <v>0</v>
      </c>
      <c r="AA1142" s="11">
        <f>MasterTable[[#This Row],[Landings
Night]]+MasterTable[[#This Row],[Landings
Day]]</f>
        <v>2</v>
      </c>
      <c r="AB1142" s="10">
        <v>0</v>
      </c>
      <c r="AC1142" s="10">
        <v>0</v>
      </c>
      <c r="AD1142" s="11">
        <v>0</v>
      </c>
      <c r="AE1142" s="21">
        <f>SUM(MasterTable[[#This Row],[ILS]:[PAR]])</f>
        <v>0</v>
      </c>
      <c r="AL1142" s="11"/>
      <c r="AR1142" s="140" t="str">
        <f>_xlfn.XLOOKUP(MasterTable[[#This Row],[Aircraft ID]],Aircraft!A:A,Aircraft!H:H)</f>
        <v>Airplane Single Engine Land</v>
      </c>
      <c r="AS1142" s="8" t="b">
        <f>OR((SUM(MasterTable[[#This Row],[ILS]:[PAR]]) = MasterTable[[#This Row],[APPR]]))</f>
        <v>1</v>
      </c>
      <c r="AT1142" s="8" t="b">
        <f>NOT(ISBLANK(MasterTable[[#This Row],[Total
Time]]))</f>
        <v>1</v>
      </c>
    </row>
    <row r="1143" spans="4:46" ht="28.8" x14ac:dyDescent="0.3">
      <c r="D1143" s="22">
        <v>41868</v>
      </c>
      <c r="E1143" s="8" t="s">
        <v>174</v>
      </c>
      <c r="F1143" s="8" t="s">
        <v>202</v>
      </c>
      <c r="G1143" s="8" t="s">
        <v>303</v>
      </c>
      <c r="I1143" s="10">
        <v>1.9</v>
      </c>
      <c r="J1143" s="10">
        <v>0</v>
      </c>
      <c r="L1143" s="10">
        <v>0</v>
      </c>
      <c r="M1143" s="13">
        <v>0</v>
      </c>
      <c r="N1143" s="13"/>
      <c r="O1143" s="10">
        <v>0</v>
      </c>
      <c r="P1143" s="10">
        <v>1.9</v>
      </c>
      <c r="Q1143" s="14">
        <v>0</v>
      </c>
      <c r="R1143" s="14">
        <v>0</v>
      </c>
      <c r="S1143" s="10">
        <v>0.1</v>
      </c>
      <c r="T1143" s="10">
        <v>1.9</v>
      </c>
      <c r="U1143" s="14">
        <v>0</v>
      </c>
      <c r="V1143" s="10"/>
      <c r="W1143" s="11">
        <v>2</v>
      </c>
      <c r="X1143" s="11">
        <v>2</v>
      </c>
      <c r="Y1143" s="11">
        <v>0</v>
      </c>
      <c r="Z1143" s="11">
        <v>0</v>
      </c>
      <c r="AA1143" s="11">
        <f>MasterTable[[#This Row],[Landings
Night]]+MasterTable[[#This Row],[Landings
Day]]</f>
        <v>2</v>
      </c>
      <c r="AB1143" s="10">
        <v>0.2</v>
      </c>
      <c r="AC1143" s="10">
        <v>0</v>
      </c>
      <c r="AD1143" s="11">
        <v>0</v>
      </c>
      <c r="AE1143" s="21">
        <f>SUM(MasterTable[[#This Row],[ILS]:[PAR]])</f>
        <v>0</v>
      </c>
      <c r="AL1143" s="11"/>
      <c r="AR1143" s="140" t="str">
        <f>_xlfn.XLOOKUP(MasterTable[[#This Row],[Aircraft ID]],Aircraft!A:A,Aircraft!H:H)</f>
        <v>Airplane Single Engine Land</v>
      </c>
      <c r="AS1143" s="8" t="b">
        <f>OR((SUM(MasterTable[[#This Row],[ILS]:[PAR]]) = MasterTable[[#This Row],[APPR]]))</f>
        <v>1</v>
      </c>
      <c r="AT1143" s="8" t="b">
        <f>NOT(ISBLANK(MasterTable[[#This Row],[Total
Time]]))</f>
        <v>1</v>
      </c>
    </row>
    <row r="1144" spans="4:46" ht="28.8" x14ac:dyDescent="0.3">
      <c r="D1144" s="22">
        <v>41868</v>
      </c>
      <c r="E1144" s="8" t="s">
        <v>174</v>
      </c>
      <c r="F1144" s="8" t="s">
        <v>202</v>
      </c>
      <c r="G1144" s="8" t="s">
        <v>325</v>
      </c>
      <c r="I1144" s="10">
        <v>2.6</v>
      </c>
      <c r="J1144" s="10">
        <v>0</v>
      </c>
      <c r="L1144" s="10">
        <v>0</v>
      </c>
      <c r="M1144" s="13">
        <v>0</v>
      </c>
      <c r="N1144" s="13"/>
      <c r="O1144" s="10">
        <v>0</v>
      </c>
      <c r="P1144" s="10">
        <v>2.6</v>
      </c>
      <c r="Q1144" s="14">
        <v>0</v>
      </c>
      <c r="R1144" s="14">
        <v>0</v>
      </c>
      <c r="S1144" s="10">
        <v>0</v>
      </c>
      <c r="T1144" s="10">
        <v>2.6</v>
      </c>
      <c r="U1144" s="14">
        <v>0</v>
      </c>
      <c r="V1144" s="10"/>
      <c r="W1144" s="11">
        <v>2</v>
      </c>
      <c r="X1144" s="11">
        <v>2</v>
      </c>
      <c r="Y1144" s="11">
        <v>0</v>
      </c>
      <c r="Z1144" s="11">
        <v>0</v>
      </c>
      <c r="AA1144" s="11">
        <f>MasterTable[[#This Row],[Landings
Night]]+MasterTable[[#This Row],[Landings
Day]]</f>
        <v>2</v>
      </c>
      <c r="AB1144" s="10">
        <v>0</v>
      </c>
      <c r="AC1144" s="10">
        <v>0</v>
      </c>
      <c r="AD1144" s="11">
        <v>0</v>
      </c>
      <c r="AE1144" s="21">
        <f>SUM(MasterTable[[#This Row],[ILS]:[PAR]])</f>
        <v>0</v>
      </c>
      <c r="AL1144" s="11"/>
      <c r="AR1144" s="140" t="str">
        <f>_xlfn.XLOOKUP(MasterTable[[#This Row],[Aircraft ID]],Aircraft!A:A,Aircraft!H:H)</f>
        <v>Airplane Single Engine Land</v>
      </c>
      <c r="AS1144" s="8" t="b">
        <f>OR((SUM(MasterTable[[#This Row],[ILS]:[PAR]]) = MasterTable[[#This Row],[APPR]]))</f>
        <v>1</v>
      </c>
      <c r="AT1144" s="8" t="b">
        <f>NOT(ISBLANK(MasterTable[[#This Row],[Total
Time]]))</f>
        <v>1</v>
      </c>
    </row>
    <row r="1145" spans="4:46" ht="28.8" x14ac:dyDescent="0.3">
      <c r="D1145" s="22">
        <v>41860</v>
      </c>
      <c r="E1145" s="8" t="s">
        <v>174</v>
      </c>
      <c r="F1145" s="8" t="s">
        <v>202</v>
      </c>
      <c r="G1145" s="8" t="s">
        <v>202</v>
      </c>
      <c r="I1145" s="10">
        <v>0.8</v>
      </c>
      <c r="J1145" s="10">
        <v>0</v>
      </c>
      <c r="L1145" s="10">
        <v>0</v>
      </c>
      <c r="M1145" s="13">
        <v>0</v>
      </c>
      <c r="N1145" s="13"/>
      <c r="O1145" s="10">
        <v>0</v>
      </c>
      <c r="P1145" s="10">
        <v>0.8</v>
      </c>
      <c r="Q1145" s="14">
        <v>0</v>
      </c>
      <c r="R1145" s="14">
        <v>0</v>
      </c>
      <c r="S1145" s="10">
        <v>0</v>
      </c>
      <c r="T1145" s="10">
        <v>0</v>
      </c>
      <c r="U1145" s="14">
        <v>0</v>
      </c>
      <c r="V1145" s="10"/>
      <c r="W1145" s="11">
        <v>4</v>
      </c>
      <c r="X1145" s="11">
        <v>4</v>
      </c>
      <c r="Y1145" s="11">
        <v>0</v>
      </c>
      <c r="Z1145" s="11">
        <v>0</v>
      </c>
      <c r="AA1145" s="11">
        <f>MasterTable[[#This Row],[Landings
Night]]+MasterTable[[#This Row],[Landings
Day]]</f>
        <v>4</v>
      </c>
      <c r="AB1145" s="10">
        <v>0</v>
      </c>
      <c r="AC1145" s="10">
        <v>0</v>
      </c>
      <c r="AD1145" s="11">
        <v>0</v>
      </c>
      <c r="AE1145" s="21">
        <f>SUM(MasterTable[[#This Row],[ILS]:[PAR]])</f>
        <v>0</v>
      </c>
      <c r="AL1145" s="11"/>
      <c r="AR1145" s="140" t="str">
        <f>_xlfn.XLOOKUP(MasterTable[[#This Row],[Aircraft ID]],Aircraft!A:A,Aircraft!H:H)</f>
        <v>Airplane Single Engine Land</v>
      </c>
      <c r="AS1145" s="8" t="b">
        <f>OR((SUM(MasterTable[[#This Row],[ILS]:[PAR]]) = MasterTable[[#This Row],[APPR]]))</f>
        <v>1</v>
      </c>
      <c r="AT1145" s="8" t="b">
        <f>NOT(ISBLANK(MasterTable[[#This Row],[Total
Time]]))</f>
        <v>1</v>
      </c>
    </row>
    <row r="1146" spans="4:46" ht="28.8" x14ac:dyDescent="0.3">
      <c r="D1146" s="22">
        <v>41838</v>
      </c>
      <c r="E1146" s="8" t="s">
        <v>37</v>
      </c>
      <c r="F1146" s="8" t="s">
        <v>202</v>
      </c>
      <c r="G1146" s="8" t="s">
        <v>257</v>
      </c>
      <c r="H1146" s="8" t="s">
        <v>540</v>
      </c>
      <c r="I1146" s="10">
        <v>0</v>
      </c>
      <c r="J1146" s="10">
        <v>0</v>
      </c>
      <c r="L1146" s="10">
        <v>0</v>
      </c>
      <c r="M1146" s="13">
        <v>0</v>
      </c>
      <c r="N1146" s="13"/>
      <c r="O1146" s="10">
        <v>0</v>
      </c>
      <c r="P1146" s="10">
        <v>0</v>
      </c>
      <c r="Q1146" s="14">
        <v>0</v>
      </c>
      <c r="R1146" s="14">
        <v>0</v>
      </c>
      <c r="S1146" s="10">
        <v>0</v>
      </c>
      <c r="T1146" s="10">
        <v>0</v>
      </c>
      <c r="U1146" s="14">
        <v>0</v>
      </c>
      <c r="V1146" s="10"/>
      <c r="W1146" s="11">
        <v>3</v>
      </c>
      <c r="X1146" s="11">
        <v>3</v>
      </c>
      <c r="Y1146" s="11">
        <v>0</v>
      </c>
      <c r="Z1146" s="11">
        <v>0</v>
      </c>
      <c r="AA1146" s="11">
        <f>MasterTable[[#This Row],[Landings
Night]]+MasterTable[[#This Row],[Landings
Day]]</f>
        <v>3</v>
      </c>
      <c r="AB1146" s="10">
        <v>0</v>
      </c>
      <c r="AC1146" s="10">
        <v>0</v>
      </c>
      <c r="AD1146" s="11">
        <v>0</v>
      </c>
      <c r="AE1146" s="21">
        <f>SUM(MasterTable[[#This Row],[ILS]:[PAR]])</f>
        <v>0</v>
      </c>
      <c r="AL1146" s="11"/>
      <c r="AR1146" s="140" t="str">
        <f>_xlfn.XLOOKUP(MasterTable[[#This Row],[Aircraft ID]],Aircraft!A:A,Aircraft!H:H)</f>
        <v>Airplane Multi Engine Land</v>
      </c>
      <c r="AS1146" s="8" t="b">
        <f>OR((SUM(MasterTable[[#This Row],[ILS]:[PAR]]) = MasterTable[[#This Row],[APPR]]))</f>
        <v>1</v>
      </c>
      <c r="AT1146" s="8" t="b">
        <f>NOT(ISBLANK(MasterTable[[#This Row],[Total
Time]]))</f>
        <v>1</v>
      </c>
    </row>
    <row r="1147" spans="4:46" ht="28.8" x14ac:dyDescent="0.3">
      <c r="D1147" s="22">
        <v>41818</v>
      </c>
      <c r="E1147" s="8" t="s">
        <v>174</v>
      </c>
      <c r="F1147" s="8" t="s">
        <v>202</v>
      </c>
      <c r="G1147" s="8" t="s">
        <v>273</v>
      </c>
      <c r="I1147" s="10">
        <v>2.5</v>
      </c>
      <c r="J1147" s="10">
        <v>0</v>
      </c>
      <c r="L1147" s="10">
        <v>0</v>
      </c>
      <c r="M1147" s="13">
        <v>0</v>
      </c>
      <c r="N1147" s="13"/>
      <c r="O1147" s="10">
        <v>0</v>
      </c>
      <c r="P1147" s="10">
        <v>2.5</v>
      </c>
      <c r="Q1147" s="14">
        <v>0</v>
      </c>
      <c r="R1147" s="14">
        <v>0</v>
      </c>
      <c r="S1147" s="10">
        <v>0</v>
      </c>
      <c r="T1147" s="10">
        <v>2.5</v>
      </c>
      <c r="U1147" s="14">
        <v>0</v>
      </c>
      <c r="V1147" s="10"/>
      <c r="W1147" s="11">
        <v>2</v>
      </c>
      <c r="X1147" s="11">
        <v>2</v>
      </c>
      <c r="Y1147" s="11">
        <v>0</v>
      </c>
      <c r="Z1147" s="11">
        <v>0</v>
      </c>
      <c r="AA1147" s="11">
        <f>MasterTable[[#This Row],[Landings
Night]]+MasterTable[[#This Row],[Landings
Day]]</f>
        <v>2</v>
      </c>
      <c r="AB1147" s="10">
        <v>0</v>
      </c>
      <c r="AC1147" s="10">
        <v>0</v>
      </c>
      <c r="AD1147" s="11">
        <v>0</v>
      </c>
      <c r="AE1147" s="21">
        <f>SUM(MasterTable[[#This Row],[ILS]:[PAR]])</f>
        <v>0</v>
      </c>
      <c r="AL1147" s="11"/>
      <c r="AR1147" s="140" t="str">
        <f>_xlfn.XLOOKUP(MasterTable[[#This Row],[Aircraft ID]],Aircraft!A:A,Aircraft!H:H)</f>
        <v>Airplane Single Engine Land</v>
      </c>
      <c r="AS1147" s="8" t="b">
        <f>OR((SUM(MasterTable[[#This Row],[ILS]:[PAR]]) = MasterTable[[#This Row],[APPR]]))</f>
        <v>1</v>
      </c>
      <c r="AT1147" s="8" t="b">
        <f>NOT(ISBLANK(MasterTable[[#This Row],[Total
Time]]))</f>
        <v>1</v>
      </c>
    </row>
    <row r="1148" spans="4:46" ht="28.8" x14ac:dyDescent="0.3">
      <c r="D1148" s="22">
        <v>41810</v>
      </c>
      <c r="E1148" s="8" t="s">
        <v>37</v>
      </c>
      <c r="F1148" s="8" t="s">
        <v>202</v>
      </c>
      <c r="G1148" s="8" t="s">
        <v>351</v>
      </c>
      <c r="H1148" s="8" t="s">
        <v>539</v>
      </c>
      <c r="J1148" s="10">
        <v>0</v>
      </c>
      <c r="L1148" s="10">
        <v>0</v>
      </c>
      <c r="M1148" s="13">
        <v>0</v>
      </c>
      <c r="N1148" s="13"/>
      <c r="O1148" s="10">
        <v>0</v>
      </c>
      <c r="P1148" s="10">
        <v>0</v>
      </c>
      <c r="Q1148" s="14">
        <v>0</v>
      </c>
      <c r="R1148" s="14">
        <v>0</v>
      </c>
      <c r="S1148" s="10">
        <v>0</v>
      </c>
      <c r="T1148" s="10">
        <v>0</v>
      </c>
      <c r="U1148" s="14">
        <v>0</v>
      </c>
      <c r="V1148" s="10"/>
      <c r="W1148" s="11">
        <v>2</v>
      </c>
      <c r="X1148" s="11">
        <v>2</v>
      </c>
      <c r="Y1148" s="11">
        <v>0</v>
      </c>
      <c r="Z1148" s="11">
        <v>0</v>
      </c>
      <c r="AA1148" s="11">
        <f>MasterTable[[#This Row],[Landings
Night]]+MasterTable[[#This Row],[Landings
Day]]</f>
        <v>2</v>
      </c>
      <c r="AB1148" s="10">
        <v>0</v>
      </c>
      <c r="AC1148" s="10">
        <v>0</v>
      </c>
      <c r="AD1148" s="11">
        <v>0</v>
      </c>
      <c r="AE1148" s="21">
        <f>SUM(MasterTable[[#This Row],[ILS]:[PAR]])</f>
        <v>0</v>
      </c>
      <c r="AL1148" s="11"/>
      <c r="AR1148" s="140" t="str">
        <f>_xlfn.XLOOKUP(MasterTable[[#This Row],[Aircraft ID]],Aircraft!A:A,Aircraft!H:H)</f>
        <v>Airplane Multi Engine Land</v>
      </c>
      <c r="AS1148" s="8" t="b">
        <f>OR((SUM(MasterTable[[#This Row],[ILS]:[PAR]]) = MasterTable[[#This Row],[APPR]]))</f>
        <v>1</v>
      </c>
      <c r="AT1148" s="8" t="b">
        <f>NOT(ISBLANK(MasterTable[[#This Row],[Total
Time]]))</f>
        <v>0</v>
      </c>
    </row>
    <row r="1149" spans="4:46" ht="28.8" x14ac:dyDescent="0.3">
      <c r="D1149" s="22">
        <v>41780</v>
      </c>
      <c r="E1149" s="8" t="s">
        <v>174</v>
      </c>
      <c r="F1149" s="8" t="s">
        <v>202</v>
      </c>
      <c r="G1149" s="8" t="s">
        <v>202</v>
      </c>
      <c r="I1149" s="10">
        <v>0.7</v>
      </c>
      <c r="J1149" s="10">
        <v>0</v>
      </c>
      <c r="L1149" s="10">
        <v>0</v>
      </c>
      <c r="M1149" s="13">
        <v>0</v>
      </c>
      <c r="N1149" s="13"/>
      <c r="O1149" s="10">
        <v>0</v>
      </c>
      <c r="P1149" s="10">
        <v>0.7</v>
      </c>
      <c r="Q1149" s="14">
        <v>0</v>
      </c>
      <c r="R1149" s="14">
        <v>0</v>
      </c>
      <c r="S1149" s="10">
        <v>0</v>
      </c>
      <c r="T1149" s="10">
        <v>0</v>
      </c>
      <c r="U1149" s="14">
        <v>0</v>
      </c>
      <c r="V1149" s="10"/>
      <c r="W1149" s="11">
        <v>1</v>
      </c>
      <c r="X1149" s="11">
        <v>1</v>
      </c>
      <c r="Y1149" s="11">
        <v>0</v>
      </c>
      <c r="Z1149" s="11">
        <v>0</v>
      </c>
      <c r="AA1149" s="11">
        <f>MasterTable[[#This Row],[Landings
Night]]+MasterTable[[#This Row],[Landings
Day]]</f>
        <v>1</v>
      </c>
      <c r="AB1149" s="10">
        <v>0</v>
      </c>
      <c r="AC1149" s="10">
        <v>0</v>
      </c>
      <c r="AD1149" s="11">
        <v>0</v>
      </c>
      <c r="AE1149" s="21">
        <f>SUM(MasterTable[[#This Row],[ILS]:[PAR]])</f>
        <v>0</v>
      </c>
      <c r="AL1149" s="11"/>
      <c r="AR1149" s="140" t="str">
        <f>_xlfn.XLOOKUP(MasterTable[[#This Row],[Aircraft ID]],Aircraft!A:A,Aircraft!H:H)</f>
        <v>Airplane Single Engine Land</v>
      </c>
      <c r="AS1149" s="8" t="b">
        <f>OR((SUM(MasterTable[[#This Row],[ILS]:[PAR]]) = MasterTable[[#This Row],[APPR]]))</f>
        <v>1</v>
      </c>
      <c r="AT1149" s="8" t="b">
        <f>NOT(ISBLANK(MasterTable[[#This Row],[Total
Time]]))</f>
        <v>1</v>
      </c>
    </row>
    <row r="1150" spans="4:46" ht="28.8" x14ac:dyDescent="0.3">
      <c r="D1150" s="22">
        <v>41779</v>
      </c>
      <c r="E1150" s="8" t="s">
        <v>174</v>
      </c>
      <c r="F1150" s="8" t="s">
        <v>202</v>
      </c>
      <c r="G1150" s="8" t="s">
        <v>202</v>
      </c>
      <c r="I1150" s="10">
        <v>0.9</v>
      </c>
      <c r="J1150" s="10">
        <v>0</v>
      </c>
      <c r="L1150" s="10">
        <v>0</v>
      </c>
      <c r="M1150" s="13">
        <v>0</v>
      </c>
      <c r="N1150" s="13"/>
      <c r="O1150" s="10">
        <v>0</v>
      </c>
      <c r="P1150" s="10">
        <v>0.9</v>
      </c>
      <c r="Q1150" s="14">
        <v>0</v>
      </c>
      <c r="R1150" s="14">
        <v>0</v>
      </c>
      <c r="S1150" s="10">
        <v>0</v>
      </c>
      <c r="T1150" s="10">
        <v>0</v>
      </c>
      <c r="U1150" s="14">
        <v>0</v>
      </c>
      <c r="V1150" s="10"/>
      <c r="W1150" s="11">
        <v>5</v>
      </c>
      <c r="X1150" s="11">
        <v>5</v>
      </c>
      <c r="Y1150" s="11">
        <v>0</v>
      </c>
      <c r="Z1150" s="11">
        <v>0</v>
      </c>
      <c r="AA1150" s="11">
        <f>MasterTable[[#This Row],[Landings
Night]]+MasterTable[[#This Row],[Landings
Day]]</f>
        <v>5</v>
      </c>
      <c r="AB1150" s="10">
        <v>0</v>
      </c>
      <c r="AC1150" s="10">
        <v>0</v>
      </c>
      <c r="AD1150" s="11">
        <v>0</v>
      </c>
      <c r="AE1150" s="21">
        <f>SUM(MasterTable[[#This Row],[ILS]:[PAR]])</f>
        <v>0</v>
      </c>
      <c r="AL1150" s="11"/>
      <c r="AR1150" s="140" t="str">
        <f>_xlfn.XLOOKUP(MasterTable[[#This Row],[Aircraft ID]],Aircraft!A:A,Aircraft!H:H)</f>
        <v>Airplane Single Engine Land</v>
      </c>
      <c r="AS1150" s="8" t="b">
        <f>OR((SUM(MasterTable[[#This Row],[ILS]:[PAR]]) = MasterTable[[#This Row],[APPR]]))</f>
        <v>1</v>
      </c>
      <c r="AT1150" s="8" t="b">
        <f>NOT(ISBLANK(MasterTable[[#This Row],[Total
Time]]))</f>
        <v>1</v>
      </c>
    </row>
    <row r="1151" spans="4:46" ht="28.8" x14ac:dyDescent="0.3">
      <c r="D1151" s="22">
        <v>41778</v>
      </c>
      <c r="E1151" s="8" t="s">
        <v>174</v>
      </c>
      <c r="F1151" s="8" t="s">
        <v>202</v>
      </c>
      <c r="G1151" s="8" t="s">
        <v>202</v>
      </c>
      <c r="I1151" s="10">
        <v>0.8</v>
      </c>
      <c r="J1151" s="10">
        <v>0</v>
      </c>
      <c r="L1151" s="10">
        <v>0</v>
      </c>
      <c r="M1151" s="13">
        <v>0</v>
      </c>
      <c r="N1151" s="13"/>
      <c r="O1151" s="10">
        <v>0</v>
      </c>
      <c r="P1151" s="10">
        <v>0.8</v>
      </c>
      <c r="Q1151" s="14">
        <v>0</v>
      </c>
      <c r="R1151" s="14">
        <v>0</v>
      </c>
      <c r="S1151" s="10">
        <v>0</v>
      </c>
      <c r="T1151" s="10">
        <v>0</v>
      </c>
      <c r="U1151" s="14">
        <v>0</v>
      </c>
      <c r="V1151" s="10"/>
      <c r="W1151" s="11">
        <v>6</v>
      </c>
      <c r="X1151" s="11">
        <v>6</v>
      </c>
      <c r="Y1151" s="11">
        <v>0</v>
      </c>
      <c r="Z1151" s="11">
        <v>0</v>
      </c>
      <c r="AA1151" s="11">
        <f>MasterTable[[#This Row],[Landings
Night]]+MasterTable[[#This Row],[Landings
Day]]</f>
        <v>6</v>
      </c>
      <c r="AB1151" s="10">
        <v>0</v>
      </c>
      <c r="AC1151" s="10">
        <v>0</v>
      </c>
      <c r="AD1151" s="11">
        <v>0</v>
      </c>
      <c r="AE1151" s="21">
        <f>SUM(MasterTable[[#This Row],[ILS]:[PAR]])</f>
        <v>0</v>
      </c>
      <c r="AL1151" s="11"/>
      <c r="AR1151" s="140" t="str">
        <f>_xlfn.XLOOKUP(MasterTable[[#This Row],[Aircraft ID]],Aircraft!A:A,Aircraft!H:H)</f>
        <v>Airplane Single Engine Land</v>
      </c>
      <c r="AS1151" s="8" t="b">
        <f>OR((SUM(MasterTable[[#This Row],[ILS]:[PAR]]) = MasterTable[[#This Row],[APPR]]))</f>
        <v>1</v>
      </c>
      <c r="AT1151" s="8" t="b">
        <f>NOT(ISBLANK(MasterTable[[#This Row],[Total
Time]]))</f>
        <v>1</v>
      </c>
    </row>
    <row r="1152" spans="4:46" ht="28.8" x14ac:dyDescent="0.3">
      <c r="D1152" s="22">
        <v>41777</v>
      </c>
      <c r="E1152" s="8" t="s">
        <v>174</v>
      </c>
      <c r="F1152" s="8" t="s">
        <v>202</v>
      </c>
      <c r="G1152" s="8" t="s">
        <v>202</v>
      </c>
      <c r="I1152" s="10">
        <v>1</v>
      </c>
      <c r="J1152" s="10">
        <v>0</v>
      </c>
      <c r="L1152" s="10">
        <v>0</v>
      </c>
      <c r="M1152" s="13">
        <v>0</v>
      </c>
      <c r="N1152" s="13"/>
      <c r="O1152" s="10">
        <v>0</v>
      </c>
      <c r="P1152" s="10">
        <v>1</v>
      </c>
      <c r="Q1152" s="14">
        <v>0</v>
      </c>
      <c r="R1152" s="14">
        <v>0</v>
      </c>
      <c r="S1152" s="10">
        <v>0</v>
      </c>
      <c r="T1152" s="10">
        <v>0</v>
      </c>
      <c r="U1152" s="14">
        <v>0</v>
      </c>
      <c r="V1152" s="10"/>
      <c r="W1152" s="11">
        <v>7</v>
      </c>
      <c r="X1152" s="11">
        <v>7</v>
      </c>
      <c r="Y1152" s="11">
        <v>0</v>
      </c>
      <c r="Z1152" s="11">
        <v>0</v>
      </c>
      <c r="AA1152" s="11">
        <f>MasterTable[[#This Row],[Landings
Night]]+MasterTable[[#This Row],[Landings
Day]]</f>
        <v>7</v>
      </c>
      <c r="AB1152" s="10">
        <v>0</v>
      </c>
      <c r="AC1152" s="10">
        <v>0</v>
      </c>
      <c r="AD1152" s="11">
        <v>0</v>
      </c>
      <c r="AE1152" s="21">
        <f>SUM(MasterTable[[#This Row],[ILS]:[PAR]])</f>
        <v>0</v>
      </c>
      <c r="AL1152" s="11"/>
      <c r="AR1152" s="140" t="str">
        <f>_xlfn.XLOOKUP(MasterTable[[#This Row],[Aircraft ID]],Aircraft!A:A,Aircraft!H:H)</f>
        <v>Airplane Single Engine Land</v>
      </c>
      <c r="AS1152" s="8" t="b">
        <f>OR((SUM(MasterTable[[#This Row],[ILS]:[PAR]]) = MasterTable[[#This Row],[APPR]]))</f>
        <v>1</v>
      </c>
      <c r="AT1152" s="8" t="b">
        <f>NOT(ISBLANK(MasterTable[[#This Row],[Total
Time]]))</f>
        <v>1</v>
      </c>
    </row>
    <row r="1153" spans="4:46" ht="28.8" x14ac:dyDescent="0.3">
      <c r="D1153" s="22">
        <v>41770</v>
      </c>
      <c r="E1153" s="8" t="s">
        <v>174</v>
      </c>
      <c r="F1153" s="8" t="s">
        <v>202</v>
      </c>
      <c r="G1153" s="8" t="s">
        <v>202</v>
      </c>
      <c r="I1153" s="10">
        <v>1</v>
      </c>
      <c r="J1153" s="10">
        <v>0</v>
      </c>
      <c r="L1153" s="10">
        <v>0</v>
      </c>
      <c r="M1153" s="13">
        <v>0</v>
      </c>
      <c r="N1153" s="13"/>
      <c r="O1153" s="10">
        <v>0</v>
      </c>
      <c r="P1153" s="10">
        <v>1</v>
      </c>
      <c r="Q1153" s="14">
        <v>0</v>
      </c>
      <c r="R1153" s="14">
        <v>0</v>
      </c>
      <c r="S1153" s="10">
        <v>0</v>
      </c>
      <c r="T1153" s="10">
        <v>0</v>
      </c>
      <c r="U1153" s="14">
        <v>0</v>
      </c>
      <c r="V1153" s="10"/>
      <c r="W1153" s="11">
        <v>6</v>
      </c>
      <c r="X1153" s="11">
        <v>6</v>
      </c>
      <c r="Y1153" s="11">
        <v>0</v>
      </c>
      <c r="Z1153" s="11">
        <v>0</v>
      </c>
      <c r="AA1153" s="11">
        <f>MasterTable[[#This Row],[Landings
Night]]+MasterTable[[#This Row],[Landings
Day]]</f>
        <v>6</v>
      </c>
      <c r="AB1153" s="10">
        <v>0</v>
      </c>
      <c r="AC1153" s="10">
        <v>0</v>
      </c>
      <c r="AD1153" s="11">
        <v>0</v>
      </c>
      <c r="AE1153" s="21">
        <f>SUM(MasterTable[[#This Row],[ILS]:[PAR]])</f>
        <v>0</v>
      </c>
      <c r="AL1153" s="11"/>
      <c r="AR1153" s="140" t="str">
        <f>_xlfn.XLOOKUP(MasterTable[[#This Row],[Aircraft ID]],Aircraft!A:A,Aircraft!H:H)</f>
        <v>Airplane Single Engine Land</v>
      </c>
      <c r="AS1153" s="8" t="b">
        <f>OR((SUM(MasterTable[[#This Row],[ILS]:[PAR]]) = MasterTable[[#This Row],[APPR]]))</f>
        <v>1</v>
      </c>
      <c r="AT1153" s="8" t="b">
        <f>NOT(ISBLANK(MasterTable[[#This Row],[Total
Time]]))</f>
        <v>1</v>
      </c>
    </row>
    <row r="1154" spans="4:46" ht="28.8" x14ac:dyDescent="0.3">
      <c r="D1154" s="22">
        <v>41764</v>
      </c>
      <c r="E1154" s="8" t="s">
        <v>165</v>
      </c>
      <c r="F1154" s="8" t="s">
        <v>293</v>
      </c>
      <c r="G1154" s="8" t="s">
        <v>293</v>
      </c>
      <c r="H1154" s="8" t="s">
        <v>538</v>
      </c>
      <c r="I1154" s="10">
        <v>0</v>
      </c>
      <c r="J1154" s="10">
        <v>0</v>
      </c>
      <c r="L1154" s="10">
        <v>0</v>
      </c>
      <c r="M1154" s="13">
        <v>0</v>
      </c>
      <c r="N1154" s="13"/>
      <c r="O1154" s="10">
        <v>0</v>
      </c>
      <c r="P1154" s="10">
        <v>0</v>
      </c>
      <c r="Q1154" s="14">
        <v>0</v>
      </c>
      <c r="R1154" s="14">
        <v>0</v>
      </c>
      <c r="S1154" s="10">
        <v>0</v>
      </c>
      <c r="T1154" s="10">
        <v>0</v>
      </c>
      <c r="U1154" s="14">
        <v>0</v>
      </c>
      <c r="V1154" s="10"/>
      <c r="W1154" s="11">
        <v>4</v>
      </c>
      <c r="X1154" s="11">
        <v>4</v>
      </c>
      <c r="Y1154" s="11">
        <v>0</v>
      </c>
      <c r="Z1154" s="11">
        <v>0</v>
      </c>
      <c r="AA1154" s="11">
        <f>MasterTable[[#This Row],[Landings
Night]]+MasterTable[[#This Row],[Landings
Day]]</f>
        <v>4</v>
      </c>
      <c r="AB1154" s="10">
        <v>0</v>
      </c>
      <c r="AC1154" s="10">
        <v>0</v>
      </c>
      <c r="AD1154" s="11">
        <v>0</v>
      </c>
      <c r="AE1154" s="21">
        <f>SUM(MasterTable[[#This Row],[ILS]:[PAR]])</f>
        <v>0</v>
      </c>
      <c r="AL1154" s="11"/>
      <c r="AR1154" s="140" t="str">
        <f>_xlfn.XLOOKUP(MasterTable[[#This Row],[Aircraft ID]],Aircraft!A:A,Aircraft!H:H)</f>
        <v>Airplane Single Engine Sea</v>
      </c>
      <c r="AS1154" s="8" t="b">
        <f>OR((SUM(MasterTable[[#This Row],[ILS]:[PAR]]) = MasterTable[[#This Row],[APPR]]))</f>
        <v>1</v>
      </c>
      <c r="AT1154" s="8" t="b">
        <f>NOT(ISBLANK(MasterTable[[#This Row],[Total
Time]]))</f>
        <v>1</v>
      </c>
    </row>
    <row r="1155" spans="4:46" ht="28.8" x14ac:dyDescent="0.3">
      <c r="D1155" s="22">
        <v>41763</v>
      </c>
      <c r="E1155" s="8" t="s">
        <v>174</v>
      </c>
      <c r="F1155" s="8" t="s">
        <v>202</v>
      </c>
      <c r="G1155" s="8" t="s">
        <v>355</v>
      </c>
      <c r="I1155" s="10">
        <v>2.6</v>
      </c>
      <c r="J1155" s="10">
        <v>0</v>
      </c>
      <c r="L1155" s="10">
        <v>0</v>
      </c>
      <c r="M1155" s="13">
        <v>0</v>
      </c>
      <c r="N1155" s="13"/>
      <c r="O1155" s="10">
        <v>0</v>
      </c>
      <c r="P1155" s="10">
        <v>2.6</v>
      </c>
      <c r="Q1155" s="14">
        <v>0</v>
      </c>
      <c r="R1155" s="14">
        <v>0</v>
      </c>
      <c r="S1155" s="10">
        <v>0</v>
      </c>
      <c r="T1155" s="10">
        <v>2.6</v>
      </c>
      <c r="U1155" s="14">
        <v>0</v>
      </c>
      <c r="V1155" s="10"/>
      <c r="W1155" s="11">
        <v>2</v>
      </c>
      <c r="X1155" s="11">
        <v>2</v>
      </c>
      <c r="Y1155" s="11">
        <v>0</v>
      </c>
      <c r="Z1155" s="11">
        <v>0</v>
      </c>
      <c r="AA1155" s="11">
        <f>MasterTable[[#This Row],[Landings
Night]]+MasterTable[[#This Row],[Landings
Day]]</f>
        <v>2</v>
      </c>
      <c r="AB1155" s="10">
        <v>0</v>
      </c>
      <c r="AC1155" s="10">
        <v>0</v>
      </c>
      <c r="AD1155" s="11">
        <v>0</v>
      </c>
      <c r="AE1155" s="21">
        <f>SUM(MasterTable[[#This Row],[ILS]:[PAR]])</f>
        <v>0</v>
      </c>
      <c r="AL1155" s="11"/>
      <c r="AR1155" s="140" t="str">
        <f>_xlfn.XLOOKUP(MasterTable[[#This Row],[Aircraft ID]],Aircraft!A:A,Aircraft!H:H)</f>
        <v>Airplane Single Engine Land</v>
      </c>
      <c r="AS1155" s="8" t="b">
        <f>OR((SUM(MasterTable[[#This Row],[ILS]:[PAR]]) = MasterTable[[#This Row],[APPR]]))</f>
        <v>1</v>
      </c>
      <c r="AT1155" s="8" t="b">
        <f>NOT(ISBLANK(MasterTable[[#This Row],[Total
Time]]))</f>
        <v>1</v>
      </c>
    </row>
    <row r="1156" spans="4:46" ht="28.8" x14ac:dyDescent="0.3">
      <c r="D1156" s="22">
        <v>41762</v>
      </c>
      <c r="E1156" s="8" t="s">
        <v>174</v>
      </c>
      <c r="F1156" s="8" t="s">
        <v>202</v>
      </c>
      <c r="G1156" s="8" t="s">
        <v>219</v>
      </c>
      <c r="I1156" s="10">
        <v>1.1000000000000001</v>
      </c>
      <c r="J1156" s="10">
        <v>0</v>
      </c>
      <c r="L1156" s="10">
        <v>0</v>
      </c>
      <c r="M1156" s="13">
        <v>0</v>
      </c>
      <c r="N1156" s="13"/>
      <c r="O1156" s="10">
        <v>0</v>
      </c>
      <c r="P1156" s="10">
        <v>1.1000000000000001</v>
      </c>
      <c r="Q1156" s="14">
        <v>0</v>
      </c>
      <c r="R1156" s="14">
        <v>0</v>
      </c>
      <c r="S1156" s="10">
        <v>0</v>
      </c>
      <c r="T1156" s="10">
        <v>0</v>
      </c>
      <c r="U1156" s="14">
        <v>0</v>
      </c>
      <c r="V1156" s="10"/>
      <c r="W1156" s="11">
        <v>2</v>
      </c>
      <c r="X1156" s="11">
        <v>2</v>
      </c>
      <c r="Y1156" s="11">
        <v>0</v>
      </c>
      <c r="Z1156" s="11">
        <v>0</v>
      </c>
      <c r="AA1156" s="11">
        <f>MasterTable[[#This Row],[Landings
Night]]+MasterTable[[#This Row],[Landings
Day]]</f>
        <v>2</v>
      </c>
      <c r="AB1156" s="10">
        <v>0</v>
      </c>
      <c r="AC1156" s="10">
        <v>0</v>
      </c>
      <c r="AD1156" s="11">
        <v>0</v>
      </c>
      <c r="AE1156" s="21">
        <f>SUM(MasterTable[[#This Row],[ILS]:[PAR]])</f>
        <v>0</v>
      </c>
      <c r="AL1156" s="11"/>
      <c r="AR1156" s="140" t="str">
        <f>_xlfn.XLOOKUP(MasterTable[[#This Row],[Aircraft ID]],Aircraft!A:A,Aircraft!H:H)</f>
        <v>Airplane Single Engine Land</v>
      </c>
      <c r="AS1156" s="8" t="b">
        <f>OR((SUM(MasterTable[[#This Row],[ILS]:[PAR]]) = MasterTable[[#This Row],[APPR]]))</f>
        <v>1</v>
      </c>
      <c r="AT1156" s="8" t="b">
        <f>NOT(ISBLANK(MasterTable[[#This Row],[Total
Time]]))</f>
        <v>1</v>
      </c>
    </row>
    <row r="1157" spans="4:46" ht="28.8" x14ac:dyDescent="0.3">
      <c r="D1157" s="22">
        <v>41760</v>
      </c>
      <c r="E1157" s="8" t="s">
        <v>174</v>
      </c>
      <c r="F1157" s="8" t="s">
        <v>202</v>
      </c>
      <c r="G1157" s="8" t="s">
        <v>214</v>
      </c>
      <c r="I1157" s="10">
        <v>2.4</v>
      </c>
      <c r="J1157" s="10">
        <v>0</v>
      </c>
      <c r="L1157" s="10">
        <v>0</v>
      </c>
      <c r="M1157" s="13">
        <v>0</v>
      </c>
      <c r="N1157" s="13"/>
      <c r="O1157" s="10">
        <v>0</v>
      </c>
      <c r="P1157" s="10">
        <v>2.4</v>
      </c>
      <c r="Q1157" s="14">
        <v>0</v>
      </c>
      <c r="R1157" s="14">
        <v>0</v>
      </c>
      <c r="S1157" s="10">
        <v>0</v>
      </c>
      <c r="T1157" s="10">
        <v>2.4</v>
      </c>
      <c r="U1157" s="14">
        <v>0</v>
      </c>
      <c r="V1157" s="10"/>
      <c r="W1157" s="11">
        <v>2</v>
      </c>
      <c r="X1157" s="11">
        <v>2</v>
      </c>
      <c r="Y1157" s="11">
        <v>0</v>
      </c>
      <c r="Z1157" s="11">
        <v>0</v>
      </c>
      <c r="AA1157" s="11">
        <f>MasterTable[[#This Row],[Landings
Night]]+MasterTable[[#This Row],[Landings
Day]]</f>
        <v>2</v>
      </c>
      <c r="AB1157" s="10">
        <v>0</v>
      </c>
      <c r="AC1157" s="10">
        <v>0.6</v>
      </c>
      <c r="AD1157" s="11">
        <v>0</v>
      </c>
      <c r="AE1157" s="21">
        <f>SUM(MasterTable[[#This Row],[ILS]:[PAR]])</f>
        <v>0</v>
      </c>
      <c r="AL1157" s="11"/>
      <c r="AR1157" s="140" t="str">
        <f>_xlfn.XLOOKUP(MasterTable[[#This Row],[Aircraft ID]],Aircraft!A:A,Aircraft!H:H)</f>
        <v>Airplane Single Engine Land</v>
      </c>
      <c r="AS1157" s="8" t="b">
        <f>OR((SUM(MasterTable[[#This Row],[ILS]:[PAR]]) = MasterTable[[#This Row],[APPR]]))</f>
        <v>1</v>
      </c>
      <c r="AT1157" s="8" t="b">
        <f>NOT(ISBLANK(MasterTable[[#This Row],[Total
Time]]))</f>
        <v>1</v>
      </c>
    </row>
    <row r="1158" spans="4:46" ht="28.8" x14ac:dyDescent="0.3">
      <c r="D1158" s="22">
        <v>41746</v>
      </c>
      <c r="E1158" s="8" t="s">
        <v>53</v>
      </c>
      <c r="F1158" s="8" t="s">
        <v>259</v>
      </c>
      <c r="G1158" s="8" t="s">
        <v>259</v>
      </c>
      <c r="I1158" s="10">
        <v>0.5</v>
      </c>
      <c r="J1158" s="10">
        <v>0</v>
      </c>
      <c r="L1158" s="10">
        <v>0</v>
      </c>
      <c r="M1158" s="13">
        <v>0</v>
      </c>
      <c r="N1158" s="13"/>
      <c r="O1158" s="10">
        <v>0</v>
      </c>
      <c r="P1158" s="10">
        <v>0.5</v>
      </c>
      <c r="Q1158" s="14">
        <v>0</v>
      </c>
      <c r="R1158" s="14">
        <v>0</v>
      </c>
      <c r="S1158" s="10">
        <v>0</v>
      </c>
      <c r="T1158" s="10">
        <v>0</v>
      </c>
      <c r="U1158" s="14">
        <v>0</v>
      </c>
      <c r="V1158" s="10"/>
      <c r="W1158" s="11">
        <v>1</v>
      </c>
      <c r="X1158" s="11">
        <v>1</v>
      </c>
      <c r="Y1158" s="11">
        <v>0</v>
      </c>
      <c r="Z1158" s="11">
        <v>0</v>
      </c>
      <c r="AA1158" s="11">
        <f>MasterTable[[#This Row],[Landings
Night]]+MasterTable[[#This Row],[Landings
Day]]</f>
        <v>1</v>
      </c>
      <c r="AB1158" s="10">
        <v>0</v>
      </c>
      <c r="AC1158" s="10">
        <v>0</v>
      </c>
      <c r="AD1158" s="11">
        <v>0</v>
      </c>
      <c r="AE1158" s="21">
        <f>SUM(MasterTable[[#This Row],[ILS]:[PAR]])</f>
        <v>0</v>
      </c>
      <c r="AL1158" s="11"/>
      <c r="AR1158" s="140" t="str">
        <f>_xlfn.XLOOKUP(MasterTable[[#This Row],[Aircraft ID]],Aircraft!A:A,Aircraft!H:H)</f>
        <v>Airplane Single Engine Land</v>
      </c>
      <c r="AS1158" s="8" t="b">
        <f>OR((SUM(MasterTable[[#This Row],[ILS]:[PAR]]) = MasterTable[[#This Row],[APPR]]))</f>
        <v>1</v>
      </c>
      <c r="AT1158" s="8" t="b">
        <f>NOT(ISBLANK(MasterTable[[#This Row],[Total
Time]]))</f>
        <v>1</v>
      </c>
    </row>
    <row r="1159" spans="4:46" ht="28.8" x14ac:dyDescent="0.3">
      <c r="D1159" s="22">
        <v>41743</v>
      </c>
      <c r="E1159" s="8" t="s">
        <v>37</v>
      </c>
      <c r="F1159" s="8" t="s">
        <v>202</v>
      </c>
      <c r="G1159" s="8" t="s">
        <v>325</v>
      </c>
      <c r="J1159" s="10">
        <v>0</v>
      </c>
      <c r="L1159" s="10">
        <v>0</v>
      </c>
      <c r="M1159" s="13">
        <v>0</v>
      </c>
      <c r="N1159" s="13"/>
      <c r="O1159" s="10">
        <v>0</v>
      </c>
      <c r="P1159" s="10">
        <v>0</v>
      </c>
      <c r="Q1159" s="14">
        <v>0</v>
      </c>
      <c r="R1159" s="14">
        <v>0</v>
      </c>
      <c r="S1159" s="10">
        <v>0</v>
      </c>
      <c r="T1159" s="10">
        <v>0</v>
      </c>
      <c r="U1159" s="14">
        <v>0</v>
      </c>
      <c r="V1159" s="10"/>
      <c r="W1159" s="11">
        <v>2</v>
      </c>
      <c r="X1159" s="11">
        <v>2</v>
      </c>
      <c r="Y1159" s="11">
        <v>0</v>
      </c>
      <c r="Z1159" s="11">
        <v>0</v>
      </c>
      <c r="AA1159" s="11">
        <f>MasterTable[[#This Row],[Landings
Night]]+MasterTable[[#This Row],[Landings
Day]]</f>
        <v>2</v>
      </c>
      <c r="AB1159" s="10">
        <v>0</v>
      </c>
      <c r="AC1159" s="10">
        <v>0</v>
      </c>
      <c r="AD1159" s="11">
        <v>0</v>
      </c>
      <c r="AE1159" s="21">
        <f>SUM(MasterTable[[#This Row],[ILS]:[PAR]])</f>
        <v>0</v>
      </c>
      <c r="AL1159" s="11"/>
      <c r="AR1159" s="140" t="str">
        <f>_xlfn.XLOOKUP(MasterTable[[#This Row],[Aircraft ID]],Aircraft!A:A,Aircraft!H:H)</f>
        <v>Airplane Multi Engine Land</v>
      </c>
      <c r="AS1159" s="8" t="b">
        <f>OR((SUM(MasterTable[[#This Row],[ILS]:[PAR]]) = MasterTable[[#This Row],[APPR]]))</f>
        <v>1</v>
      </c>
      <c r="AT1159" s="8" t="b">
        <f>NOT(ISBLANK(MasterTable[[#This Row],[Total
Time]]))</f>
        <v>0</v>
      </c>
    </row>
    <row r="1160" spans="4:46" ht="28.8" x14ac:dyDescent="0.3">
      <c r="D1160" s="22">
        <v>41735</v>
      </c>
      <c r="E1160" s="8" t="s">
        <v>174</v>
      </c>
      <c r="F1160" s="8" t="s">
        <v>202</v>
      </c>
      <c r="G1160" s="8" t="s">
        <v>202</v>
      </c>
      <c r="I1160" s="10">
        <v>1.7</v>
      </c>
      <c r="J1160" s="10">
        <v>0</v>
      </c>
      <c r="L1160" s="10">
        <v>0</v>
      </c>
      <c r="M1160" s="13">
        <v>0</v>
      </c>
      <c r="N1160" s="13"/>
      <c r="O1160" s="10">
        <v>0</v>
      </c>
      <c r="P1160" s="10">
        <v>1.7</v>
      </c>
      <c r="Q1160" s="14">
        <v>0</v>
      </c>
      <c r="R1160" s="14">
        <v>0</v>
      </c>
      <c r="S1160" s="10">
        <v>0</v>
      </c>
      <c r="T1160" s="10">
        <v>0</v>
      </c>
      <c r="U1160" s="14">
        <v>0</v>
      </c>
      <c r="V1160" s="10"/>
      <c r="W1160" s="11">
        <v>6</v>
      </c>
      <c r="X1160" s="11">
        <v>6</v>
      </c>
      <c r="Y1160" s="11">
        <v>0</v>
      </c>
      <c r="Z1160" s="11">
        <v>0</v>
      </c>
      <c r="AA1160" s="11">
        <f>MasterTable[[#This Row],[Landings
Night]]+MasterTable[[#This Row],[Landings
Day]]</f>
        <v>6</v>
      </c>
      <c r="AB1160" s="10">
        <v>0</v>
      </c>
      <c r="AC1160" s="10">
        <v>0</v>
      </c>
      <c r="AD1160" s="11">
        <v>0</v>
      </c>
      <c r="AE1160" s="21">
        <f>SUM(MasterTable[[#This Row],[ILS]:[PAR]])</f>
        <v>0</v>
      </c>
      <c r="AL1160" s="11"/>
      <c r="AR1160" s="140" t="str">
        <f>_xlfn.XLOOKUP(MasterTable[[#This Row],[Aircraft ID]],Aircraft!A:A,Aircraft!H:H)</f>
        <v>Airplane Single Engine Land</v>
      </c>
      <c r="AS1160" s="8" t="b">
        <f>OR((SUM(MasterTable[[#This Row],[ILS]:[PAR]]) = MasterTable[[#This Row],[APPR]]))</f>
        <v>1</v>
      </c>
      <c r="AT1160" s="8" t="b">
        <f>NOT(ISBLANK(MasterTable[[#This Row],[Total
Time]]))</f>
        <v>1</v>
      </c>
    </row>
    <row r="1161" spans="4:46" ht="28.8" x14ac:dyDescent="0.3">
      <c r="D1161" s="22">
        <v>41714</v>
      </c>
      <c r="E1161" s="8" t="s">
        <v>174</v>
      </c>
      <c r="F1161" s="8" t="s">
        <v>202</v>
      </c>
      <c r="G1161" s="8" t="s">
        <v>202</v>
      </c>
      <c r="I1161" s="10">
        <v>1.3</v>
      </c>
      <c r="J1161" s="10">
        <v>0</v>
      </c>
      <c r="L1161" s="10">
        <v>0</v>
      </c>
      <c r="M1161" s="13">
        <v>0</v>
      </c>
      <c r="N1161" s="13"/>
      <c r="O1161" s="10">
        <v>0</v>
      </c>
      <c r="P1161" s="10">
        <v>1.3</v>
      </c>
      <c r="Q1161" s="14">
        <v>0</v>
      </c>
      <c r="R1161" s="14">
        <v>0</v>
      </c>
      <c r="S1161" s="10">
        <v>0</v>
      </c>
      <c r="T1161" s="10">
        <v>0</v>
      </c>
      <c r="U1161" s="14">
        <v>0</v>
      </c>
      <c r="V1161" s="10"/>
      <c r="W1161" s="11">
        <v>7</v>
      </c>
      <c r="X1161" s="11">
        <v>7</v>
      </c>
      <c r="Y1161" s="11">
        <v>0</v>
      </c>
      <c r="Z1161" s="11">
        <v>0</v>
      </c>
      <c r="AA1161" s="11">
        <f>MasterTable[[#This Row],[Landings
Night]]+MasterTable[[#This Row],[Landings
Day]]</f>
        <v>7</v>
      </c>
      <c r="AB1161" s="10">
        <v>0</v>
      </c>
      <c r="AC1161" s="10">
        <v>0</v>
      </c>
      <c r="AD1161" s="11">
        <v>0</v>
      </c>
      <c r="AE1161" s="21">
        <f>SUM(MasterTable[[#This Row],[ILS]:[PAR]])</f>
        <v>0</v>
      </c>
      <c r="AL1161" s="11"/>
      <c r="AR1161" s="140" t="str">
        <f>_xlfn.XLOOKUP(MasterTable[[#This Row],[Aircraft ID]],Aircraft!A:A,Aircraft!H:H)</f>
        <v>Airplane Single Engine Land</v>
      </c>
      <c r="AS1161" s="8" t="b">
        <f>OR((SUM(MasterTable[[#This Row],[ILS]:[PAR]]) = MasterTable[[#This Row],[APPR]]))</f>
        <v>1</v>
      </c>
      <c r="AT1161" s="8" t="b">
        <f>NOT(ISBLANK(MasterTable[[#This Row],[Total
Time]]))</f>
        <v>1</v>
      </c>
    </row>
    <row r="1162" spans="4:46" ht="28.8" x14ac:dyDescent="0.3">
      <c r="D1162" s="22">
        <v>41707</v>
      </c>
      <c r="E1162" s="8" t="s">
        <v>174</v>
      </c>
      <c r="F1162" s="8" t="s">
        <v>202</v>
      </c>
      <c r="G1162" s="8" t="s">
        <v>220</v>
      </c>
      <c r="I1162" s="10">
        <v>1.7</v>
      </c>
      <c r="J1162" s="10">
        <v>0</v>
      </c>
      <c r="L1162" s="10">
        <v>0</v>
      </c>
      <c r="M1162" s="13">
        <v>0</v>
      </c>
      <c r="N1162" s="13"/>
      <c r="O1162" s="10">
        <v>0</v>
      </c>
      <c r="P1162" s="10">
        <v>1.7</v>
      </c>
      <c r="Q1162" s="14">
        <v>0</v>
      </c>
      <c r="R1162" s="14">
        <v>0</v>
      </c>
      <c r="S1162" s="10">
        <v>0</v>
      </c>
      <c r="T1162" s="10">
        <v>1.7</v>
      </c>
      <c r="U1162" s="14">
        <v>0</v>
      </c>
      <c r="V1162" s="10"/>
      <c r="W1162" s="11">
        <v>5</v>
      </c>
      <c r="X1162" s="11">
        <v>5</v>
      </c>
      <c r="Y1162" s="11">
        <v>0</v>
      </c>
      <c r="Z1162" s="11">
        <v>0</v>
      </c>
      <c r="AA1162" s="11">
        <f>MasterTable[[#This Row],[Landings
Night]]+MasterTable[[#This Row],[Landings
Day]]</f>
        <v>5</v>
      </c>
      <c r="AB1162" s="10">
        <v>0</v>
      </c>
      <c r="AC1162" s="10">
        <v>0</v>
      </c>
      <c r="AD1162" s="11">
        <v>0</v>
      </c>
      <c r="AE1162" s="21">
        <f>SUM(MasterTable[[#This Row],[ILS]:[PAR]])</f>
        <v>0</v>
      </c>
      <c r="AL1162" s="11"/>
      <c r="AR1162" s="140" t="str">
        <f>_xlfn.XLOOKUP(MasterTable[[#This Row],[Aircraft ID]],Aircraft!A:A,Aircraft!H:H)</f>
        <v>Airplane Single Engine Land</v>
      </c>
      <c r="AS1162" s="8" t="b">
        <f>OR((SUM(MasterTable[[#This Row],[ILS]:[PAR]]) = MasterTable[[#This Row],[APPR]]))</f>
        <v>1</v>
      </c>
      <c r="AT1162" s="8" t="b">
        <f>NOT(ISBLANK(MasterTable[[#This Row],[Total
Time]]))</f>
        <v>1</v>
      </c>
    </row>
    <row r="1163" spans="4:46" ht="28.8" x14ac:dyDescent="0.3">
      <c r="D1163" s="22">
        <v>41706</v>
      </c>
      <c r="E1163" s="8" t="s">
        <v>37</v>
      </c>
      <c r="F1163" s="8" t="s">
        <v>202</v>
      </c>
      <c r="G1163" s="8" t="s">
        <v>362</v>
      </c>
      <c r="I1163" s="10">
        <v>0</v>
      </c>
      <c r="J1163" s="10">
        <v>0</v>
      </c>
      <c r="L1163" s="10">
        <v>0</v>
      </c>
      <c r="M1163" s="13">
        <v>0</v>
      </c>
      <c r="N1163" s="13"/>
      <c r="O1163" s="10">
        <v>0</v>
      </c>
      <c r="P1163" s="10">
        <v>0</v>
      </c>
      <c r="Q1163" s="14">
        <v>0</v>
      </c>
      <c r="R1163" s="14">
        <v>0</v>
      </c>
      <c r="S1163" s="10">
        <v>0</v>
      </c>
      <c r="T1163" s="10">
        <v>0</v>
      </c>
      <c r="U1163" s="14">
        <v>0</v>
      </c>
      <c r="V1163" s="10"/>
      <c r="W1163" s="11">
        <v>2</v>
      </c>
      <c r="X1163" s="11">
        <v>2</v>
      </c>
      <c r="Y1163" s="11">
        <v>0</v>
      </c>
      <c r="Z1163" s="11">
        <v>0</v>
      </c>
      <c r="AA1163" s="11">
        <f>MasterTable[[#This Row],[Landings
Night]]+MasterTable[[#This Row],[Landings
Day]]</f>
        <v>2</v>
      </c>
      <c r="AB1163" s="10">
        <v>0</v>
      </c>
      <c r="AC1163" s="10">
        <v>0</v>
      </c>
      <c r="AD1163" s="11">
        <v>0</v>
      </c>
      <c r="AE1163" s="21">
        <f>SUM(MasterTable[[#This Row],[ILS]:[PAR]])</f>
        <v>0</v>
      </c>
      <c r="AL1163" s="11"/>
      <c r="AR1163" s="140" t="str">
        <f>_xlfn.XLOOKUP(MasterTable[[#This Row],[Aircraft ID]],Aircraft!A:A,Aircraft!H:H)</f>
        <v>Airplane Multi Engine Land</v>
      </c>
      <c r="AS1163" s="8" t="b">
        <f>OR((SUM(MasterTable[[#This Row],[ILS]:[PAR]]) = MasterTable[[#This Row],[APPR]]))</f>
        <v>1</v>
      </c>
      <c r="AT1163" s="8" t="b">
        <f>NOT(ISBLANK(MasterTable[[#This Row],[Total
Time]]))</f>
        <v>1</v>
      </c>
    </row>
    <row r="1164" spans="4:46" ht="28.8" x14ac:dyDescent="0.3">
      <c r="D1164" s="22">
        <v>41701</v>
      </c>
      <c r="E1164" s="8" t="s">
        <v>37</v>
      </c>
      <c r="F1164" s="8" t="s">
        <v>202</v>
      </c>
      <c r="G1164" s="8" t="s">
        <v>202</v>
      </c>
      <c r="I1164" s="10">
        <v>0</v>
      </c>
      <c r="J1164" s="10">
        <v>0</v>
      </c>
      <c r="L1164" s="10">
        <v>0</v>
      </c>
      <c r="M1164" s="13">
        <v>0</v>
      </c>
      <c r="N1164" s="13"/>
      <c r="O1164" s="10">
        <v>0</v>
      </c>
      <c r="P1164" s="10">
        <v>0</v>
      </c>
      <c r="Q1164" s="14">
        <v>0</v>
      </c>
      <c r="R1164" s="14">
        <v>0</v>
      </c>
      <c r="S1164" s="10">
        <v>0</v>
      </c>
      <c r="T1164" s="10">
        <v>0</v>
      </c>
      <c r="U1164" s="14">
        <v>0</v>
      </c>
      <c r="V1164" s="10"/>
      <c r="W1164" s="11">
        <v>3</v>
      </c>
      <c r="X1164" s="11">
        <v>3</v>
      </c>
      <c r="Y1164" s="11">
        <v>0</v>
      </c>
      <c r="Z1164" s="11">
        <v>0</v>
      </c>
      <c r="AA1164" s="11">
        <f>MasterTable[[#This Row],[Landings
Night]]+MasterTable[[#This Row],[Landings
Day]]</f>
        <v>3</v>
      </c>
      <c r="AB1164" s="10">
        <v>0</v>
      </c>
      <c r="AC1164" s="10">
        <v>0</v>
      </c>
      <c r="AD1164" s="11">
        <v>0</v>
      </c>
      <c r="AE1164" s="21">
        <f>SUM(MasterTable[[#This Row],[ILS]:[PAR]])</f>
        <v>0</v>
      </c>
      <c r="AL1164" s="11"/>
      <c r="AR1164" s="140" t="str">
        <f>_xlfn.XLOOKUP(MasterTable[[#This Row],[Aircraft ID]],Aircraft!A:A,Aircraft!H:H)</f>
        <v>Airplane Multi Engine Land</v>
      </c>
      <c r="AS1164" s="8" t="b">
        <f>OR((SUM(MasterTable[[#This Row],[ILS]:[PAR]]) = MasterTable[[#This Row],[APPR]]))</f>
        <v>1</v>
      </c>
      <c r="AT1164" s="8" t="b">
        <f>NOT(ISBLANK(MasterTable[[#This Row],[Total
Time]]))</f>
        <v>1</v>
      </c>
    </row>
    <row r="1165" spans="4:46" ht="28.8" x14ac:dyDescent="0.3">
      <c r="D1165" s="22">
        <v>41679</v>
      </c>
      <c r="E1165" s="8" t="s">
        <v>174</v>
      </c>
      <c r="F1165" s="8" t="s">
        <v>202</v>
      </c>
      <c r="G1165" s="8" t="s">
        <v>202</v>
      </c>
      <c r="I1165" s="10">
        <v>1.3</v>
      </c>
      <c r="J1165" s="10">
        <v>0</v>
      </c>
      <c r="L1165" s="10">
        <v>0</v>
      </c>
      <c r="M1165" s="13">
        <v>0</v>
      </c>
      <c r="N1165" s="13"/>
      <c r="O1165" s="10">
        <v>0</v>
      </c>
      <c r="P1165" s="10">
        <v>1.3</v>
      </c>
      <c r="Q1165" s="14">
        <v>0</v>
      </c>
      <c r="R1165" s="14">
        <v>0</v>
      </c>
      <c r="S1165" s="10">
        <v>0</v>
      </c>
      <c r="T1165" s="10">
        <v>0</v>
      </c>
      <c r="U1165" s="14">
        <v>0</v>
      </c>
      <c r="V1165" s="10"/>
      <c r="W1165" s="11">
        <v>5</v>
      </c>
      <c r="X1165" s="11">
        <v>5</v>
      </c>
      <c r="Y1165" s="11">
        <v>0</v>
      </c>
      <c r="Z1165" s="11">
        <v>0</v>
      </c>
      <c r="AA1165" s="11">
        <f>MasterTable[[#This Row],[Landings
Night]]+MasterTable[[#This Row],[Landings
Day]]</f>
        <v>5</v>
      </c>
      <c r="AB1165" s="10">
        <v>0</v>
      </c>
      <c r="AC1165" s="10">
        <v>0</v>
      </c>
      <c r="AD1165" s="11">
        <v>0</v>
      </c>
      <c r="AE1165" s="21">
        <f>SUM(MasterTable[[#This Row],[ILS]:[PAR]])</f>
        <v>0</v>
      </c>
      <c r="AL1165" s="11"/>
      <c r="AR1165" s="140" t="str">
        <f>_xlfn.XLOOKUP(MasterTable[[#This Row],[Aircraft ID]],Aircraft!A:A,Aircraft!H:H)</f>
        <v>Airplane Single Engine Land</v>
      </c>
      <c r="AS1165" s="8" t="b">
        <f>OR((SUM(MasterTable[[#This Row],[ILS]:[PAR]]) = MasterTable[[#This Row],[APPR]]))</f>
        <v>1</v>
      </c>
      <c r="AT1165" s="8" t="b">
        <f>NOT(ISBLANK(MasterTable[[#This Row],[Total
Time]]))</f>
        <v>1</v>
      </c>
    </row>
    <row r="1166" spans="4:46" ht="28.8" x14ac:dyDescent="0.3">
      <c r="D1166" s="22">
        <v>41658</v>
      </c>
      <c r="E1166" s="8" t="s">
        <v>53</v>
      </c>
      <c r="F1166" s="8" t="s">
        <v>259</v>
      </c>
      <c r="G1166" s="8" t="s">
        <v>259</v>
      </c>
      <c r="I1166" s="10">
        <v>0.5</v>
      </c>
      <c r="J1166" s="10">
        <v>0</v>
      </c>
      <c r="L1166" s="10">
        <v>0</v>
      </c>
      <c r="M1166" s="13">
        <v>0</v>
      </c>
      <c r="N1166" s="13"/>
      <c r="O1166" s="10">
        <v>0</v>
      </c>
      <c r="P1166" s="10">
        <v>0.5</v>
      </c>
      <c r="Q1166" s="14">
        <v>0</v>
      </c>
      <c r="R1166" s="14">
        <v>0</v>
      </c>
      <c r="S1166" s="10">
        <v>0</v>
      </c>
      <c r="T1166" s="10">
        <v>0</v>
      </c>
      <c r="U1166" s="14">
        <v>0</v>
      </c>
      <c r="V1166" s="10"/>
      <c r="W1166" s="11">
        <v>1</v>
      </c>
      <c r="X1166" s="11">
        <v>1</v>
      </c>
      <c r="Y1166" s="11">
        <v>0</v>
      </c>
      <c r="Z1166" s="11">
        <v>0</v>
      </c>
      <c r="AA1166" s="11">
        <f>MasterTable[[#This Row],[Landings
Night]]+MasterTable[[#This Row],[Landings
Day]]</f>
        <v>1</v>
      </c>
      <c r="AB1166" s="10">
        <v>0</v>
      </c>
      <c r="AC1166" s="10">
        <v>0</v>
      </c>
      <c r="AD1166" s="11">
        <v>0</v>
      </c>
      <c r="AE1166" s="21">
        <f>SUM(MasterTable[[#This Row],[ILS]:[PAR]])</f>
        <v>0</v>
      </c>
      <c r="AL1166" s="11"/>
      <c r="AR1166" s="140" t="str">
        <f>_xlfn.XLOOKUP(MasterTable[[#This Row],[Aircraft ID]],Aircraft!A:A,Aircraft!H:H)</f>
        <v>Airplane Single Engine Land</v>
      </c>
      <c r="AS1166" s="8" t="b">
        <f>OR((SUM(MasterTable[[#This Row],[ILS]:[PAR]]) = MasterTable[[#This Row],[APPR]]))</f>
        <v>1</v>
      </c>
      <c r="AT1166" s="8" t="b">
        <f>NOT(ISBLANK(MasterTable[[#This Row],[Total
Time]]))</f>
        <v>1</v>
      </c>
    </row>
    <row r="1167" spans="4:46" ht="28.8" x14ac:dyDescent="0.3">
      <c r="D1167" s="22">
        <v>41658</v>
      </c>
      <c r="E1167" s="8" t="s">
        <v>174</v>
      </c>
      <c r="F1167" s="8" t="s">
        <v>202</v>
      </c>
      <c r="G1167" s="8" t="s">
        <v>259</v>
      </c>
      <c r="I1167" s="10">
        <v>1.5</v>
      </c>
      <c r="J1167" s="10">
        <v>0</v>
      </c>
      <c r="L1167" s="10">
        <v>0</v>
      </c>
      <c r="M1167" s="13">
        <v>0</v>
      </c>
      <c r="N1167" s="13"/>
      <c r="O1167" s="10">
        <v>0</v>
      </c>
      <c r="P1167" s="10">
        <v>1.5</v>
      </c>
      <c r="Q1167" s="14">
        <v>0</v>
      </c>
      <c r="R1167" s="14">
        <v>0</v>
      </c>
      <c r="S1167" s="10">
        <v>0</v>
      </c>
      <c r="T1167" s="10">
        <v>0</v>
      </c>
      <c r="U1167" s="14">
        <v>0</v>
      </c>
      <c r="V1167" s="10"/>
      <c r="W1167" s="11">
        <v>2</v>
      </c>
      <c r="X1167" s="11">
        <v>2</v>
      </c>
      <c r="Y1167" s="11">
        <v>0</v>
      </c>
      <c r="Z1167" s="11">
        <v>0</v>
      </c>
      <c r="AA1167" s="11">
        <f>MasterTable[[#This Row],[Landings
Night]]+MasterTable[[#This Row],[Landings
Day]]</f>
        <v>2</v>
      </c>
      <c r="AB1167" s="10">
        <v>0</v>
      </c>
      <c r="AC1167" s="10">
        <v>0</v>
      </c>
      <c r="AD1167" s="11">
        <v>0</v>
      </c>
      <c r="AE1167" s="21">
        <f>SUM(MasterTable[[#This Row],[ILS]:[PAR]])</f>
        <v>0</v>
      </c>
      <c r="AL1167" s="11"/>
      <c r="AR1167" s="140" t="str">
        <f>_xlfn.XLOOKUP(MasterTable[[#This Row],[Aircraft ID]],Aircraft!A:A,Aircraft!H:H)</f>
        <v>Airplane Single Engine Land</v>
      </c>
      <c r="AS1167" s="8" t="b">
        <f>OR((SUM(MasterTable[[#This Row],[ILS]:[PAR]]) = MasterTable[[#This Row],[APPR]]))</f>
        <v>1</v>
      </c>
      <c r="AT1167" s="8" t="b">
        <f>NOT(ISBLANK(MasterTable[[#This Row],[Total
Time]]))</f>
        <v>1</v>
      </c>
    </row>
    <row r="1168" spans="4:46" ht="28.8" x14ac:dyDescent="0.3">
      <c r="D1168" s="22">
        <v>41637</v>
      </c>
      <c r="E1168" s="8" t="s">
        <v>174</v>
      </c>
      <c r="F1168" s="8" t="s">
        <v>202</v>
      </c>
      <c r="G1168" s="8" t="s">
        <v>363</v>
      </c>
      <c r="H1168" s="8" t="s">
        <v>543</v>
      </c>
      <c r="I1168" s="10">
        <v>1.6</v>
      </c>
      <c r="J1168" s="10">
        <v>0</v>
      </c>
      <c r="L1168" s="10">
        <v>0</v>
      </c>
      <c r="M1168" s="13">
        <v>0</v>
      </c>
      <c r="N1168" s="13"/>
      <c r="O1168" s="10">
        <v>0</v>
      </c>
      <c r="P1168" s="10">
        <v>1.6</v>
      </c>
      <c r="Q1168" s="14">
        <v>0</v>
      </c>
      <c r="R1168" s="14">
        <v>0</v>
      </c>
      <c r="S1168" s="10">
        <v>0</v>
      </c>
      <c r="T1168" s="10">
        <v>0</v>
      </c>
      <c r="U1168" s="14">
        <v>0</v>
      </c>
      <c r="V1168" s="10"/>
      <c r="W1168" s="11">
        <v>5</v>
      </c>
      <c r="X1168" s="11">
        <v>5</v>
      </c>
      <c r="Y1168" s="11">
        <v>0</v>
      </c>
      <c r="Z1168" s="11">
        <v>0</v>
      </c>
      <c r="AA1168" s="11">
        <f>MasterTable[[#This Row],[Landings
Night]]+MasterTable[[#This Row],[Landings
Day]]</f>
        <v>5</v>
      </c>
      <c r="AB1168" s="10">
        <v>0</v>
      </c>
      <c r="AC1168" s="10">
        <v>0</v>
      </c>
      <c r="AD1168" s="11">
        <v>0</v>
      </c>
      <c r="AE1168" s="21">
        <f>SUM(MasterTable[[#This Row],[ILS]:[PAR]])</f>
        <v>0</v>
      </c>
      <c r="AL1168" s="11"/>
      <c r="AR1168" s="140" t="str">
        <f>_xlfn.XLOOKUP(MasterTable[[#This Row],[Aircraft ID]],Aircraft!A:A,Aircraft!H:H)</f>
        <v>Airplane Single Engine Land</v>
      </c>
      <c r="AS1168" s="8" t="b">
        <f>OR((SUM(MasterTable[[#This Row],[ILS]:[PAR]]) = MasterTable[[#This Row],[APPR]]))</f>
        <v>1</v>
      </c>
      <c r="AT1168" s="8" t="b">
        <f>NOT(ISBLANK(MasterTable[[#This Row],[Total
Time]]))</f>
        <v>1</v>
      </c>
    </row>
    <row r="1169" spans="4:46" ht="28.8" x14ac:dyDescent="0.3">
      <c r="D1169" s="22">
        <v>41630</v>
      </c>
      <c r="E1169" s="8" t="s">
        <v>174</v>
      </c>
      <c r="F1169" s="8" t="s">
        <v>202</v>
      </c>
      <c r="G1169" s="8" t="s">
        <v>293</v>
      </c>
      <c r="I1169" s="10">
        <v>1.2</v>
      </c>
      <c r="J1169" s="10">
        <v>0</v>
      </c>
      <c r="L1169" s="10">
        <v>0</v>
      </c>
      <c r="M1169" s="13">
        <v>0</v>
      </c>
      <c r="N1169" s="13"/>
      <c r="O1169" s="10">
        <v>0</v>
      </c>
      <c r="P1169" s="10">
        <v>1.2</v>
      </c>
      <c r="Q1169" s="14">
        <v>0</v>
      </c>
      <c r="R1169" s="14">
        <v>0</v>
      </c>
      <c r="S1169" s="10">
        <v>0</v>
      </c>
      <c r="T1169" s="10">
        <v>0</v>
      </c>
      <c r="U1169" s="14">
        <v>0</v>
      </c>
      <c r="V1169" s="10"/>
      <c r="W1169" s="11">
        <v>6</v>
      </c>
      <c r="X1169" s="11">
        <v>6</v>
      </c>
      <c r="Y1169" s="11">
        <v>0</v>
      </c>
      <c r="Z1169" s="11">
        <v>0</v>
      </c>
      <c r="AA1169" s="11">
        <f>MasterTable[[#This Row],[Landings
Night]]+MasterTable[[#This Row],[Landings
Day]]</f>
        <v>6</v>
      </c>
      <c r="AB1169" s="10">
        <v>0</v>
      </c>
      <c r="AC1169" s="10">
        <v>0</v>
      </c>
      <c r="AD1169" s="11">
        <v>0</v>
      </c>
      <c r="AE1169" s="21">
        <f>SUM(MasterTable[[#This Row],[ILS]:[PAR]])</f>
        <v>0</v>
      </c>
      <c r="AL1169" s="11"/>
      <c r="AR1169" s="140" t="str">
        <f>_xlfn.XLOOKUP(MasterTable[[#This Row],[Aircraft ID]],Aircraft!A:A,Aircraft!H:H)</f>
        <v>Airplane Single Engine Land</v>
      </c>
      <c r="AS1169" s="8" t="b">
        <f>OR((SUM(MasterTable[[#This Row],[ILS]:[PAR]]) = MasterTable[[#This Row],[APPR]]))</f>
        <v>1</v>
      </c>
      <c r="AT1169" s="8" t="b">
        <f>NOT(ISBLANK(MasterTable[[#This Row],[Total
Time]]))</f>
        <v>1</v>
      </c>
    </row>
    <row r="1170" spans="4:46" ht="28.8" x14ac:dyDescent="0.3">
      <c r="D1170" s="22">
        <v>41629</v>
      </c>
      <c r="E1170" s="8" t="s">
        <v>174</v>
      </c>
      <c r="F1170" s="8" t="s">
        <v>219</v>
      </c>
      <c r="G1170" s="8" t="s">
        <v>265</v>
      </c>
      <c r="I1170" s="10">
        <v>1</v>
      </c>
      <c r="J1170" s="10">
        <v>0</v>
      </c>
      <c r="L1170" s="10">
        <v>0</v>
      </c>
      <c r="M1170" s="13">
        <v>0</v>
      </c>
      <c r="N1170" s="13"/>
      <c r="O1170" s="10">
        <v>0</v>
      </c>
      <c r="P1170" s="10">
        <v>1</v>
      </c>
      <c r="Q1170" s="14">
        <v>0</v>
      </c>
      <c r="R1170" s="14">
        <v>0</v>
      </c>
      <c r="S1170" s="10">
        <v>0.2</v>
      </c>
      <c r="T1170" s="10">
        <v>0</v>
      </c>
      <c r="U1170" s="14">
        <v>0</v>
      </c>
      <c r="V1170" s="10"/>
      <c r="W1170" s="11">
        <v>1</v>
      </c>
      <c r="X1170" s="11">
        <v>1</v>
      </c>
      <c r="Y1170" s="11">
        <v>0</v>
      </c>
      <c r="Z1170" s="11">
        <v>0</v>
      </c>
      <c r="AA1170" s="11">
        <f>MasterTable[[#This Row],[Landings
Night]]+MasterTable[[#This Row],[Landings
Day]]</f>
        <v>1</v>
      </c>
      <c r="AB1170" s="10">
        <v>0</v>
      </c>
      <c r="AC1170" s="10">
        <v>0</v>
      </c>
      <c r="AD1170" s="11">
        <v>0</v>
      </c>
      <c r="AE1170" s="21">
        <f>SUM(MasterTable[[#This Row],[ILS]:[PAR]])</f>
        <v>0</v>
      </c>
      <c r="AL1170" s="11"/>
      <c r="AR1170" s="140" t="str">
        <f>_xlfn.XLOOKUP(MasterTable[[#This Row],[Aircraft ID]],Aircraft!A:A,Aircraft!H:H)</f>
        <v>Airplane Single Engine Land</v>
      </c>
      <c r="AS1170" s="8" t="b">
        <f>OR((SUM(MasterTable[[#This Row],[ILS]:[PAR]]) = MasterTable[[#This Row],[APPR]]))</f>
        <v>1</v>
      </c>
      <c r="AT1170" s="8" t="b">
        <f>NOT(ISBLANK(MasterTable[[#This Row],[Total
Time]]))</f>
        <v>1</v>
      </c>
    </row>
    <row r="1171" spans="4:46" ht="28.8" x14ac:dyDescent="0.3">
      <c r="D1171" s="22">
        <v>41622</v>
      </c>
      <c r="E1171" s="8" t="s">
        <v>174</v>
      </c>
      <c r="F1171" s="8" t="s">
        <v>202</v>
      </c>
      <c r="G1171" s="8" t="s">
        <v>219</v>
      </c>
      <c r="I1171" s="10">
        <v>1.1000000000000001</v>
      </c>
      <c r="J1171" s="10">
        <v>0</v>
      </c>
      <c r="L1171" s="10">
        <v>0</v>
      </c>
      <c r="M1171" s="13">
        <v>0</v>
      </c>
      <c r="N1171" s="13"/>
      <c r="O1171" s="10">
        <v>0</v>
      </c>
      <c r="P1171" s="10">
        <v>1.1000000000000001</v>
      </c>
      <c r="Q1171" s="14">
        <v>0</v>
      </c>
      <c r="R1171" s="14">
        <v>0</v>
      </c>
      <c r="S1171" s="10">
        <v>0</v>
      </c>
      <c r="T1171" s="10">
        <v>0</v>
      </c>
      <c r="U1171" s="14">
        <v>0</v>
      </c>
      <c r="V1171" s="10"/>
      <c r="W1171" s="11">
        <v>2</v>
      </c>
      <c r="X1171" s="11">
        <v>2</v>
      </c>
      <c r="Y1171" s="11">
        <v>0</v>
      </c>
      <c r="Z1171" s="11">
        <v>0</v>
      </c>
      <c r="AA1171" s="11">
        <f>MasterTable[[#This Row],[Landings
Night]]+MasterTable[[#This Row],[Landings
Day]]</f>
        <v>2</v>
      </c>
      <c r="AB1171" s="10">
        <v>0</v>
      </c>
      <c r="AC1171" s="10">
        <v>0</v>
      </c>
      <c r="AD1171" s="11">
        <v>0</v>
      </c>
      <c r="AE1171" s="21">
        <f>SUM(MasterTable[[#This Row],[ILS]:[PAR]])</f>
        <v>0</v>
      </c>
      <c r="AL1171" s="11"/>
      <c r="AR1171" s="140" t="str">
        <f>_xlfn.XLOOKUP(MasterTable[[#This Row],[Aircraft ID]],Aircraft!A:A,Aircraft!H:H)</f>
        <v>Airplane Single Engine Land</v>
      </c>
      <c r="AS1171" s="8" t="b">
        <f>OR((SUM(MasterTable[[#This Row],[ILS]:[PAR]]) = MasterTable[[#This Row],[APPR]]))</f>
        <v>1</v>
      </c>
      <c r="AT1171" s="8" t="b">
        <f>NOT(ISBLANK(MasterTable[[#This Row],[Total
Time]]))</f>
        <v>1</v>
      </c>
    </row>
    <row r="1172" spans="4:46" ht="28.8" x14ac:dyDescent="0.3">
      <c r="D1172" s="22">
        <v>41621</v>
      </c>
      <c r="E1172" s="8" t="s">
        <v>174</v>
      </c>
      <c r="F1172" s="8" t="s">
        <v>202</v>
      </c>
      <c r="G1172" s="8" t="s">
        <v>364</v>
      </c>
      <c r="I1172" s="10">
        <v>1.7</v>
      </c>
      <c r="J1172" s="10">
        <v>0</v>
      </c>
      <c r="L1172" s="10">
        <v>0</v>
      </c>
      <c r="M1172" s="13">
        <v>0</v>
      </c>
      <c r="N1172" s="13"/>
      <c r="O1172" s="10">
        <v>0</v>
      </c>
      <c r="P1172" s="10">
        <v>1.7</v>
      </c>
      <c r="Q1172" s="14">
        <v>0</v>
      </c>
      <c r="R1172" s="14">
        <v>0</v>
      </c>
      <c r="S1172" s="10">
        <v>0</v>
      </c>
      <c r="T1172" s="10">
        <v>1.7</v>
      </c>
      <c r="U1172" s="14">
        <v>0</v>
      </c>
      <c r="V1172" s="10"/>
      <c r="W1172" s="11">
        <v>2</v>
      </c>
      <c r="X1172" s="11">
        <v>2</v>
      </c>
      <c r="Y1172" s="11">
        <v>0</v>
      </c>
      <c r="Z1172" s="11">
        <v>0</v>
      </c>
      <c r="AA1172" s="11">
        <f>MasterTable[[#This Row],[Landings
Night]]+MasterTable[[#This Row],[Landings
Day]]</f>
        <v>2</v>
      </c>
      <c r="AB1172" s="10">
        <v>0</v>
      </c>
      <c r="AC1172" s="10">
        <v>0</v>
      </c>
      <c r="AD1172" s="11">
        <v>0</v>
      </c>
      <c r="AE1172" s="21">
        <f>SUM(MasterTable[[#This Row],[ILS]:[PAR]])</f>
        <v>0</v>
      </c>
      <c r="AL1172" s="11"/>
      <c r="AR1172" s="140" t="str">
        <f>_xlfn.XLOOKUP(MasterTable[[#This Row],[Aircraft ID]],Aircraft!A:A,Aircraft!H:H)</f>
        <v>Airplane Single Engine Land</v>
      </c>
      <c r="AS1172" s="8" t="b">
        <f>OR((SUM(MasterTable[[#This Row],[ILS]:[PAR]]) = MasterTable[[#This Row],[APPR]]))</f>
        <v>1</v>
      </c>
      <c r="AT1172" s="8" t="b">
        <f>NOT(ISBLANK(MasterTable[[#This Row],[Total
Time]]))</f>
        <v>1</v>
      </c>
    </row>
    <row r="1173" spans="4:46" ht="28.8" x14ac:dyDescent="0.3">
      <c r="D1173" s="22">
        <v>41607</v>
      </c>
      <c r="E1173" s="8" t="s">
        <v>37</v>
      </c>
      <c r="F1173" s="8" t="s">
        <v>202</v>
      </c>
      <c r="G1173" s="8" t="s">
        <v>289</v>
      </c>
      <c r="I1173" s="10">
        <v>0</v>
      </c>
      <c r="J1173" s="10">
        <v>0</v>
      </c>
      <c r="L1173" s="10">
        <v>0</v>
      </c>
      <c r="M1173" s="13">
        <v>0</v>
      </c>
      <c r="N1173" s="13"/>
      <c r="O1173" s="10">
        <v>0</v>
      </c>
      <c r="P1173" s="10">
        <v>0</v>
      </c>
      <c r="Q1173" s="14">
        <v>0</v>
      </c>
      <c r="R1173" s="14">
        <v>0</v>
      </c>
      <c r="S1173" s="10">
        <v>0</v>
      </c>
      <c r="T1173" s="10">
        <v>0</v>
      </c>
      <c r="U1173" s="14">
        <v>0</v>
      </c>
      <c r="V1173" s="10"/>
      <c r="W1173" s="11">
        <v>2</v>
      </c>
      <c r="X1173" s="11">
        <v>2</v>
      </c>
      <c r="Y1173" s="11">
        <v>0</v>
      </c>
      <c r="Z1173" s="11">
        <v>0</v>
      </c>
      <c r="AA1173" s="11">
        <f>MasterTable[[#This Row],[Landings
Night]]+MasterTable[[#This Row],[Landings
Day]]</f>
        <v>2</v>
      </c>
      <c r="AB1173" s="10">
        <v>0</v>
      </c>
      <c r="AC1173" s="10">
        <v>0</v>
      </c>
      <c r="AD1173" s="11">
        <v>0</v>
      </c>
      <c r="AE1173" s="21">
        <f>SUM(MasterTable[[#This Row],[ILS]:[PAR]])</f>
        <v>0</v>
      </c>
      <c r="AL1173" s="11"/>
      <c r="AR1173" s="140" t="str">
        <f>_xlfn.XLOOKUP(MasterTable[[#This Row],[Aircraft ID]],Aircraft!A:A,Aircraft!H:H)</f>
        <v>Airplane Multi Engine Land</v>
      </c>
      <c r="AS1173" s="8" t="b">
        <f>OR((SUM(MasterTable[[#This Row],[ILS]:[PAR]]) = MasterTable[[#This Row],[APPR]]))</f>
        <v>1</v>
      </c>
      <c r="AT1173" s="8" t="b">
        <f>NOT(ISBLANK(MasterTable[[#This Row],[Total
Time]]))</f>
        <v>1</v>
      </c>
    </row>
    <row r="1174" spans="4:46" ht="28.8" x14ac:dyDescent="0.3">
      <c r="D1174" s="22">
        <v>41605</v>
      </c>
      <c r="E1174" s="8" t="s">
        <v>37</v>
      </c>
      <c r="F1174" s="8" t="s">
        <v>202</v>
      </c>
      <c r="G1174" s="8" t="s">
        <v>289</v>
      </c>
      <c r="I1174" s="10">
        <v>0</v>
      </c>
      <c r="J1174" s="10">
        <v>0</v>
      </c>
      <c r="L1174" s="10">
        <v>0</v>
      </c>
      <c r="M1174" s="13">
        <v>0</v>
      </c>
      <c r="N1174" s="13"/>
      <c r="O1174" s="10">
        <v>0</v>
      </c>
      <c r="P1174" s="10">
        <v>0</v>
      </c>
      <c r="Q1174" s="14">
        <v>0</v>
      </c>
      <c r="R1174" s="14">
        <v>0</v>
      </c>
      <c r="S1174" s="10">
        <v>0</v>
      </c>
      <c r="T1174" s="10">
        <v>0</v>
      </c>
      <c r="U1174" s="14">
        <v>0</v>
      </c>
      <c r="V1174" s="10"/>
      <c r="W1174" s="11">
        <v>2</v>
      </c>
      <c r="X1174" s="11">
        <v>2</v>
      </c>
      <c r="Y1174" s="11">
        <v>0</v>
      </c>
      <c r="Z1174" s="11">
        <v>0</v>
      </c>
      <c r="AA1174" s="11">
        <f>MasterTable[[#This Row],[Landings
Night]]+MasterTable[[#This Row],[Landings
Day]]</f>
        <v>2</v>
      </c>
      <c r="AB1174" s="10">
        <v>0</v>
      </c>
      <c r="AC1174" s="10">
        <v>0</v>
      </c>
      <c r="AD1174" s="11">
        <v>0</v>
      </c>
      <c r="AE1174" s="21">
        <f>SUM(MasterTable[[#This Row],[ILS]:[PAR]])</f>
        <v>0</v>
      </c>
      <c r="AL1174" s="11"/>
      <c r="AR1174" s="140" t="str">
        <f>_xlfn.XLOOKUP(MasterTable[[#This Row],[Aircraft ID]],Aircraft!A:A,Aircraft!H:H)</f>
        <v>Airplane Multi Engine Land</v>
      </c>
      <c r="AS1174" s="8" t="b">
        <f>OR((SUM(MasterTable[[#This Row],[ILS]:[PAR]]) = MasterTable[[#This Row],[APPR]]))</f>
        <v>1</v>
      </c>
      <c r="AT1174" s="8" t="b">
        <f>NOT(ISBLANK(MasterTable[[#This Row],[Total
Time]]))</f>
        <v>1</v>
      </c>
    </row>
    <row r="1175" spans="4:46" ht="28.8" x14ac:dyDescent="0.3">
      <c r="D1175" s="22">
        <v>41602</v>
      </c>
      <c r="E1175" s="8" t="s">
        <v>174</v>
      </c>
      <c r="F1175" s="8" t="s">
        <v>202</v>
      </c>
      <c r="G1175" s="8" t="s">
        <v>259</v>
      </c>
      <c r="I1175" s="10">
        <v>1.4</v>
      </c>
      <c r="J1175" s="10">
        <v>0</v>
      </c>
      <c r="L1175" s="10">
        <v>0</v>
      </c>
      <c r="M1175" s="13">
        <v>0</v>
      </c>
      <c r="N1175" s="13"/>
      <c r="O1175" s="10">
        <v>0</v>
      </c>
      <c r="P1175" s="10">
        <v>1.4</v>
      </c>
      <c r="Q1175" s="14">
        <v>0</v>
      </c>
      <c r="R1175" s="14">
        <v>0</v>
      </c>
      <c r="S1175" s="10">
        <v>0</v>
      </c>
      <c r="T1175" s="10">
        <v>0</v>
      </c>
      <c r="U1175" s="14">
        <v>0</v>
      </c>
      <c r="V1175" s="10"/>
      <c r="W1175" s="11">
        <v>2</v>
      </c>
      <c r="X1175" s="11">
        <v>2</v>
      </c>
      <c r="Y1175" s="11">
        <v>0</v>
      </c>
      <c r="Z1175" s="11">
        <v>0</v>
      </c>
      <c r="AA1175" s="11">
        <f>MasterTable[[#This Row],[Landings
Night]]+MasterTable[[#This Row],[Landings
Day]]</f>
        <v>2</v>
      </c>
      <c r="AB1175" s="10">
        <v>0</v>
      </c>
      <c r="AC1175" s="10">
        <v>0.4</v>
      </c>
      <c r="AD1175" s="11">
        <v>0</v>
      </c>
      <c r="AE1175" s="21">
        <f>SUM(MasterTable[[#This Row],[ILS]:[PAR]])</f>
        <v>0</v>
      </c>
      <c r="AL1175" s="11"/>
      <c r="AR1175" s="140" t="str">
        <f>_xlfn.XLOOKUP(MasterTable[[#This Row],[Aircraft ID]],Aircraft!A:A,Aircraft!H:H)</f>
        <v>Airplane Single Engine Land</v>
      </c>
      <c r="AS1175" s="8" t="b">
        <f>OR((SUM(MasterTable[[#This Row],[ILS]:[PAR]]) = MasterTable[[#This Row],[APPR]]))</f>
        <v>1</v>
      </c>
      <c r="AT1175" s="8" t="b">
        <f>NOT(ISBLANK(MasterTable[[#This Row],[Total
Time]]))</f>
        <v>1</v>
      </c>
    </row>
    <row r="1176" spans="4:46" ht="28.8" x14ac:dyDescent="0.3">
      <c r="D1176" s="22">
        <v>41587</v>
      </c>
      <c r="E1176" s="8" t="s">
        <v>174</v>
      </c>
      <c r="F1176" s="8" t="s">
        <v>202</v>
      </c>
      <c r="G1176" s="8" t="s">
        <v>202</v>
      </c>
      <c r="I1176" s="10">
        <v>0.9</v>
      </c>
      <c r="J1176" s="10">
        <v>0</v>
      </c>
      <c r="L1176" s="10">
        <v>0</v>
      </c>
      <c r="M1176" s="13">
        <v>0</v>
      </c>
      <c r="N1176" s="13"/>
      <c r="O1176" s="10">
        <v>0</v>
      </c>
      <c r="P1176" s="10">
        <v>0.9</v>
      </c>
      <c r="Q1176" s="14">
        <v>0</v>
      </c>
      <c r="R1176" s="14">
        <v>0</v>
      </c>
      <c r="S1176" s="10">
        <v>0</v>
      </c>
      <c r="T1176" s="10">
        <v>0</v>
      </c>
      <c r="U1176" s="14">
        <v>0</v>
      </c>
      <c r="V1176" s="10"/>
      <c r="W1176" s="11">
        <v>6</v>
      </c>
      <c r="X1176" s="11">
        <v>6</v>
      </c>
      <c r="Y1176" s="11">
        <v>0</v>
      </c>
      <c r="Z1176" s="11">
        <v>0</v>
      </c>
      <c r="AA1176" s="11">
        <f>MasterTable[[#This Row],[Landings
Night]]+MasterTable[[#This Row],[Landings
Day]]</f>
        <v>6</v>
      </c>
      <c r="AB1176" s="10">
        <v>0</v>
      </c>
      <c r="AC1176" s="10">
        <v>0</v>
      </c>
      <c r="AD1176" s="11">
        <v>0</v>
      </c>
      <c r="AE1176" s="21">
        <f>SUM(MasterTable[[#This Row],[ILS]:[PAR]])</f>
        <v>0</v>
      </c>
      <c r="AL1176" s="11"/>
      <c r="AR1176" s="140" t="str">
        <f>_xlfn.XLOOKUP(MasterTable[[#This Row],[Aircraft ID]],Aircraft!A:A,Aircraft!H:H)</f>
        <v>Airplane Single Engine Land</v>
      </c>
      <c r="AS1176" s="8" t="b">
        <f>OR((SUM(MasterTable[[#This Row],[ILS]:[PAR]]) = MasterTable[[#This Row],[APPR]]))</f>
        <v>1</v>
      </c>
      <c r="AT1176" s="8" t="b">
        <f>NOT(ISBLANK(MasterTable[[#This Row],[Total
Time]]))</f>
        <v>1</v>
      </c>
    </row>
    <row r="1177" spans="4:46" ht="28.8" x14ac:dyDescent="0.3">
      <c r="D1177" s="22">
        <v>41573</v>
      </c>
      <c r="E1177" s="8" t="s">
        <v>117</v>
      </c>
      <c r="F1177" s="8" t="s">
        <v>202</v>
      </c>
      <c r="G1177" s="8" t="s">
        <v>202</v>
      </c>
      <c r="I1177" s="10">
        <v>0.5</v>
      </c>
      <c r="J1177" s="10">
        <v>0</v>
      </c>
      <c r="L1177" s="10">
        <v>0</v>
      </c>
      <c r="M1177" s="13">
        <v>0</v>
      </c>
      <c r="N1177" s="13"/>
      <c r="O1177" s="10">
        <v>0</v>
      </c>
      <c r="P1177" s="10">
        <v>0.5</v>
      </c>
      <c r="Q1177" s="14">
        <v>0</v>
      </c>
      <c r="R1177" s="14">
        <v>0</v>
      </c>
      <c r="S1177" s="10">
        <v>0</v>
      </c>
      <c r="T1177" s="10">
        <v>0</v>
      </c>
      <c r="U1177" s="14">
        <v>0</v>
      </c>
      <c r="V1177" s="10"/>
      <c r="W1177" s="11">
        <v>1</v>
      </c>
      <c r="X1177" s="11">
        <v>1</v>
      </c>
      <c r="Y1177" s="11">
        <v>0</v>
      </c>
      <c r="Z1177" s="11">
        <v>0</v>
      </c>
      <c r="AA1177" s="11">
        <f>MasterTable[[#This Row],[Landings
Night]]+MasterTable[[#This Row],[Landings
Day]]</f>
        <v>1</v>
      </c>
      <c r="AB1177" s="10">
        <v>0</v>
      </c>
      <c r="AC1177" s="10">
        <v>0</v>
      </c>
      <c r="AD1177" s="11">
        <v>0</v>
      </c>
      <c r="AE1177" s="21">
        <f>SUM(MasterTable[[#This Row],[ILS]:[PAR]])</f>
        <v>0</v>
      </c>
      <c r="AL1177" s="11"/>
      <c r="AR1177" s="140" t="str">
        <f>_xlfn.XLOOKUP(MasterTable[[#This Row],[Aircraft ID]],Aircraft!A:A,Aircraft!H:H)</f>
        <v>Airplane Single Engine Land</v>
      </c>
      <c r="AS1177" s="8" t="b">
        <f>OR((SUM(MasterTable[[#This Row],[ILS]:[PAR]]) = MasterTable[[#This Row],[APPR]]))</f>
        <v>1</v>
      </c>
      <c r="AT1177" s="8" t="b">
        <f>NOT(ISBLANK(MasterTable[[#This Row],[Total
Time]]))</f>
        <v>1</v>
      </c>
    </row>
    <row r="1178" spans="4:46" ht="28.8" x14ac:dyDescent="0.3">
      <c r="D1178" s="22">
        <v>41571</v>
      </c>
      <c r="E1178" s="8" t="s">
        <v>174</v>
      </c>
      <c r="F1178" s="8" t="s">
        <v>202</v>
      </c>
      <c r="G1178" s="8" t="s">
        <v>202</v>
      </c>
      <c r="I1178" s="10">
        <v>1</v>
      </c>
      <c r="J1178" s="10">
        <v>0</v>
      </c>
      <c r="L1178" s="10">
        <v>0</v>
      </c>
      <c r="M1178" s="13">
        <v>0</v>
      </c>
      <c r="N1178" s="13"/>
      <c r="O1178" s="10">
        <v>0</v>
      </c>
      <c r="P1178" s="10">
        <v>1</v>
      </c>
      <c r="Q1178" s="14">
        <v>0</v>
      </c>
      <c r="R1178" s="14">
        <v>0</v>
      </c>
      <c r="S1178" s="10">
        <v>0</v>
      </c>
      <c r="T1178" s="10">
        <v>0</v>
      </c>
      <c r="U1178" s="14">
        <v>0</v>
      </c>
      <c r="V1178" s="10"/>
      <c r="W1178" s="11">
        <v>6</v>
      </c>
      <c r="X1178" s="11">
        <v>6</v>
      </c>
      <c r="Y1178" s="11">
        <v>0</v>
      </c>
      <c r="Z1178" s="11">
        <v>0</v>
      </c>
      <c r="AA1178" s="11">
        <f>MasterTable[[#This Row],[Landings
Night]]+MasterTable[[#This Row],[Landings
Day]]</f>
        <v>6</v>
      </c>
      <c r="AB1178" s="10">
        <v>0</v>
      </c>
      <c r="AC1178" s="10">
        <v>0</v>
      </c>
      <c r="AD1178" s="11">
        <v>0</v>
      </c>
      <c r="AE1178" s="21">
        <f>SUM(MasterTable[[#This Row],[ILS]:[PAR]])</f>
        <v>0</v>
      </c>
      <c r="AL1178" s="11"/>
      <c r="AR1178" s="140" t="str">
        <f>_xlfn.XLOOKUP(MasterTable[[#This Row],[Aircraft ID]],Aircraft!A:A,Aircraft!H:H)</f>
        <v>Airplane Single Engine Land</v>
      </c>
      <c r="AS1178" s="8" t="b">
        <f>OR((SUM(MasterTable[[#This Row],[ILS]:[PAR]]) = MasterTable[[#This Row],[APPR]]))</f>
        <v>1</v>
      </c>
      <c r="AT1178" s="8" t="b">
        <f>NOT(ISBLANK(MasterTable[[#This Row],[Total
Time]]))</f>
        <v>1</v>
      </c>
    </row>
    <row r="1179" spans="4:46" ht="28.8" x14ac:dyDescent="0.3">
      <c r="D1179" s="22">
        <v>41567</v>
      </c>
      <c r="E1179" s="8" t="s">
        <v>174</v>
      </c>
      <c r="F1179" s="8" t="s">
        <v>202</v>
      </c>
      <c r="G1179" s="8" t="s">
        <v>219</v>
      </c>
      <c r="I1179" s="10">
        <v>1.2</v>
      </c>
      <c r="J1179" s="10">
        <v>0</v>
      </c>
      <c r="L1179" s="10">
        <v>0</v>
      </c>
      <c r="M1179" s="13">
        <v>0</v>
      </c>
      <c r="N1179" s="13"/>
      <c r="O1179" s="10">
        <v>0</v>
      </c>
      <c r="P1179" s="10">
        <v>1.2</v>
      </c>
      <c r="Q1179" s="14">
        <v>0</v>
      </c>
      <c r="R1179" s="14">
        <v>0</v>
      </c>
      <c r="S1179" s="10">
        <v>0</v>
      </c>
      <c r="T1179" s="10">
        <v>1.2</v>
      </c>
      <c r="U1179" s="14">
        <v>0</v>
      </c>
      <c r="V1179" s="10"/>
      <c r="W1179" s="11">
        <v>2</v>
      </c>
      <c r="X1179" s="11">
        <v>2</v>
      </c>
      <c r="Y1179" s="11">
        <v>0</v>
      </c>
      <c r="Z1179" s="11">
        <v>0</v>
      </c>
      <c r="AA1179" s="11">
        <f>MasterTable[[#This Row],[Landings
Night]]+MasterTable[[#This Row],[Landings
Day]]</f>
        <v>2</v>
      </c>
      <c r="AB1179" s="10">
        <v>0</v>
      </c>
      <c r="AC1179" s="10">
        <v>0</v>
      </c>
      <c r="AD1179" s="11">
        <v>0</v>
      </c>
      <c r="AE1179" s="21">
        <f>SUM(MasterTable[[#This Row],[ILS]:[PAR]])</f>
        <v>0</v>
      </c>
      <c r="AL1179" s="11"/>
      <c r="AR1179" s="140" t="str">
        <f>_xlfn.XLOOKUP(MasterTable[[#This Row],[Aircraft ID]],Aircraft!A:A,Aircraft!H:H)</f>
        <v>Airplane Single Engine Land</v>
      </c>
      <c r="AS1179" s="8" t="b">
        <f>OR((SUM(MasterTable[[#This Row],[ILS]:[PAR]]) = MasterTable[[#This Row],[APPR]]))</f>
        <v>1</v>
      </c>
      <c r="AT1179" s="8" t="b">
        <f>NOT(ISBLANK(MasterTable[[#This Row],[Total
Time]]))</f>
        <v>1</v>
      </c>
    </row>
    <row r="1180" spans="4:46" ht="28.8" x14ac:dyDescent="0.3">
      <c r="D1180" s="22">
        <v>41553</v>
      </c>
      <c r="E1180" s="8" t="s">
        <v>174</v>
      </c>
      <c r="F1180" s="8" t="s">
        <v>202</v>
      </c>
      <c r="G1180" s="8" t="s">
        <v>273</v>
      </c>
      <c r="I1180" s="10">
        <v>2.2999999999999998</v>
      </c>
      <c r="J1180" s="10">
        <v>0</v>
      </c>
      <c r="L1180" s="10">
        <v>0</v>
      </c>
      <c r="M1180" s="13">
        <v>0</v>
      </c>
      <c r="N1180" s="13"/>
      <c r="O1180" s="10">
        <v>0</v>
      </c>
      <c r="P1180" s="10">
        <v>2.2999999999999998</v>
      </c>
      <c r="Q1180" s="14">
        <v>0</v>
      </c>
      <c r="R1180" s="14">
        <v>0</v>
      </c>
      <c r="S1180" s="10">
        <v>0</v>
      </c>
      <c r="T1180" s="10">
        <v>2.2999999999999998</v>
      </c>
      <c r="U1180" s="14">
        <v>0</v>
      </c>
      <c r="V1180" s="10"/>
      <c r="W1180" s="11">
        <v>2</v>
      </c>
      <c r="X1180" s="11">
        <v>2</v>
      </c>
      <c r="Y1180" s="11">
        <v>0</v>
      </c>
      <c r="Z1180" s="11">
        <v>0</v>
      </c>
      <c r="AA1180" s="11">
        <f>MasterTable[[#This Row],[Landings
Night]]+MasterTable[[#This Row],[Landings
Day]]</f>
        <v>2</v>
      </c>
      <c r="AB1180" s="10">
        <v>0</v>
      </c>
      <c r="AC1180" s="10">
        <v>0</v>
      </c>
      <c r="AD1180" s="11">
        <v>0</v>
      </c>
      <c r="AE1180" s="21">
        <f>SUM(MasterTable[[#This Row],[ILS]:[PAR]])</f>
        <v>0</v>
      </c>
      <c r="AL1180" s="11"/>
      <c r="AR1180" s="140" t="str">
        <f>_xlfn.XLOOKUP(MasterTable[[#This Row],[Aircraft ID]],Aircraft!A:A,Aircraft!H:H)</f>
        <v>Airplane Single Engine Land</v>
      </c>
      <c r="AS1180" s="8" t="b">
        <f>OR((SUM(MasterTable[[#This Row],[ILS]:[PAR]]) = MasterTable[[#This Row],[APPR]]))</f>
        <v>1</v>
      </c>
      <c r="AT1180" s="8" t="b">
        <f>NOT(ISBLANK(MasterTable[[#This Row],[Total
Time]]))</f>
        <v>1</v>
      </c>
    </row>
    <row r="1181" spans="4:46" ht="28.8" x14ac:dyDescent="0.3">
      <c r="D1181" s="22">
        <v>41550</v>
      </c>
      <c r="E1181" s="8" t="s">
        <v>174</v>
      </c>
      <c r="F1181" s="8" t="s">
        <v>202</v>
      </c>
      <c r="G1181" s="8" t="s">
        <v>202</v>
      </c>
      <c r="I1181" s="10">
        <v>1.2</v>
      </c>
      <c r="J1181" s="10">
        <v>0</v>
      </c>
      <c r="L1181" s="10">
        <v>0</v>
      </c>
      <c r="M1181" s="13">
        <v>0</v>
      </c>
      <c r="N1181" s="13"/>
      <c r="O1181" s="10">
        <v>0</v>
      </c>
      <c r="P1181" s="10">
        <v>1.2</v>
      </c>
      <c r="Q1181" s="14">
        <v>0</v>
      </c>
      <c r="R1181" s="14">
        <v>0</v>
      </c>
      <c r="S1181" s="10">
        <v>0</v>
      </c>
      <c r="T1181" s="10">
        <v>0</v>
      </c>
      <c r="U1181" s="14">
        <v>0</v>
      </c>
      <c r="V1181" s="10"/>
      <c r="W1181" s="11">
        <v>6</v>
      </c>
      <c r="X1181" s="11">
        <v>6</v>
      </c>
      <c r="Y1181" s="11">
        <v>0</v>
      </c>
      <c r="Z1181" s="11">
        <v>0</v>
      </c>
      <c r="AA1181" s="11">
        <f>MasterTable[[#This Row],[Landings
Night]]+MasterTable[[#This Row],[Landings
Day]]</f>
        <v>6</v>
      </c>
      <c r="AB1181" s="10">
        <v>0</v>
      </c>
      <c r="AC1181" s="10">
        <v>0</v>
      </c>
      <c r="AD1181" s="11">
        <v>0</v>
      </c>
      <c r="AE1181" s="21">
        <f>SUM(MasterTable[[#This Row],[ILS]:[PAR]])</f>
        <v>0</v>
      </c>
      <c r="AL1181" s="11"/>
      <c r="AR1181" s="140" t="str">
        <f>_xlfn.XLOOKUP(MasterTable[[#This Row],[Aircraft ID]],Aircraft!A:A,Aircraft!H:H)</f>
        <v>Airplane Single Engine Land</v>
      </c>
      <c r="AS1181" s="8" t="b">
        <f>OR((SUM(MasterTable[[#This Row],[ILS]:[PAR]]) = MasterTable[[#This Row],[APPR]]))</f>
        <v>1</v>
      </c>
      <c r="AT1181" s="8" t="b">
        <f>NOT(ISBLANK(MasterTable[[#This Row],[Total
Time]]))</f>
        <v>1</v>
      </c>
    </row>
    <row r="1182" spans="4:46" ht="28.8" x14ac:dyDescent="0.3">
      <c r="D1182" s="22">
        <v>41532</v>
      </c>
      <c r="E1182" s="8" t="s">
        <v>81</v>
      </c>
      <c r="F1182" s="8" t="s">
        <v>270</v>
      </c>
      <c r="G1182" s="8" t="s">
        <v>344</v>
      </c>
      <c r="I1182" s="10">
        <v>1.6</v>
      </c>
      <c r="J1182" s="10">
        <v>0</v>
      </c>
      <c r="L1182" s="10">
        <v>0</v>
      </c>
      <c r="M1182" s="13">
        <v>0</v>
      </c>
      <c r="N1182" s="13"/>
      <c r="O1182" s="10">
        <v>0</v>
      </c>
      <c r="P1182" s="10">
        <v>1.6</v>
      </c>
      <c r="Q1182" s="14">
        <v>0</v>
      </c>
      <c r="R1182" s="14">
        <v>0</v>
      </c>
      <c r="S1182" s="10">
        <v>0.6</v>
      </c>
      <c r="T1182" s="10">
        <v>1.6</v>
      </c>
      <c r="U1182" s="14">
        <v>0</v>
      </c>
      <c r="V1182" s="10"/>
      <c r="W1182" s="11">
        <v>1</v>
      </c>
      <c r="X1182" s="11">
        <v>0</v>
      </c>
      <c r="Y1182" s="11">
        <v>0</v>
      </c>
      <c r="Z1182" s="11">
        <v>1</v>
      </c>
      <c r="AA1182" s="11">
        <f>MasterTable[[#This Row],[Landings
Night]]+MasterTable[[#This Row],[Landings
Day]]</f>
        <v>1</v>
      </c>
      <c r="AB1182" s="10">
        <v>0</v>
      </c>
      <c r="AC1182" s="10">
        <v>0</v>
      </c>
      <c r="AD1182" s="11">
        <v>0</v>
      </c>
      <c r="AE1182" s="21">
        <f>SUM(MasterTable[[#This Row],[ILS]:[PAR]])</f>
        <v>0</v>
      </c>
      <c r="AL1182" s="11"/>
      <c r="AR1182" s="140" t="str">
        <f>_xlfn.XLOOKUP(MasterTable[[#This Row],[Aircraft ID]],Aircraft!A:A,Aircraft!H:H)</f>
        <v>Airplane Single Engine Land</v>
      </c>
      <c r="AS1182" s="8" t="b">
        <f>OR((SUM(MasterTable[[#This Row],[ILS]:[PAR]]) = MasterTable[[#This Row],[APPR]]))</f>
        <v>1</v>
      </c>
      <c r="AT1182" s="8" t="b">
        <f>NOT(ISBLANK(MasterTable[[#This Row],[Total
Time]]))</f>
        <v>1</v>
      </c>
    </row>
    <row r="1183" spans="4:46" ht="28.8" x14ac:dyDescent="0.3">
      <c r="D1183" s="22">
        <v>41530</v>
      </c>
      <c r="E1183" s="8" t="s">
        <v>81</v>
      </c>
      <c r="F1183" s="8" t="s">
        <v>344</v>
      </c>
      <c r="G1183" s="8" t="s">
        <v>270</v>
      </c>
      <c r="H1183" s="8" t="s">
        <v>542</v>
      </c>
      <c r="I1183" s="10">
        <v>1.7</v>
      </c>
      <c r="J1183" s="10">
        <v>0</v>
      </c>
      <c r="L1183" s="10">
        <v>0</v>
      </c>
      <c r="M1183" s="13">
        <v>0</v>
      </c>
      <c r="N1183" s="13"/>
      <c r="O1183" s="10">
        <v>0</v>
      </c>
      <c r="P1183" s="10">
        <v>1.7</v>
      </c>
      <c r="Q1183" s="14">
        <v>0</v>
      </c>
      <c r="R1183" s="14">
        <v>0</v>
      </c>
      <c r="S1183" s="10">
        <v>0</v>
      </c>
      <c r="T1183" s="10">
        <v>1.7</v>
      </c>
      <c r="U1183" s="14">
        <v>0</v>
      </c>
      <c r="V1183" s="10"/>
      <c r="W1183" s="11">
        <v>2</v>
      </c>
      <c r="X1183" s="11">
        <v>2</v>
      </c>
      <c r="Y1183" s="11">
        <v>0</v>
      </c>
      <c r="Z1183" s="11">
        <v>0</v>
      </c>
      <c r="AA1183" s="11">
        <f>MasterTable[[#This Row],[Landings
Night]]+MasterTable[[#This Row],[Landings
Day]]</f>
        <v>2</v>
      </c>
      <c r="AB1183" s="10">
        <v>0</v>
      </c>
      <c r="AC1183" s="10">
        <v>0</v>
      </c>
      <c r="AD1183" s="11">
        <v>0</v>
      </c>
      <c r="AE1183" s="21">
        <f>SUM(MasterTable[[#This Row],[ILS]:[PAR]])</f>
        <v>0</v>
      </c>
      <c r="AL1183" s="11"/>
      <c r="AR1183" s="140" t="str">
        <f>_xlfn.XLOOKUP(MasterTable[[#This Row],[Aircraft ID]],Aircraft!A:A,Aircraft!H:H)</f>
        <v>Airplane Single Engine Land</v>
      </c>
      <c r="AS1183" s="8" t="b">
        <f>OR((SUM(MasterTable[[#This Row],[ILS]:[PAR]]) = MasterTable[[#This Row],[APPR]]))</f>
        <v>1</v>
      </c>
      <c r="AT1183" s="8" t="b">
        <f>NOT(ISBLANK(MasterTable[[#This Row],[Total
Time]]))</f>
        <v>1</v>
      </c>
    </row>
    <row r="1184" spans="4:46" ht="28.8" x14ac:dyDescent="0.3">
      <c r="D1184" s="22">
        <v>41528</v>
      </c>
      <c r="E1184" s="8" t="s">
        <v>174</v>
      </c>
      <c r="F1184" s="8" t="s">
        <v>202</v>
      </c>
      <c r="G1184" s="8" t="s">
        <v>365</v>
      </c>
      <c r="I1184" s="10">
        <v>0.8</v>
      </c>
      <c r="J1184" s="10">
        <v>0</v>
      </c>
      <c r="L1184" s="10">
        <v>0</v>
      </c>
      <c r="M1184" s="13">
        <v>0</v>
      </c>
      <c r="N1184" s="13"/>
      <c r="O1184" s="10">
        <v>0</v>
      </c>
      <c r="P1184" s="10">
        <v>0.8</v>
      </c>
      <c r="Q1184" s="14">
        <v>0</v>
      </c>
      <c r="R1184" s="14">
        <v>0</v>
      </c>
      <c r="S1184" s="10">
        <v>0</v>
      </c>
      <c r="T1184" s="10">
        <v>0</v>
      </c>
      <c r="U1184" s="14">
        <v>0</v>
      </c>
      <c r="V1184" s="10"/>
      <c r="W1184" s="11">
        <v>2</v>
      </c>
      <c r="X1184" s="11">
        <v>2</v>
      </c>
      <c r="Y1184" s="11">
        <v>0</v>
      </c>
      <c r="Z1184" s="11">
        <v>0</v>
      </c>
      <c r="AA1184" s="11">
        <f>MasterTable[[#This Row],[Landings
Night]]+MasterTable[[#This Row],[Landings
Day]]</f>
        <v>2</v>
      </c>
      <c r="AB1184" s="10">
        <v>0</v>
      </c>
      <c r="AC1184" s="10">
        <v>0</v>
      </c>
      <c r="AD1184" s="11">
        <v>0</v>
      </c>
      <c r="AE1184" s="21">
        <f>SUM(MasterTable[[#This Row],[ILS]:[PAR]])</f>
        <v>0</v>
      </c>
      <c r="AL1184" s="11"/>
      <c r="AR1184" s="140" t="str">
        <f>_xlfn.XLOOKUP(MasterTable[[#This Row],[Aircraft ID]],Aircraft!A:A,Aircraft!H:H)</f>
        <v>Airplane Single Engine Land</v>
      </c>
      <c r="AS1184" s="8" t="b">
        <f>OR((SUM(MasterTable[[#This Row],[ILS]:[PAR]]) = MasterTable[[#This Row],[APPR]]))</f>
        <v>1</v>
      </c>
      <c r="AT1184" s="8" t="b">
        <f>NOT(ISBLANK(MasterTable[[#This Row],[Total
Time]]))</f>
        <v>1</v>
      </c>
    </row>
    <row r="1185" spans="4:46" ht="28.8" x14ac:dyDescent="0.3">
      <c r="D1185" s="22">
        <v>41518</v>
      </c>
      <c r="E1185" s="8" t="s">
        <v>174</v>
      </c>
      <c r="F1185" s="8" t="s">
        <v>202</v>
      </c>
      <c r="G1185" s="8" t="s">
        <v>202</v>
      </c>
      <c r="I1185" s="10">
        <v>1.4</v>
      </c>
      <c r="J1185" s="10">
        <v>0</v>
      </c>
      <c r="L1185" s="10">
        <v>0</v>
      </c>
      <c r="M1185" s="13">
        <v>0</v>
      </c>
      <c r="N1185" s="13"/>
      <c r="O1185" s="10">
        <v>0</v>
      </c>
      <c r="P1185" s="10">
        <v>1.4</v>
      </c>
      <c r="Q1185" s="14">
        <v>0</v>
      </c>
      <c r="R1185" s="14">
        <v>0</v>
      </c>
      <c r="S1185" s="10">
        <v>0</v>
      </c>
      <c r="T1185" s="10">
        <v>0</v>
      </c>
      <c r="U1185" s="14">
        <v>0</v>
      </c>
      <c r="V1185" s="10"/>
      <c r="W1185" s="11">
        <v>4</v>
      </c>
      <c r="X1185" s="11">
        <v>4</v>
      </c>
      <c r="Y1185" s="11">
        <v>0</v>
      </c>
      <c r="Z1185" s="11">
        <v>0</v>
      </c>
      <c r="AA1185" s="11">
        <f>MasterTable[[#This Row],[Landings
Night]]+MasterTable[[#This Row],[Landings
Day]]</f>
        <v>4</v>
      </c>
      <c r="AB1185" s="10">
        <v>0</v>
      </c>
      <c r="AC1185" s="10">
        <v>0</v>
      </c>
      <c r="AD1185" s="11">
        <v>0</v>
      </c>
      <c r="AE1185" s="21">
        <f>SUM(MasterTable[[#This Row],[ILS]:[PAR]])</f>
        <v>0</v>
      </c>
      <c r="AL1185" s="11"/>
      <c r="AR1185" s="140" t="str">
        <f>_xlfn.XLOOKUP(MasterTable[[#This Row],[Aircraft ID]],Aircraft!A:A,Aircraft!H:H)</f>
        <v>Airplane Single Engine Land</v>
      </c>
      <c r="AS1185" s="8" t="b">
        <f>OR((SUM(MasterTable[[#This Row],[ILS]:[PAR]]) = MasterTable[[#This Row],[APPR]]))</f>
        <v>1</v>
      </c>
      <c r="AT1185" s="8" t="b">
        <f>NOT(ISBLANK(MasterTable[[#This Row],[Total
Time]]))</f>
        <v>1</v>
      </c>
    </row>
    <row r="1186" spans="4:46" ht="28.8" x14ac:dyDescent="0.3">
      <c r="D1186" s="22">
        <v>41511</v>
      </c>
      <c r="E1186" s="8" t="s">
        <v>174</v>
      </c>
      <c r="F1186" s="8" t="s">
        <v>202</v>
      </c>
      <c r="G1186" s="8" t="s">
        <v>202</v>
      </c>
      <c r="I1186" s="10">
        <v>1.3</v>
      </c>
      <c r="J1186" s="10">
        <v>0</v>
      </c>
      <c r="L1186" s="10">
        <v>0</v>
      </c>
      <c r="M1186" s="13">
        <v>0</v>
      </c>
      <c r="N1186" s="13"/>
      <c r="O1186" s="10">
        <v>0</v>
      </c>
      <c r="P1186" s="10">
        <v>1.3</v>
      </c>
      <c r="Q1186" s="14">
        <v>0</v>
      </c>
      <c r="R1186" s="14">
        <v>0</v>
      </c>
      <c r="S1186" s="10">
        <v>0</v>
      </c>
      <c r="T1186" s="10">
        <v>0</v>
      </c>
      <c r="U1186" s="14">
        <v>0</v>
      </c>
      <c r="V1186" s="10"/>
      <c r="W1186" s="11">
        <v>5</v>
      </c>
      <c r="X1186" s="11">
        <v>5</v>
      </c>
      <c r="Y1186" s="11">
        <v>0</v>
      </c>
      <c r="Z1186" s="11">
        <v>0</v>
      </c>
      <c r="AA1186" s="11">
        <f>MasterTable[[#This Row],[Landings
Night]]+MasterTable[[#This Row],[Landings
Day]]</f>
        <v>5</v>
      </c>
      <c r="AB1186" s="10">
        <v>0</v>
      </c>
      <c r="AC1186" s="10">
        <v>0.4</v>
      </c>
      <c r="AD1186" s="11">
        <v>0</v>
      </c>
      <c r="AE1186" s="21">
        <f>SUM(MasterTable[[#This Row],[ILS]:[PAR]])</f>
        <v>0</v>
      </c>
      <c r="AL1186" s="11"/>
      <c r="AR1186" s="140" t="str">
        <f>_xlfn.XLOOKUP(MasterTable[[#This Row],[Aircraft ID]],Aircraft!A:A,Aircraft!H:H)</f>
        <v>Airplane Single Engine Land</v>
      </c>
      <c r="AS1186" s="8" t="b">
        <f>OR((SUM(MasterTable[[#This Row],[ILS]:[PAR]]) = MasterTable[[#This Row],[APPR]]))</f>
        <v>1</v>
      </c>
      <c r="AT1186" s="8" t="b">
        <f>NOT(ISBLANK(MasterTable[[#This Row],[Total
Time]]))</f>
        <v>1</v>
      </c>
    </row>
    <row r="1187" spans="4:46" ht="28.8" x14ac:dyDescent="0.3">
      <c r="D1187" s="22">
        <v>41504</v>
      </c>
      <c r="E1187" s="8" t="s">
        <v>37</v>
      </c>
      <c r="F1187" s="8" t="s">
        <v>202</v>
      </c>
      <c r="G1187" s="8" t="s">
        <v>270</v>
      </c>
      <c r="H1187" s="8" t="s">
        <v>541</v>
      </c>
      <c r="I1187" s="10">
        <v>0</v>
      </c>
      <c r="J1187" s="10">
        <v>0</v>
      </c>
      <c r="L1187" s="10">
        <v>0</v>
      </c>
      <c r="M1187" s="13">
        <v>0</v>
      </c>
      <c r="N1187" s="13"/>
      <c r="O1187" s="10">
        <v>0</v>
      </c>
      <c r="P1187" s="10">
        <v>0</v>
      </c>
      <c r="Q1187" s="14">
        <v>0</v>
      </c>
      <c r="R1187" s="14">
        <v>0</v>
      </c>
      <c r="S1187" s="10">
        <v>0</v>
      </c>
      <c r="T1187" s="10">
        <v>0</v>
      </c>
      <c r="U1187" s="14">
        <v>0</v>
      </c>
      <c r="V1187" s="10"/>
      <c r="W1187" s="11">
        <v>3</v>
      </c>
      <c r="X1187" s="11">
        <v>3</v>
      </c>
      <c r="Y1187" s="11">
        <v>0</v>
      </c>
      <c r="Z1187" s="11">
        <v>0</v>
      </c>
      <c r="AA1187" s="11">
        <f>MasterTable[[#This Row],[Landings
Night]]+MasterTable[[#This Row],[Landings
Day]]</f>
        <v>3</v>
      </c>
      <c r="AB1187" s="10">
        <v>0</v>
      </c>
      <c r="AC1187" s="10">
        <v>0</v>
      </c>
      <c r="AD1187" s="11">
        <v>0</v>
      </c>
      <c r="AE1187" s="21">
        <f>SUM(MasterTable[[#This Row],[ILS]:[PAR]])</f>
        <v>0</v>
      </c>
      <c r="AL1187" s="11"/>
      <c r="AR1187" s="140" t="str">
        <f>_xlfn.XLOOKUP(MasterTable[[#This Row],[Aircraft ID]],Aircraft!A:A,Aircraft!H:H)</f>
        <v>Airplane Multi Engine Land</v>
      </c>
      <c r="AS1187" s="8" t="b">
        <f>OR((SUM(MasterTable[[#This Row],[ILS]:[PAR]]) = MasterTable[[#This Row],[APPR]]))</f>
        <v>1</v>
      </c>
      <c r="AT1187" s="8" t="b">
        <f>NOT(ISBLANK(MasterTable[[#This Row],[Total
Time]]))</f>
        <v>1</v>
      </c>
    </row>
    <row r="1188" spans="4:46" ht="28.8" x14ac:dyDescent="0.3">
      <c r="D1188" s="22">
        <v>41501</v>
      </c>
      <c r="E1188" s="8" t="s">
        <v>174</v>
      </c>
      <c r="F1188" s="8" t="s">
        <v>202</v>
      </c>
      <c r="G1188" s="8" t="s">
        <v>202</v>
      </c>
      <c r="I1188" s="10">
        <v>1.2</v>
      </c>
      <c r="J1188" s="10">
        <v>0</v>
      </c>
      <c r="L1188" s="10">
        <v>0</v>
      </c>
      <c r="M1188" s="13">
        <v>0</v>
      </c>
      <c r="N1188" s="13"/>
      <c r="O1188" s="10">
        <v>0</v>
      </c>
      <c r="P1188" s="10">
        <v>1.2</v>
      </c>
      <c r="Q1188" s="14">
        <v>0</v>
      </c>
      <c r="R1188" s="14">
        <v>0</v>
      </c>
      <c r="S1188" s="10">
        <v>0</v>
      </c>
      <c r="T1188" s="10">
        <v>0</v>
      </c>
      <c r="U1188" s="14">
        <v>0</v>
      </c>
      <c r="V1188" s="10"/>
      <c r="W1188" s="11">
        <v>7</v>
      </c>
      <c r="X1188" s="11">
        <v>7</v>
      </c>
      <c r="Y1188" s="11">
        <v>0</v>
      </c>
      <c r="Z1188" s="11">
        <v>0</v>
      </c>
      <c r="AA1188" s="11">
        <f>MasterTable[[#This Row],[Landings
Night]]+MasterTable[[#This Row],[Landings
Day]]</f>
        <v>7</v>
      </c>
      <c r="AB1188" s="10">
        <v>0</v>
      </c>
      <c r="AC1188" s="10">
        <v>0</v>
      </c>
      <c r="AD1188" s="11">
        <v>0</v>
      </c>
      <c r="AE1188" s="21">
        <f>SUM(MasterTable[[#This Row],[ILS]:[PAR]])</f>
        <v>0</v>
      </c>
      <c r="AL1188" s="11"/>
      <c r="AR1188" s="140" t="str">
        <f>_xlfn.XLOOKUP(MasterTable[[#This Row],[Aircraft ID]],Aircraft!A:A,Aircraft!H:H)</f>
        <v>Airplane Single Engine Land</v>
      </c>
      <c r="AS1188" s="8" t="b">
        <f>OR((SUM(MasterTable[[#This Row],[ILS]:[PAR]]) = MasterTable[[#This Row],[APPR]]))</f>
        <v>1</v>
      </c>
      <c r="AT1188" s="8" t="b">
        <f>NOT(ISBLANK(MasterTable[[#This Row],[Total
Time]]))</f>
        <v>1</v>
      </c>
    </row>
    <row r="1189" spans="4:46" ht="28.8" x14ac:dyDescent="0.3">
      <c r="D1189" s="22">
        <v>41496</v>
      </c>
      <c r="E1189" s="8" t="s">
        <v>174</v>
      </c>
      <c r="F1189" s="8" t="s">
        <v>202</v>
      </c>
      <c r="G1189" s="8" t="s">
        <v>366</v>
      </c>
      <c r="I1189" s="10">
        <v>1</v>
      </c>
      <c r="J1189" s="10">
        <v>0</v>
      </c>
      <c r="L1189" s="10">
        <v>0</v>
      </c>
      <c r="M1189" s="13">
        <v>0</v>
      </c>
      <c r="N1189" s="13"/>
      <c r="O1189" s="10">
        <v>0</v>
      </c>
      <c r="P1189" s="10">
        <v>1</v>
      </c>
      <c r="Q1189" s="14">
        <v>0</v>
      </c>
      <c r="R1189" s="14">
        <v>0</v>
      </c>
      <c r="S1189" s="10">
        <v>0</v>
      </c>
      <c r="T1189" s="10">
        <v>0</v>
      </c>
      <c r="U1189" s="14">
        <v>0</v>
      </c>
      <c r="V1189" s="10"/>
      <c r="W1189" s="11">
        <v>2</v>
      </c>
      <c r="X1189" s="11">
        <v>2</v>
      </c>
      <c r="Y1189" s="11">
        <v>0</v>
      </c>
      <c r="Z1189" s="11">
        <v>0</v>
      </c>
      <c r="AA1189" s="11">
        <f>MasterTable[[#This Row],[Landings
Night]]+MasterTable[[#This Row],[Landings
Day]]</f>
        <v>2</v>
      </c>
      <c r="AB1189" s="10">
        <v>0</v>
      </c>
      <c r="AC1189" s="10">
        <v>0</v>
      </c>
      <c r="AD1189" s="11">
        <v>0</v>
      </c>
      <c r="AE1189" s="21">
        <f>SUM(MasterTable[[#This Row],[ILS]:[PAR]])</f>
        <v>0</v>
      </c>
      <c r="AL1189" s="11"/>
      <c r="AR1189" s="140" t="str">
        <f>_xlfn.XLOOKUP(MasterTable[[#This Row],[Aircraft ID]],Aircraft!A:A,Aircraft!H:H)</f>
        <v>Airplane Single Engine Land</v>
      </c>
      <c r="AS1189" s="8" t="b">
        <f>OR((SUM(MasterTable[[#This Row],[ILS]:[PAR]]) = MasterTable[[#This Row],[APPR]]))</f>
        <v>1</v>
      </c>
      <c r="AT1189" s="8" t="b">
        <f>NOT(ISBLANK(MasterTable[[#This Row],[Total
Time]]))</f>
        <v>1</v>
      </c>
    </row>
    <row r="1190" spans="4:46" ht="28.8" x14ac:dyDescent="0.3">
      <c r="D1190" s="22">
        <v>41493</v>
      </c>
      <c r="E1190" s="8" t="s">
        <v>174</v>
      </c>
      <c r="F1190" s="8" t="s">
        <v>202</v>
      </c>
      <c r="G1190" s="8" t="s">
        <v>202</v>
      </c>
      <c r="I1190" s="10">
        <v>1.3</v>
      </c>
      <c r="J1190" s="10">
        <v>0</v>
      </c>
      <c r="L1190" s="10">
        <v>0</v>
      </c>
      <c r="M1190" s="13">
        <v>0</v>
      </c>
      <c r="N1190" s="13"/>
      <c r="O1190" s="10">
        <v>0</v>
      </c>
      <c r="P1190" s="10">
        <v>1.3</v>
      </c>
      <c r="Q1190" s="14">
        <v>0</v>
      </c>
      <c r="R1190" s="14">
        <v>0</v>
      </c>
      <c r="S1190" s="10">
        <v>0</v>
      </c>
      <c r="T1190" s="10">
        <v>0</v>
      </c>
      <c r="U1190" s="14">
        <v>0</v>
      </c>
      <c r="V1190" s="10"/>
      <c r="W1190" s="11">
        <v>3</v>
      </c>
      <c r="X1190" s="11">
        <v>3</v>
      </c>
      <c r="Y1190" s="11">
        <v>0</v>
      </c>
      <c r="Z1190" s="11">
        <v>0</v>
      </c>
      <c r="AA1190" s="11">
        <f>MasterTable[[#This Row],[Landings
Night]]+MasterTable[[#This Row],[Landings
Day]]</f>
        <v>3</v>
      </c>
      <c r="AB1190" s="10">
        <v>0</v>
      </c>
      <c r="AC1190" s="10">
        <v>0</v>
      </c>
      <c r="AD1190" s="11">
        <v>0</v>
      </c>
      <c r="AE1190" s="21">
        <f>SUM(MasterTable[[#This Row],[ILS]:[PAR]])</f>
        <v>0</v>
      </c>
      <c r="AL1190" s="11"/>
      <c r="AR1190" s="140" t="str">
        <f>_xlfn.XLOOKUP(MasterTable[[#This Row],[Aircraft ID]],Aircraft!A:A,Aircraft!H:H)</f>
        <v>Airplane Single Engine Land</v>
      </c>
      <c r="AS1190" s="8" t="b">
        <f>OR((SUM(MasterTable[[#This Row],[ILS]:[PAR]]) = MasterTable[[#This Row],[APPR]]))</f>
        <v>1</v>
      </c>
      <c r="AT1190" s="8" t="b">
        <f>NOT(ISBLANK(MasterTable[[#This Row],[Total
Time]]))</f>
        <v>1</v>
      </c>
    </row>
    <row r="1191" spans="4:46" ht="28.8" x14ac:dyDescent="0.3">
      <c r="D1191" s="22">
        <v>41488</v>
      </c>
      <c r="E1191" s="8" t="s">
        <v>37</v>
      </c>
      <c r="F1191" s="8" t="s">
        <v>202</v>
      </c>
      <c r="G1191" s="8" t="s">
        <v>351</v>
      </c>
      <c r="J1191" s="10">
        <v>0</v>
      </c>
      <c r="L1191" s="10">
        <v>0</v>
      </c>
      <c r="M1191" s="13">
        <v>0</v>
      </c>
      <c r="N1191" s="13"/>
      <c r="O1191" s="10">
        <v>0</v>
      </c>
      <c r="P1191" s="10">
        <v>0</v>
      </c>
      <c r="Q1191" s="14">
        <v>0</v>
      </c>
      <c r="R1191" s="14">
        <v>0</v>
      </c>
      <c r="S1191" s="10">
        <v>0</v>
      </c>
      <c r="T1191" s="10">
        <v>0</v>
      </c>
      <c r="U1191" s="14">
        <v>0</v>
      </c>
      <c r="V1191" s="10"/>
      <c r="W1191" s="11">
        <v>2</v>
      </c>
      <c r="X1191" s="11">
        <v>2</v>
      </c>
      <c r="Y1191" s="11">
        <v>0</v>
      </c>
      <c r="Z1191" s="11">
        <v>0</v>
      </c>
      <c r="AA1191" s="11">
        <f>MasterTable[[#This Row],[Landings
Night]]+MasterTable[[#This Row],[Landings
Day]]</f>
        <v>2</v>
      </c>
      <c r="AB1191" s="10">
        <v>0</v>
      </c>
      <c r="AC1191" s="10">
        <v>0</v>
      </c>
      <c r="AD1191" s="11">
        <v>0</v>
      </c>
      <c r="AE1191" s="21">
        <f>SUM(MasterTable[[#This Row],[ILS]:[PAR]])</f>
        <v>0</v>
      </c>
      <c r="AL1191" s="11"/>
      <c r="AR1191" s="140" t="str">
        <f>_xlfn.XLOOKUP(MasterTable[[#This Row],[Aircraft ID]],Aircraft!A:A,Aircraft!H:H)</f>
        <v>Airplane Multi Engine Land</v>
      </c>
      <c r="AS1191" s="8" t="b">
        <f>OR((SUM(MasterTable[[#This Row],[ILS]:[PAR]]) = MasterTable[[#This Row],[APPR]]))</f>
        <v>1</v>
      </c>
      <c r="AT1191" s="8" t="b">
        <f>NOT(ISBLANK(MasterTable[[#This Row],[Total
Time]]))</f>
        <v>0</v>
      </c>
    </row>
    <row r="1192" spans="4:46" ht="28.8" x14ac:dyDescent="0.3">
      <c r="D1192" s="22">
        <v>41484</v>
      </c>
      <c r="E1192" s="8" t="s">
        <v>174</v>
      </c>
      <c r="F1192" s="8" t="s">
        <v>202</v>
      </c>
      <c r="G1192" s="8" t="s">
        <v>202</v>
      </c>
      <c r="I1192" s="10">
        <v>0.6</v>
      </c>
      <c r="J1192" s="10">
        <v>0</v>
      </c>
      <c r="L1192" s="10">
        <v>0</v>
      </c>
      <c r="M1192" s="13">
        <v>0</v>
      </c>
      <c r="N1192" s="13"/>
      <c r="O1192" s="10">
        <v>0</v>
      </c>
      <c r="P1192" s="10">
        <v>0.6</v>
      </c>
      <c r="Q1192" s="14">
        <v>0</v>
      </c>
      <c r="R1192" s="14">
        <v>0</v>
      </c>
      <c r="S1192" s="10">
        <v>0</v>
      </c>
      <c r="T1192" s="10">
        <v>0</v>
      </c>
      <c r="U1192" s="14">
        <v>0</v>
      </c>
      <c r="V1192" s="10"/>
      <c r="W1192" s="11">
        <v>1</v>
      </c>
      <c r="X1192" s="11">
        <v>1</v>
      </c>
      <c r="Y1192" s="11">
        <v>0</v>
      </c>
      <c r="Z1192" s="11">
        <v>0</v>
      </c>
      <c r="AA1192" s="11">
        <f>MasterTable[[#This Row],[Landings
Night]]+MasterTable[[#This Row],[Landings
Day]]</f>
        <v>1</v>
      </c>
      <c r="AB1192" s="10">
        <v>0</v>
      </c>
      <c r="AC1192" s="10">
        <v>0</v>
      </c>
      <c r="AD1192" s="11">
        <v>0</v>
      </c>
      <c r="AE1192" s="21">
        <f>SUM(MasterTable[[#This Row],[ILS]:[PAR]])</f>
        <v>0</v>
      </c>
      <c r="AL1192" s="11"/>
      <c r="AR1192" s="140" t="str">
        <f>_xlfn.XLOOKUP(MasterTable[[#This Row],[Aircraft ID]],Aircraft!A:A,Aircraft!H:H)</f>
        <v>Airplane Single Engine Land</v>
      </c>
      <c r="AS1192" s="8" t="b">
        <f>OR((SUM(MasterTable[[#This Row],[ILS]:[PAR]]) = MasterTable[[#This Row],[APPR]]))</f>
        <v>1</v>
      </c>
      <c r="AT1192" s="8" t="b">
        <f>NOT(ISBLANK(MasterTable[[#This Row],[Total
Time]]))</f>
        <v>1</v>
      </c>
    </row>
    <row r="1193" spans="4:46" ht="28.8" x14ac:dyDescent="0.3">
      <c r="D1193" s="22">
        <v>41463</v>
      </c>
      <c r="E1193" s="8" t="s">
        <v>174</v>
      </c>
      <c r="F1193" s="8" t="s">
        <v>202</v>
      </c>
      <c r="G1193" s="8" t="s">
        <v>202</v>
      </c>
      <c r="I1193" s="10">
        <v>0.5</v>
      </c>
      <c r="J1193" s="10">
        <v>0</v>
      </c>
      <c r="L1193" s="10">
        <v>0</v>
      </c>
      <c r="M1193" s="13">
        <v>0</v>
      </c>
      <c r="N1193" s="13"/>
      <c r="O1193" s="10">
        <v>0</v>
      </c>
      <c r="P1193" s="10">
        <v>0.5</v>
      </c>
      <c r="Q1193" s="14">
        <v>0</v>
      </c>
      <c r="R1193" s="14">
        <v>0</v>
      </c>
      <c r="S1193" s="10">
        <v>0</v>
      </c>
      <c r="T1193" s="10">
        <v>0</v>
      </c>
      <c r="U1193" s="14">
        <v>0</v>
      </c>
      <c r="V1193" s="10"/>
      <c r="W1193" s="11">
        <v>3</v>
      </c>
      <c r="X1193" s="11">
        <v>3</v>
      </c>
      <c r="Y1193" s="11">
        <v>0</v>
      </c>
      <c r="Z1193" s="11">
        <v>0</v>
      </c>
      <c r="AA1193" s="11">
        <f>MasterTable[[#This Row],[Landings
Night]]+MasterTable[[#This Row],[Landings
Day]]</f>
        <v>3</v>
      </c>
      <c r="AB1193" s="10">
        <v>0</v>
      </c>
      <c r="AC1193" s="10">
        <v>0</v>
      </c>
      <c r="AD1193" s="11">
        <v>0</v>
      </c>
      <c r="AE1193" s="21">
        <f>SUM(MasterTable[[#This Row],[ILS]:[PAR]])</f>
        <v>0</v>
      </c>
      <c r="AL1193" s="11"/>
      <c r="AR1193" s="140" t="str">
        <f>_xlfn.XLOOKUP(MasterTable[[#This Row],[Aircraft ID]],Aircraft!A:A,Aircraft!H:H)</f>
        <v>Airplane Single Engine Land</v>
      </c>
      <c r="AS1193" s="8" t="b">
        <f>OR((SUM(MasterTable[[#This Row],[ILS]:[PAR]]) = MasterTable[[#This Row],[APPR]]))</f>
        <v>1</v>
      </c>
      <c r="AT1193" s="8" t="b">
        <f>NOT(ISBLANK(MasterTable[[#This Row],[Total
Time]]))</f>
        <v>1</v>
      </c>
    </row>
    <row r="1194" spans="4:46" ht="28.8" x14ac:dyDescent="0.3">
      <c r="D1194" s="22">
        <v>41458</v>
      </c>
      <c r="E1194" s="8" t="s">
        <v>174</v>
      </c>
      <c r="F1194" s="8" t="s">
        <v>202</v>
      </c>
      <c r="G1194" s="8" t="s">
        <v>202</v>
      </c>
      <c r="I1194" s="10">
        <v>0.4</v>
      </c>
      <c r="J1194" s="10">
        <v>0</v>
      </c>
      <c r="L1194" s="10">
        <v>0</v>
      </c>
      <c r="M1194" s="13">
        <v>0</v>
      </c>
      <c r="N1194" s="13"/>
      <c r="O1194" s="10">
        <v>0</v>
      </c>
      <c r="P1194" s="10">
        <v>0.4</v>
      </c>
      <c r="Q1194" s="14">
        <v>0</v>
      </c>
      <c r="R1194" s="14">
        <v>0</v>
      </c>
      <c r="S1194" s="10">
        <v>0</v>
      </c>
      <c r="T1194" s="10">
        <v>0</v>
      </c>
      <c r="U1194" s="14">
        <v>0</v>
      </c>
      <c r="V1194" s="10"/>
      <c r="W1194" s="11">
        <v>2</v>
      </c>
      <c r="X1194" s="11">
        <v>2</v>
      </c>
      <c r="Y1194" s="11">
        <v>0</v>
      </c>
      <c r="Z1194" s="11">
        <v>0</v>
      </c>
      <c r="AA1194" s="11">
        <f>MasterTable[[#This Row],[Landings
Night]]+MasterTable[[#This Row],[Landings
Day]]</f>
        <v>2</v>
      </c>
      <c r="AB1194" s="10">
        <v>0</v>
      </c>
      <c r="AC1194" s="10">
        <v>0</v>
      </c>
      <c r="AD1194" s="11">
        <v>0</v>
      </c>
      <c r="AE1194" s="21">
        <f>SUM(MasterTable[[#This Row],[ILS]:[PAR]])</f>
        <v>0</v>
      </c>
      <c r="AL1194" s="11"/>
      <c r="AR1194" s="140" t="str">
        <f>_xlfn.XLOOKUP(MasterTable[[#This Row],[Aircraft ID]],Aircraft!A:A,Aircraft!H:H)</f>
        <v>Airplane Single Engine Land</v>
      </c>
      <c r="AS1194" s="8" t="b">
        <f>OR((SUM(MasterTable[[#This Row],[ILS]:[PAR]]) = MasterTable[[#This Row],[APPR]]))</f>
        <v>1</v>
      </c>
      <c r="AT1194" s="8" t="b">
        <f>NOT(ISBLANK(MasterTable[[#This Row],[Total
Time]]))</f>
        <v>1</v>
      </c>
    </row>
    <row r="1195" spans="4:46" ht="28.8" x14ac:dyDescent="0.3">
      <c r="D1195" s="22">
        <v>41456</v>
      </c>
      <c r="E1195" s="8" t="s">
        <v>174</v>
      </c>
      <c r="F1195" s="8" t="s">
        <v>202</v>
      </c>
      <c r="G1195" s="8" t="s">
        <v>241</v>
      </c>
      <c r="I1195" s="10">
        <v>1</v>
      </c>
      <c r="J1195" s="10">
        <v>0</v>
      </c>
      <c r="L1195" s="10">
        <v>0</v>
      </c>
      <c r="M1195" s="13">
        <v>0</v>
      </c>
      <c r="N1195" s="13"/>
      <c r="O1195" s="10">
        <v>0</v>
      </c>
      <c r="P1195" s="10">
        <v>1</v>
      </c>
      <c r="Q1195" s="14">
        <v>0</v>
      </c>
      <c r="R1195" s="14">
        <v>0</v>
      </c>
      <c r="S1195" s="10">
        <v>0</v>
      </c>
      <c r="T1195" s="10">
        <v>0</v>
      </c>
      <c r="U1195" s="14">
        <v>0</v>
      </c>
      <c r="V1195" s="10"/>
      <c r="W1195" s="11">
        <v>6</v>
      </c>
      <c r="X1195" s="11">
        <v>6</v>
      </c>
      <c r="Y1195" s="11">
        <v>0</v>
      </c>
      <c r="Z1195" s="11">
        <v>0</v>
      </c>
      <c r="AA1195" s="11">
        <f>MasterTable[[#This Row],[Landings
Night]]+MasterTable[[#This Row],[Landings
Day]]</f>
        <v>6</v>
      </c>
      <c r="AB1195" s="10">
        <v>0</v>
      </c>
      <c r="AC1195" s="10">
        <v>0</v>
      </c>
      <c r="AD1195" s="11">
        <v>0</v>
      </c>
      <c r="AE1195" s="21">
        <f>SUM(MasterTable[[#This Row],[ILS]:[PAR]])</f>
        <v>0</v>
      </c>
      <c r="AL1195" s="11"/>
      <c r="AR1195" s="140" t="str">
        <f>_xlfn.XLOOKUP(MasterTable[[#This Row],[Aircraft ID]],Aircraft!A:A,Aircraft!H:H)</f>
        <v>Airplane Single Engine Land</v>
      </c>
      <c r="AS1195" s="8" t="b">
        <f>OR((SUM(MasterTable[[#This Row],[ILS]:[PAR]]) = MasterTable[[#This Row],[APPR]]))</f>
        <v>1</v>
      </c>
      <c r="AT1195" s="8" t="b">
        <f>NOT(ISBLANK(MasterTable[[#This Row],[Total
Time]]))</f>
        <v>1</v>
      </c>
    </row>
    <row r="1196" spans="4:46" ht="28.8" x14ac:dyDescent="0.3">
      <c r="D1196" s="22">
        <v>41454</v>
      </c>
      <c r="E1196" s="8" t="s">
        <v>33</v>
      </c>
      <c r="F1196" s="8" t="s">
        <v>346</v>
      </c>
      <c r="G1196" s="8" t="s">
        <v>202</v>
      </c>
      <c r="I1196" s="10">
        <v>0</v>
      </c>
      <c r="J1196" s="10">
        <v>0</v>
      </c>
      <c r="L1196" s="10">
        <v>0</v>
      </c>
      <c r="M1196" s="13">
        <v>0</v>
      </c>
      <c r="N1196" s="13"/>
      <c r="O1196" s="10">
        <v>0</v>
      </c>
      <c r="P1196" s="10">
        <v>0</v>
      </c>
      <c r="Q1196" s="14">
        <v>0</v>
      </c>
      <c r="R1196" s="14">
        <v>0</v>
      </c>
      <c r="S1196" s="10">
        <v>0</v>
      </c>
      <c r="T1196" s="10">
        <v>0</v>
      </c>
      <c r="U1196" s="14">
        <v>0</v>
      </c>
      <c r="V1196" s="10"/>
      <c r="W1196" s="11">
        <v>1</v>
      </c>
      <c r="X1196" s="11">
        <v>1</v>
      </c>
      <c r="Y1196" s="11">
        <v>0</v>
      </c>
      <c r="Z1196" s="11">
        <v>0</v>
      </c>
      <c r="AA1196" s="11">
        <f>MasterTable[[#This Row],[Landings
Night]]+MasterTable[[#This Row],[Landings
Day]]</f>
        <v>1</v>
      </c>
      <c r="AB1196" s="10">
        <v>0</v>
      </c>
      <c r="AC1196" s="10">
        <v>0</v>
      </c>
      <c r="AD1196" s="11">
        <v>0</v>
      </c>
      <c r="AE1196" s="21">
        <f>SUM(MasterTable[[#This Row],[ILS]:[PAR]])</f>
        <v>0</v>
      </c>
      <c r="AL1196" s="11"/>
      <c r="AR1196" s="140" t="str">
        <f>_xlfn.XLOOKUP(MasterTable[[#This Row],[Aircraft ID]],Aircraft!A:A,Aircraft!H:H)</f>
        <v>Airplane Multi Engine Land</v>
      </c>
      <c r="AS1196" s="8" t="b">
        <f>OR((SUM(MasterTable[[#This Row],[ILS]:[PAR]]) = MasterTable[[#This Row],[APPR]]))</f>
        <v>1</v>
      </c>
      <c r="AT1196" s="8" t="b">
        <f>NOT(ISBLANK(MasterTable[[#This Row],[Total
Time]]))</f>
        <v>1</v>
      </c>
    </row>
    <row r="1197" spans="4:46" ht="28.8" x14ac:dyDescent="0.3">
      <c r="D1197" s="22">
        <v>41454</v>
      </c>
      <c r="E1197" s="8" t="s">
        <v>174</v>
      </c>
      <c r="F1197" s="8" t="s">
        <v>202</v>
      </c>
      <c r="G1197" s="8" t="s">
        <v>367</v>
      </c>
      <c r="I1197" s="10">
        <v>1.6</v>
      </c>
      <c r="J1197" s="10">
        <v>0</v>
      </c>
      <c r="L1197" s="10">
        <v>0</v>
      </c>
      <c r="M1197" s="13">
        <v>0</v>
      </c>
      <c r="N1197" s="13"/>
      <c r="O1197" s="10">
        <v>0</v>
      </c>
      <c r="P1197" s="10">
        <v>1.6</v>
      </c>
      <c r="Q1197" s="14">
        <v>0</v>
      </c>
      <c r="R1197" s="14">
        <v>0</v>
      </c>
      <c r="S1197" s="10">
        <v>0</v>
      </c>
      <c r="T1197" s="10">
        <v>1.6</v>
      </c>
      <c r="U1197" s="14">
        <v>0</v>
      </c>
      <c r="V1197" s="10"/>
      <c r="W1197" s="11">
        <v>1</v>
      </c>
      <c r="X1197" s="11">
        <v>1</v>
      </c>
      <c r="Y1197" s="11">
        <v>0</v>
      </c>
      <c r="Z1197" s="11">
        <v>0</v>
      </c>
      <c r="AA1197" s="11">
        <f>MasterTable[[#This Row],[Landings
Night]]+MasterTable[[#This Row],[Landings
Day]]</f>
        <v>1</v>
      </c>
      <c r="AB1197" s="10">
        <v>0</v>
      </c>
      <c r="AC1197" s="10">
        <v>0</v>
      </c>
      <c r="AD1197" s="11">
        <v>0</v>
      </c>
      <c r="AE1197" s="21">
        <f>SUM(MasterTable[[#This Row],[ILS]:[PAR]])</f>
        <v>0</v>
      </c>
      <c r="AL1197" s="11"/>
      <c r="AR1197" s="140" t="str">
        <f>_xlfn.XLOOKUP(MasterTable[[#This Row],[Aircraft ID]],Aircraft!A:A,Aircraft!H:H)</f>
        <v>Airplane Single Engine Land</v>
      </c>
      <c r="AS1197" s="8" t="b">
        <f>OR((SUM(MasterTable[[#This Row],[ILS]:[PAR]]) = MasterTable[[#This Row],[APPR]]))</f>
        <v>1</v>
      </c>
      <c r="AT1197" s="8" t="b">
        <f>NOT(ISBLANK(MasterTable[[#This Row],[Total
Time]]))</f>
        <v>1</v>
      </c>
    </row>
    <row r="1198" spans="4:46" ht="28.8" x14ac:dyDescent="0.3">
      <c r="D1198" s="22">
        <v>41448</v>
      </c>
      <c r="E1198" s="8" t="s">
        <v>174</v>
      </c>
      <c r="F1198" s="8" t="s">
        <v>202</v>
      </c>
      <c r="G1198" s="8" t="s">
        <v>202</v>
      </c>
      <c r="I1198" s="10">
        <v>0.6</v>
      </c>
      <c r="J1198" s="10">
        <v>0</v>
      </c>
      <c r="L1198" s="10">
        <v>0</v>
      </c>
      <c r="M1198" s="13">
        <v>0</v>
      </c>
      <c r="N1198" s="13"/>
      <c r="O1198" s="10">
        <v>0</v>
      </c>
      <c r="P1198" s="10">
        <v>0.6</v>
      </c>
      <c r="Q1198" s="14">
        <v>0</v>
      </c>
      <c r="R1198" s="14">
        <v>0</v>
      </c>
      <c r="S1198" s="10">
        <v>0</v>
      </c>
      <c r="T1198" s="10">
        <v>0</v>
      </c>
      <c r="U1198" s="14">
        <v>0</v>
      </c>
      <c r="V1198" s="10"/>
      <c r="W1198" s="11">
        <v>4</v>
      </c>
      <c r="X1198" s="11">
        <v>4</v>
      </c>
      <c r="Y1198" s="11">
        <v>0</v>
      </c>
      <c r="Z1198" s="11">
        <v>0</v>
      </c>
      <c r="AA1198" s="11">
        <f>MasterTable[[#This Row],[Landings
Night]]+MasterTable[[#This Row],[Landings
Day]]</f>
        <v>4</v>
      </c>
      <c r="AB1198" s="10">
        <v>0</v>
      </c>
      <c r="AC1198" s="10">
        <v>0</v>
      </c>
      <c r="AD1198" s="11">
        <v>0</v>
      </c>
      <c r="AE1198" s="21">
        <f>SUM(MasterTable[[#This Row],[ILS]:[PAR]])</f>
        <v>0</v>
      </c>
      <c r="AL1198" s="11"/>
      <c r="AR1198" s="140" t="str">
        <f>_xlfn.XLOOKUP(MasterTable[[#This Row],[Aircraft ID]],Aircraft!A:A,Aircraft!H:H)</f>
        <v>Airplane Single Engine Land</v>
      </c>
      <c r="AS1198" s="8" t="b">
        <f>OR((SUM(MasterTable[[#This Row],[ILS]:[PAR]]) = MasterTable[[#This Row],[APPR]]))</f>
        <v>1</v>
      </c>
      <c r="AT1198" s="8" t="b">
        <f>NOT(ISBLANK(MasterTable[[#This Row],[Total
Time]]))</f>
        <v>1</v>
      </c>
    </row>
    <row r="1199" spans="4:46" ht="28.8" x14ac:dyDescent="0.3">
      <c r="D1199" s="22">
        <v>41443</v>
      </c>
      <c r="E1199" s="8" t="s">
        <v>174</v>
      </c>
      <c r="F1199" s="8" t="s">
        <v>202</v>
      </c>
      <c r="G1199" s="8" t="s">
        <v>202</v>
      </c>
      <c r="I1199" s="10">
        <v>1.1000000000000001</v>
      </c>
      <c r="J1199" s="10">
        <v>0</v>
      </c>
      <c r="L1199" s="10">
        <v>0</v>
      </c>
      <c r="M1199" s="13">
        <v>0</v>
      </c>
      <c r="N1199" s="13"/>
      <c r="O1199" s="10">
        <v>0</v>
      </c>
      <c r="P1199" s="10">
        <v>1.1000000000000001</v>
      </c>
      <c r="Q1199" s="14">
        <v>0</v>
      </c>
      <c r="R1199" s="14">
        <v>0</v>
      </c>
      <c r="S1199" s="10">
        <v>0</v>
      </c>
      <c r="T1199" s="10">
        <v>0</v>
      </c>
      <c r="U1199" s="14">
        <v>0</v>
      </c>
      <c r="V1199" s="10"/>
      <c r="W1199" s="11">
        <v>8</v>
      </c>
      <c r="X1199" s="11">
        <v>8</v>
      </c>
      <c r="Y1199" s="11">
        <v>0</v>
      </c>
      <c r="Z1199" s="11">
        <v>0</v>
      </c>
      <c r="AA1199" s="11">
        <f>MasterTable[[#This Row],[Landings
Night]]+MasterTable[[#This Row],[Landings
Day]]</f>
        <v>8</v>
      </c>
      <c r="AB1199" s="10">
        <v>0</v>
      </c>
      <c r="AC1199" s="10">
        <v>0</v>
      </c>
      <c r="AD1199" s="11">
        <v>0</v>
      </c>
      <c r="AE1199" s="21">
        <f>SUM(MasterTable[[#This Row],[ILS]:[PAR]])</f>
        <v>0</v>
      </c>
      <c r="AL1199" s="11"/>
      <c r="AR1199" s="140" t="str">
        <f>_xlfn.XLOOKUP(MasterTable[[#This Row],[Aircraft ID]],Aircraft!A:A,Aircraft!H:H)</f>
        <v>Airplane Single Engine Land</v>
      </c>
      <c r="AS1199" s="8" t="b">
        <f>OR((SUM(MasterTable[[#This Row],[ILS]:[PAR]]) = MasterTable[[#This Row],[APPR]]))</f>
        <v>1</v>
      </c>
      <c r="AT1199" s="8" t="b">
        <f>NOT(ISBLANK(MasterTable[[#This Row],[Total
Time]]))</f>
        <v>1</v>
      </c>
    </row>
    <row r="1200" spans="4:46" ht="28.8" x14ac:dyDescent="0.3">
      <c r="D1200" s="22">
        <v>41442</v>
      </c>
      <c r="E1200" s="8" t="s">
        <v>174</v>
      </c>
      <c r="F1200" s="8" t="s">
        <v>202</v>
      </c>
      <c r="G1200" s="8" t="s">
        <v>202</v>
      </c>
      <c r="I1200" s="10">
        <v>1.4</v>
      </c>
      <c r="J1200" s="10">
        <v>0</v>
      </c>
      <c r="L1200" s="10">
        <v>0</v>
      </c>
      <c r="M1200" s="13">
        <v>0</v>
      </c>
      <c r="N1200" s="13"/>
      <c r="O1200" s="10">
        <v>0</v>
      </c>
      <c r="P1200" s="10">
        <v>1.4</v>
      </c>
      <c r="Q1200" s="14">
        <v>0</v>
      </c>
      <c r="R1200" s="14">
        <v>0</v>
      </c>
      <c r="S1200" s="10">
        <v>0</v>
      </c>
      <c r="T1200" s="10">
        <v>0</v>
      </c>
      <c r="U1200" s="14">
        <v>0</v>
      </c>
      <c r="V1200" s="10"/>
      <c r="W1200" s="11">
        <v>10</v>
      </c>
      <c r="X1200" s="11">
        <v>10</v>
      </c>
      <c r="Y1200" s="11">
        <v>0</v>
      </c>
      <c r="Z1200" s="11">
        <v>0</v>
      </c>
      <c r="AA1200" s="11">
        <f>MasterTable[[#This Row],[Landings
Night]]+MasterTable[[#This Row],[Landings
Day]]</f>
        <v>10</v>
      </c>
      <c r="AB1200" s="10">
        <v>0</v>
      </c>
      <c r="AC1200" s="10">
        <v>0</v>
      </c>
      <c r="AD1200" s="11">
        <v>0</v>
      </c>
      <c r="AE1200" s="21">
        <f>SUM(MasterTable[[#This Row],[ILS]:[PAR]])</f>
        <v>0</v>
      </c>
      <c r="AL1200" s="11"/>
      <c r="AR1200" s="140" t="str">
        <f>_xlfn.XLOOKUP(MasterTable[[#This Row],[Aircraft ID]],Aircraft!A:A,Aircraft!H:H)</f>
        <v>Airplane Single Engine Land</v>
      </c>
      <c r="AS1200" s="8" t="b">
        <f>OR((SUM(MasterTable[[#This Row],[ILS]:[PAR]]) = MasterTable[[#This Row],[APPR]]))</f>
        <v>1</v>
      </c>
      <c r="AT1200" s="8" t="b">
        <f>NOT(ISBLANK(MasterTable[[#This Row],[Total
Time]]))</f>
        <v>1</v>
      </c>
    </row>
    <row r="1201" spans="4:46" ht="28.8" x14ac:dyDescent="0.3">
      <c r="D1201" s="22">
        <v>41438</v>
      </c>
      <c r="E1201" s="8" t="s">
        <v>174</v>
      </c>
      <c r="F1201" s="8" t="s">
        <v>202</v>
      </c>
      <c r="G1201" s="8" t="s">
        <v>202</v>
      </c>
      <c r="I1201" s="10">
        <v>0.7</v>
      </c>
      <c r="J1201" s="10">
        <v>0</v>
      </c>
      <c r="L1201" s="10">
        <v>0</v>
      </c>
      <c r="M1201" s="13">
        <v>0</v>
      </c>
      <c r="N1201" s="13"/>
      <c r="O1201" s="10">
        <v>0</v>
      </c>
      <c r="P1201" s="10">
        <v>0.7</v>
      </c>
      <c r="Q1201" s="14">
        <v>0</v>
      </c>
      <c r="R1201" s="14">
        <v>0</v>
      </c>
      <c r="S1201" s="10">
        <v>0</v>
      </c>
      <c r="T1201" s="10">
        <v>0</v>
      </c>
      <c r="U1201" s="14">
        <v>0</v>
      </c>
      <c r="V1201" s="10"/>
      <c r="W1201" s="11">
        <v>3</v>
      </c>
      <c r="X1201" s="11">
        <v>3</v>
      </c>
      <c r="Y1201" s="11">
        <v>0</v>
      </c>
      <c r="Z1201" s="11">
        <v>0</v>
      </c>
      <c r="AA1201" s="11">
        <f>MasterTable[[#This Row],[Landings
Night]]+MasterTable[[#This Row],[Landings
Day]]</f>
        <v>3</v>
      </c>
      <c r="AB1201" s="10">
        <v>0</v>
      </c>
      <c r="AC1201" s="10">
        <v>0</v>
      </c>
      <c r="AD1201" s="11">
        <v>0</v>
      </c>
      <c r="AE1201" s="21">
        <f>SUM(MasterTable[[#This Row],[ILS]:[PAR]])</f>
        <v>0</v>
      </c>
      <c r="AL1201" s="11"/>
      <c r="AR1201" s="140" t="str">
        <f>_xlfn.XLOOKUP(MasterTable[[#This Row],[Aircraft ID]],Aircraft!A:A,Aircraft!H:H)</f>
        <v>Airplane Single Engine Land</v>
      </c>
      <c r="AS1201" s="8" t="b">
        <f>OR((SUM(MasterTable[[#This Row],[ILS]:[PAR]]) = MasterTable[[#This Row],[APPR]]))</f>
        <v>1</v>
      </c>
      <c r="AT1201" s="8" t="b">
        <f>NOT(ISBLANK(MasterTable[[#This Row],[Total
Time]]))</f>
        <v>1</v>
      </c>
    </row>
    <row r="1202" spans="4:46" ht="28.8" x14ac:dyDescent="0.3">
      <c r="D1202" s="22">
        <v>41419</v>
      </c>
      <c r="E1202" s="8" t="s">
        <v>47</v>
      </c>
      <c r="F1202" s="8" t="s">
        <v>202</v>
      </c>
      <c r="G1202" s="8" t="s">
        <v>293</v>
      </c>
      <c r="I1202" s="10">
        <v>0.5</v>
      </c>
      <c r="J1202" s="10">
        <v>0</v>
      </c>
      <c r="L1202" s="10">
        <v>0</v>
      </c>
      <c r="M1202" s="13">
        <v>0</v>
      </c>
      <c r="N1202" s="13"/>
      <c r="O1202" s="10">
        <v>0</v>
      </c>
      <c r="P1202" s="10">
        <v>0.5</v>
      </c>
      <c r="Q1202" s="14">
        <v>0</v>
      </c>
      <c r="R1202" s="14">
        <v>0</v>
      </c>
      <c r="S1202" s="10">
        <v>0</v>
      </c>
      <c r="T1202" s="10">
        <v>0</v>
      </c>
      <c r="U1202" s="14">
        <v>0</v>
      </c>
      <c r="V1202" s="10"/>
      <c r="W1202" s="11">
        <v>2</v>
      </c>
      <c r="X1202" s="11">
        <v>2</v>
      </c>
      <c r="Y1202" s="11">
        <v>0</v>
      </c>
      <c r="Z1202" s="11">
        <v>0</v>
      </c>
      <c r="AA1202" s="11">
        <f>MasterTable[[#This Row],[Landings
Night]]+MasterTable[[#This Row],[Landings
Day]]</f>
        <v>2</v>
      </c>
      <c r="AB1202" s="10">
        <v>0</v>
      </c>
      <c r="AC1202" s="10">
        <v>0</v>
      </c>
      <c r="AD1202" s="11">
        <v>0</v>
      </c>
      <c r="AE1202" s="21">
        <f>SUM(MasterTable[[#This Row],[ILS]:[PAR]])</f>
        <v>0</v>
      </c>
      <c r="AL1202" s="11"/>
      <c r="AR1202" s="140" t="str">
        <f>_xlfn.XLOOKUP(MasterTable[[#This Row],[Aircraft ID]],Aircraft!A:A,Aircraft!H:H)</f>
        <v>Airplane Single Engine Land</v>
      </c>
      <c r="AS1202" s="8" t="b">
        <f>OR((SUM(MasterTable[[#This Row],[ILS]:[PAR]]) = MasterTable[[#This Row],[APPR]]))</f>
        <v>1</v>
      </c>
      <c r="AT1202" s="8" t="b">
        <f>NOT(ISBLANK(MasterTable[[#This Row],[Total
Time]]))</f>
        <v>1</v>
      </c>
    </row>
    <row r="1203" spans="4:46" ht="28.8" x14ac:dyDescent="0.3">
      <c r="D1203" s="22">
        <v>41412</v>
      </c>
      <c r="E1203" s="8" t="s">
        <v>174</v>
      </c>
      <c r="F1203" s="8" t="s">
        <v>202</v>
      </c>
      <c r="G1203" s="8" t="s">
        <v>219</v>
      </c>
      <c r="I1203" s="10">
        <v>1.4</v>
      </c>
      <c r="J1203" s="10">
        <v>0</v>
      </c>
      <c r="L1203" s="10">
        <v>0</v>
      </c>
      <c r="M1203" s="13">
        <v>0</v>
      </c>
      <c r="N1203" s="13"/>
      <c r="O1203" s="10">
        <v>0</v>
      </c>
      <c r="P1203" s="10">
        <v>1.4</v>
      </c>
      <c r="Q1203" s="14">
        <v>0</v>
      </c>
      <c r="R1203" s="14">
        <v>0</v>
      </c>
      <c r="S1203" s="10">
        <v>0</v>
      </c>
      <c r="T1203" s="10">
        <v>0</v>
      </c>
      <c r="U1203" s="14">
        <v>0</v>
      </c>
      <c r="V1203" s="10"/>
      <c r="W1203" s="11">
        <v>2</v>
      </c>
      <c r="X1203" s="11">
        <v>2</v>
      </c>
      <c r="Y1203" s="11">
        <v>0</v>
      </c>
      <c r="Z1203" s="11">
        <v>0</v>
      </c>
      <c r="AA1203" s="11">
        <f>MasterTable[[#This Row],[Landings
Night]]+MasterTable[[#This Row],[Landings
Day]]</f>
        <v>2</v>
      </c>
      <c r="AB1203" s="10">
        <v>0</v>
      </c>
      <c r="AC1203" s="10">
        <v>0.4</v>
      </c>
      <c r="AD1203" s="11">
        <v>0</v>
      </c>
      <c r="AE1203" s="21">
        <f>SUM(MasterTable[[#This Row],[ILS]:[PAR]])</f>
        <v>0</v>
      </c>
      <c r="AL1203" s="11"/>
      <c r="AR1203" s="140" t="str">
        <f>_xlfn.XLOOKUP(MasterTable[[#This Row],[Aircraft ID]],Aircraft!A:A,Aircraft!H:H)</f>
        <v>Airplane Single Engine Land</v>
      </c>
      <c r="AS1203" s="8" t="b">
        <f>OR((SUM(MasterTable[[#This Row],[ILS]:[PAR]]) = MasterTable[[#This Row],[APPR]]))</f>
        <v>1</v>
      </c>
      <c r="AT1203" s="8" t="b">
        <f>NOT(ISBLANK(MasterTable[[#This Row],[Total
Time]]))</f>
        <v>1</v>
      </c>
    </row>
    <row r="1204" spans="4:46" ht="28.8" x14ac:dyDescent="0.3">
      <c r="D1204" s="22">
        <v>41405</v>
      </c>
      <c r="E1204" s="8" t="s">
        <v>72</v>
      </c>
      <c r="F1204" s="8" t="s">
        <v>293</v>
      </c>
      <c r="G1204" s="8" t="s">
        <v>297</v>
      </c>
      <c r="J1204" s="10">
        <v>0</v>
      </c>
      <c r="L1204" s="10">
        <v>0</v>
      </c>
      <c r="M1204" s="13">
        <v>0</v>
      </c>
      <c r="N1204" s="13"/>
      <c r="O1204" s="10">
        <v>0</v>
      </c>
      <c r="P1204" s="10">
        <v>0</v>
      </c>
      <c r="Q1204" s="14">
        <v>0</v>
      </c>
      <c r="R1204" s="14">
        <v>0</v>
      </c>
      <c r="S1204" s="10">
        <v>0</v>
      </c>
      <c r="T1204" s="10">
        <v>0</v>
      </c>
      <c r="U1204" s="14">
        <v>0</v>
      </c>
      <c r="V1204" s="10"/>
      <c r="W1204" s="11">
        <v>2</v>
      </c>
      <c r="X1204" s="11">
        <v>2</v>
      </c>
      <c r="Y1204" s="11">
        <v>0</v>
      </c>
      <c r="Z1204" s="11">
        <v>0</v>
      </c>
      <c r="AA1204" s="11">
        <f>MasterTable[[#This Row],[Landings
Night]]+MasterTable[[#This Row],[Landings
Day]]</f>
        <v>2</v>
      </c>
      <c r="AB1204" s="10">
        <v>0</v>
      </c>
      <c r="AC1204" s="10">
        <v>0</v>
      </c>
      <c r="AD1204" s="11">
        <v>0</v>
      </c>
      <c r="AE1204" s="21">
        <f>SUM(MasterTable[[#This Row],[ILS]:[PAR]])</f>
        <v>0</v>
      </c>
      <c r="AL1204" s="11"/>
      <c r="AR1204" s="140" t="str">
        <f>_xlfn.XLOOKUP(MasterTable[[#This Row],[Aircraft ID]],Aircraft!A:A,Aircraft!H:H)</f>
        <v>Airplane Multi Engine Land</v>
      </c>
      <c r="AS1204" s="8" t="b">
        <f>OR((SUM(MasterTable[[#This Row],[ILS]:[PAR]]) = MasterTable[[#This Row],[APPR]]))</f>
        <v>1</v>
      </c>
      <c r="AT1204" s="8" t="b">
        <f>NOT(ISBLANK(MasterTable[[#This Row],[Total
Time]]))</f>
        <v>0</v>
      </c>
    </row>
    <row r="1205" spans="4:46" ht="28.8" x14ac:dyDescent="0.3">
      <c r="D1205" s="22">
        <v>41388</v>
      </c>
      <c r="E1205" s="8" t="s">
        <v>174</v>
      </c>
      <c r="F1205" s="8" t="s">
        <v>202</v>
      </c>
      <c r="G1205" s="8" t="s">
        <v>265</v>
      </c>
      <c r="I1205" s="10">
        <v>1.2</v>
      </c>
      <c r="J1205" s="10">
        <v>0</v>
      </c>
      <c r="L1205" s="10">
        <v>0</v>
      </c>
      <c r="M1205" s="13">
        <v>0</v>
      </c>
      <c r="N1205" s="13"/>
      <c r="O1205" s="10">
        <v>0</v>
      </c>
      <c r="P1205" s="10">
        <v>1.2</v>
      </c>
      <c r="Q1205" s="14">
        <v>0</v>
      </c>
      <c r="R1205" s="14">
        <v>0</v>
      </c>
      <c r="S1205" s="10">
        <v>0</v>
      </c>
      <c r="T1205" s="10">
        <v>0</v>
      </c>
      <c r="U1205" s="14">
        <v>0</v>
      </c>
      <c r="V1205" s="10"/>
      <c r="W1205" s="11">
        <v>2</v>
      </c>
      <c r="X1205" s="11">
        <v>2</v>
      </c>
      <c r="Y1205" s="11">
        <v>0</v>
      </c>
      <c r="Z1205" s="11">
        <v>0</v>
      </c>
      <c r="AA1205" s="11">
        <f>MasterTable[[#This Row],[Landings
Night]]+MasterTable[[#This Row],[Landings
Day]]</f>
        <v>2</v>
      </c>
      <c r="AB1205" s="10">
        <v>0</v>
      </c>
      <c r="AC1205" s="10">
        <v>0</v>
      </c>
      <c r="AD1205" s="11">
        <v>0</v>
      </c>
      <c r="AE1205" s="21">
        <f>SUM(MasterTable[[#This Row],[ILS]:[PAR]])</f>
        <v>0</v>
      </c>
      <c r="AL1205" s="11"/>
      <c r="AR1205" s="140" t="str">
        <f>_xlfn.XLOOKUP(MasterTable[[#This Row],[Aircraft ID]],Aircraft!A:A,Aircraft!H:H)</f>
        <v>Airplane Single Engine Land</v>
      </c>
      <c r="AS1205" s="8" t="b">
        <f>OR((SUM(MasterTable[[#This Row],[ILS]:[PAR]]) = MasterTable[[#This Row],[APPR]]))</f>
        <v>1</v>
      </c>
      <c r="AT1205" s="8" t="b">
        <f>NOT(ISBLANK(MasterTable[[#This Row],[Total
Time]]))</f>
        <v>1</v>
      </c>
    </row>
    <row r="1206" spans="4:46" ht="28.8" x14ac:dyDescent="0.3">
      <c r="D1206" s="22">
        <v>41378</v>
      </c>
      <c r="E1206" s="8" t="s">
        <v>174</v>
      </c>
      <c r="F1206" s="8" t="s">
        <v>202</v>
      </c>
      <c r="G1206" s="8" t="s">
        <v>363</v>
      </c>
      <c r="I1206" s="10">
        <v>1.6</v>
      </c>
      <c r="J1206" s="10">
        <v>0</v>
      </c>
      <c r="L1206" s="10">
        <v>0</v>
      </c>
      <c r="M1206" s="13">
        <v>0</v>
      </c>
      <c r="N1206" s="13"/>
      <c r="O1206" s="10">
        <v>0</v>
      </c>
      <c r="P1206" s="10">
        <v>1.6</v>
      </c>
      <c r="Q1206" s="14">
        <v>0</v>
      </c>
      <c r="R1206" s="14">
        <v>0</v>
      </c>
      <c r="S1206" s="10">
        <v>0</v>
      </c>
      <c r="T1206" s="10">
        <v>0</v>
      </c>
      <c r="U1206" s="14">
        <v>0</v>
      </c>
      <c r="V1206" s="10"/>
      <c r="W1206" s="11">
        <v>6</v>
      </c>
      <c r="X1206" s="11">
        <v>6</v>
      </c>
      <c r="Y1206" s="11">
        <v>0</v>
      </c>
      <c r="Z1206" s="11">
        <v>0</v>
      </c>
      <c r="AA1206" s="11">
        <f>MasterTable[[#This Row],[Landings
Night]]+MasterTable[[#This Row],[Landings
Day]]</f>
        <v>6</v>
      </c>
      <c r="AB1206" s="10">
        <v>0</v>
      </c>
      <c r="AC1206" s="10">
        <v>0</v>
      </c>
      <c r="AD1206" s="11">
        <v>0</v>
      </c>
      <c r="AE1206" s="21">
        <f>SUM(MasterTable[[#This Row],[ILS]:[PAR]])</f>
        <v>0</v>
      </c>
      <c r="AL1206" s="11"/>
      <c r="AR1206" s="140" t="str">
        <f>_xlfn.XLOOKUP(MasterTable[[#This Row],[Aircraft ID]],Aircraft!A:A,Aircraft!H:H)</f>
        <v>Airplane Single Engine Land</v>
      </c>
      <c r="AS1206" s="8" t="b">
        <f>OR((SUM(MasterTable[[#This Row],[ILS]:[PAR]]) = MasterTable[[#This Row],[APPR]]))</f>
        <v>1</v>
      </c>
      <c r="AT1206" s="8" t="b">
        <f>NOT(ISBLANK(MasterTable[[#This Row],[Total
Time]]))</f>
        <v>1</v>
      </c>
    </row>
    <row r="1207" spans="4:46" ht="28.8" x14ac:dyDescent="0.3">
      <c r="D1207" s="22">
        <v>41371</v>
      </c>
      <c r="E1207" s="8" t="s">
        <v>174</v>
      </c>
      <c r="F1207" s="8" t="s">
        <v>202</v>
      </c>
      <c r="G1207" s="8" t="s">
        <v>202</v>
      </c>
      <c r="I1207" s="10">
        <v>1.1000000000000001</v>
      </c>
      <c r="J1207" s="10">
        <v>0</v>
      </c>
      <c r="L1207" s="10">
        <v>0</v>
      </c>
      <c r="M1207" s="13">
        <v>0</v>
      </c>
      <c r="N1207" s="13"/>
      <c r="O1207" s="10">
        <v>0</v>
      </c>
      <c r="P1207" s="10">
        <v>1.1000000000000001</v>
      </c>
      <c r="Q1207" s="14">
        <v>0</v>
      </c>
      <c r="R1207" s="14">
        <v>0</v>
      </c>
      <c r="S1207" s="10">
        <v>0</v>
      </c>
      <c r="T1207" s="10">
        <v>0</v>
      </c>
      <c r="U1207" s="14">
        <v>0</v>
      </c>
      <c r="V1207" s="10"/>
      <c r="W1207" s="11">
        <v>7</v>
      </c>
      <c r="X1207" s="11">
        <v>7</v>
      </c>
      <c r="Y1207" s="11">
        <v>0</v>
      </c>
      <c r="Z1207" s="11">
        <v>0</v>
      </c>
      <c r="AA1207" s="11">
        <f>MasterTable[[#This Row],[Landings
Night]]+MasterTable[[#This Row],[Landings
Day]]</f>
        <v>7</v>
      </c>
      <c r="AB1207" s="10">
        <v>0</v>
      </c>
      <c r="AC1207" s="10">
        <v>0</v>
      </c>
      <c r="AD1207" s="11">
        <v>0</v>
      </c>
      <c r="AE1207" s="21">
        <f>SUM(MasterTable[[#This Row],[ILS]:[PAR]])</f>
        <v>0</v>
      </c>
      <c r="AL1207" s="11"/>
      <c r="AR1207" s="140" t="str">
        <f>_xlfn.XLOOKUP(MasterTable[[#This Row],[Aircraft ID]],Aircraft!A:A,Aircraft!H:H)</f>
        <v>Airplane Single Engine Land</v>
      </c>
      <c r="AS1207" s="8" t="b">
        <f>OR((SUM(MasterTable[[#This Row],[ILS]:[PAR]]) = MasterTable[[#This Row],[APPR]]))</f>
        <v>1</v>
      </c>
      <c r="AT1207" s="8" t="b">
        <f>NOT(ISBLANK(MasterTable[[#This Row],[Total
Time]]))</f>
        <v>1</v>
      </c>
    </row>
    <row r="1208" spans="4:46" ht="28.8" x14ac:dyDescent="0.3">
      <c r="D1208" s="22">
        <v>41369</v>
      </c>
      <c r="E1208" s="8" t="s">
        <v>37</v>
      </c>
      <c r="F1208" s="8" t="s">
        <v>344</v>
      </c>
      <c r="G1208" s="8" t="s">
        <v>202</v>
      </c>
      <c r="I1208" s="10">
        <v>0</v>
      </c>
      <c r="J1208" s="10">
        <v>0</v>
      </c>
      <c r="L1208" s="10">
        <v>0</v>
      </c>
      <c r="M1208" s="13">
        <v>0</v>
      </c>
      <c r="N1208" s="13"/>
      <c r="O1208" s="10">
        <v>0</v>
      </c>
      <c r="P1208" s="10">
        <v>0</v>
      </c>
      <c r="Q1208" s="14">
        <v>0</v>
      </c>
      <c r="R1208" s="14">
        <v>0</v>
      </c>
      <c r="S1208" s="10">
        <v>0</v>
      </c>
      <c r="T1208" s="10">
        <v>0</v>
      </c>
      <c r="U1208" s="14">
        <v>0</v>
      </c>
      <c r="V1208" s="10"/>
      <c r="W1208" s="11">
        <v>1</v>
      </c>
      <c r="X1208" s="11">
        <v>1</v>
      </c>
      <c r="Y1208" s="11">
        <v>0</v>
      </c>
      <c r="Z1208" s="11">
        <v>0</v>
      </c>
      <c r="AA1208" s="11">
        <f>MasterTable[[#This Row],[Landings
Night]]+MasterTable[[#This Row],[Landings
Day]]</f>
        <v>1</v>
      </c>
      <c r="AB1208" s="10">
        <v>0</v>
      </c>
      <c r="AC1208" s="10">
        <v>0</v>
      </c>
      <c r="AD1208" s="11">
        <v>0</v>
      </c>
      <c r="AE1208" s="21">
        <f>SUM(MasterTable[[#This Row],[ILS]:[PAR]])</f>
        <v>0</v>
      </c>
      <c r="AL1208" s="11"/>
      <c r="AR1208" s="140" t="str">
        <f>_xlfn.XLOOKUP(MasterTable[[#This Row],[Aircraft ID]],Aircraft!A:A,Aircraft!H:H)</f>
        <v>Airplane Multi Engine Land</v>
      </c>
      <c r="AS1208" s="8" t="b">
        <f>OR((SUM(MasterTable[[#This Row],[ILS]:[PAR]]) = MasterTable[[#This Row],[APPR]]))</f>
        <v>1</v>
      </c>
      <c r="AT1208" s="8" t="b">
        <f>NOT(ISBLANK(MasterTable[[#This Row],[Total
Time]]))</f>
        <v>1</v>
      </c>
    </row>
    <row r="1209" spans="4:46" ht="28.8" x14ac:dyDescent="0.3">
      <c r="D1209" s="22">
        <v>41369</v>
      </c>
      <c r="E1209" s="8" t="s">
        <v>37</v>
      </c>
      <c r="F1209" s="8" t="s">
        <v>298</v>
      </c>
      <c r="G1209" s="8" t="s">
        <v>344</v>
      </c>
      <c r="I1209" s="10">
        <v>0</v>
      </c>
      <c r="J1209" s="10">
        <v>0</v>
      </c>
      <c r="L1209" s="10">
        <v>0</v>
      </c>
      <c r="M1209" s="13">
        <v>0</v>
      </c>
      <c r="N1209" s="13"/>
      <c r="O1209" s="10">
        <v>0</v>
      </c>
      <c r="P1209" s="10">
        <v>0</v>
      </c>
      <c r="Q1209" s="14">
        <v>0</v>
      </c>
      <c r="R1209" s="14">
        <v>0</v>
      </c>
      <c r="S1209" s="10">
        <v>0</v>
      </c>
      <c r="T1209" s="10">
        <v>0</v>
      </c>
      <c r="U1209" s="14">
        <v>0</v>
      </c>
      <c r="V1209" s="10"/>
      <c r="W1209" s="11">
        <v>1</v>
      </c>
      <c r="X1209" s="11">
        <v>1</v>
      </c>
      <c r="Y1209" s="11">
        <v>0</v>
      </c>
      <c r="Z1209" s="11">
        <v>0</v>
      </c>
      <c r="AA1209" s="11">
        <f>MasterTable[[#This Row],[Landings
Night]]+MasterTable[[#This Row],[Landings
Day]]</f>
        <v>1</v>
      </c>
      <c r="AB1209" s="10">
        <v>0</v>
      </c>
      <c r="AC1209" s="10">
        <v>0</v>
      </c>
      <c r="AD1209" s="11">
        <v>0</v>
      </c>
      <c r="AE1209" s="21">
        <f>SUM(MasterTable[[#This Row],[ILS]:[PAR]])</f>
        <v>0</v>
      </c>
      <c r="AL1209" s="11"/>
      <c r="AR1209" s="140" t="str">
        <f>_xlfn.XLOOKUP(MasterTable[[#This Row],[Aircraft ID]],Aircraft!A:A,Aircraft!H:H)</f>
        <v>Airplane Multi Engine Land</v>
      </c>
      <c r="AS1209" s="8" t="b">
        <f>OR((SUM(MasterTable[[#This Row],[ILS]:[PAR]]) = MasterTable[[#This Row],[APPR]]))</f>
        <v>1</v>
      </c>
      <c r="AT1209" s="8" t="b">
        <f>NOT(ISBLANK(MasterTable[[#This Row],[Total
Time]]))</f>
        <v>1</v>
      </c>
    </row>
    <row r="1210" spans="4:46" ht="28.8" x14ac:dyDescent="0.3">
      <c r="D1210" s="22">
        <v>41367</v>
      </c>
      <c r="E1210" s="8" t="s">
        <v>37</v>
      </c>
      <c r="F1210" s="8" t="s">
        <v>368</v>
      </c>
      <c r="G1210" s="8" t="s">
        <v>298</v>
      </c>
      <c r="I1210" s="10">
        <v>0</v>
      </c>
      <c r="J1210" s="10">
        <v>0</v>
      </c>
      <c r="L1210" s="10">
        <v>0</v>
      </c>
      <c r="M1210" s="13">
        <v>0</v>
      </c>
      <c r="N1210" s="13"/>
      <c r="O1210" s="10">
        <v>0</v>
      </c>
      <c r="P1210" s="10">
        <v>0</v>
      </c>
      <c r="Q1210" s="14">
        <v>0</v>
      </c>
      <c r="R1210" s="14">
        <v>0</v>
      </c>
      <c r="S1210" s="10">
        <v>0</v>
      </c>
      <c r="T1210" s="10">
        <v>0</v>
      </c>
      <c r="U1210" s="14">
        <v>0</v>
      </c>
      <c r="V1210" s="10"/>
      <c r="W1210" s="11">
        <v>1</v>
      </c>
      <c r="X1210" s="11">
        <v>1</v>
      </c>
      <c r="Y1210" s="11">
        <v>0</v>
      </c>
      <c r="Z1210" s="11">
        <v>0</v>
      </c>
      <c r="AA1210" s="11">
        <f>MasterTable[[#This Row],[Landings
Night]]+MasterTable[[#This Row],[Landings
Day]]</f>
        <v>1</v>
      </c>
      <c r="AB1210" s="10">
        <v>0</v>
      </c>
      <c r="AC1210" s="10">
        <v>0</v>
      </c>
      <c r="AD1210" s="11">
        <v>0</v>
      </c>
      <c r="AE1210" s="21">
        <f>SUM(MasterTable[[#This Row],[ILS]:[PAR]])</f>
        <v>0</v>
      </c>
      <c r="AL1210" s="11"/>
      <c r="AR1210" s="140" t="str">
        <f>_xlfn.XLOOKUP(MasterTable[[#This Row],[Aircraft ID]],Aircraft!A:A,Aircraft!H:H)</f>
        <v>Airplane Multi Engine Land</v>
      </c>
      <c r="AS1210" s="8" t="b">
        <f>OR((SUM(MasterTable[[#This Row],[ILS]:[PAR]]) = MasterTable[[#This Row],[APPR]]))</f>
        <v>1</v>
      </c>
      <c r="AT1210" s="8" t="b">
        <f>NOT(ISBLANK(MasterTable[[#This Row],[Total
Time]]))</f>
        <v>1</v>
      </c>
    </row>
    <row r="1211" spans="4:46" ht="28.8" x14ac:dyDescent="0.3">
      <c r="D1211" s="22">
        <v>41367</v>
      </c>
      <c r="E1211" s="8" t="s">
        <v>52</v>
      </c>
      <c r="F1211" s="8" t="s">
        <v>344</v>
      </c>
      <c r="G1211" s="8" t="s">
        <v>368</v>
      </c>
      <c r="I1211" s="10">
        <v>0</v>
      </c>
      <c r="J1211" s="10">
        <v>0</v>
      </c>
      <c r="L1211" s="10">
        <v>0</v>
      </c>
      <c r="M1211" s="13">
        <v>0</v>
      </c>
      <c r="N1211" s="13"/>
      <c r="O1211" s="10">
        <v>0</v>
      </c>
      <c r="P1211" s="10">
        <v>0</v>
      </c>
      <c r="Q1211" s="14">
        <v>0</v>
      </c>
      <c r="R1211" s="14">
        <v>0</v>
      </c>
      <c r="S1211" s="10">
        <v>0</v>
      </c>
      <c r="T1211" s="10">
        <v>0</v>
      </c>
      <c r="U1211" s="14">
        <v>0</v>
      </c>
      <c r="V1211" s="10"/>
      <c r="W1211" s="11">
        <v>1</v>
      </c>
      <c r="X1211" s="11">
        <v>1</v>
      </c>
      <c r="Y1211" s="11">
        <v>0</v>
      </c>
      <c r="Z1211" s="11">
        <v>0</v>
      </c>
      <c r="AA1211" s="11">
        <f>MasterTable[[#This Row],[Landings
Night]]+MasterTable[[#This Row],[Landings
Day]]</f>
        <v>1</v>
      </c>
      <c r="AB1211" s="10">
        <v>0</v>
      </c>
      <c r="AC1211" s="10">
        <v>0</v>
      </c>
      <c r="AD1211" s="11">
        <v>0</v>
      </c>
      <c r="AE1211" s="21">
        <f>SUM(MasterTable[[#This Row],[ILS]:[PAR]])</f>
        <v>0</v>
      </c>
      <c r="AL1211" s="11"/>
      <c r="AR1211" s="140" t="str">
        <f>_xlfn.XLOOKUP(MasterTable[[#This Row],[Aircraft ID]],Aircraft!A:A,Aircraft!H:H)</f>
        <v>Airplane Single Engine Land</v>
      </c>
      <c r="AS1211" s="8" t="b">
        <f>OR((SUM(MasterTable[[#This Row],[ILS]:[PAR]]) = MasterTable[[#This Row],[APPR]]))</f>
        <v>1</v>
      </c>
      <c r="AT1211" s="8" t="b">
        <f>NOT(ISBLANK(MasterTable[[#This Row],[Total
Time]]))</f>
        <v>1</v>
      </c>
    </row>
    <row r="1212" spans="4:46" ht="28.8" x14ac:dyDescent="0.3">
      <c r="D1212" s="22">
        <v>41367</v>
      </c>
      <c r="E1212" s="8" t="s">
        <v>37</v>
      </c>
      <c r="F1212" s="8" t="s">
        <v>202</v>
      </c>
      <c r="G1212" s="8" t="s">
        <v>344</v>
      </c>
      <c r="I1212" s="10">
        <v>0</v>
      </c>
      <c r="J1212" s="10">
        <v>0</v>
      </c>
      <c r="L1212" s="10">
        <v>0</v>
      </c>
      <c r="M1212" s="13">
        <v>0</v>
      </c>
      <c r="N1212" s="13"/>
      <c r="O1212" s="10">
        <v>0</v>
      </c>
      <c r="P1212" s="10">
        <v>0</v>
      </c>
      <c r="Q1212" s="14">
        <v>0</v>
      </c>
      <c r="R1212" s="14">
        <v>0</v>
      </c>
      <c r="S1212" s="10">
        <v>0</v>
      </c>
      <c r="T1212" s="10">
        <v>0</v>
      </c>
      <c r="U1212" s="14">
        <v>0</v>
      </c>
      <c r="V1212" s="10"/>
      <c r="W1212" s="11">
        <v>1</v>
      </c>
      <c r="X1212" s="11">
        <v>1</v>
      </c>
      <c r="Y1212" s="11">
        <v>0</v>
      </c>
      <c r="Z1212" s="11">
        <v>0</v>
      </c>
      <c r="AA1212" s="11">
        <f>MasterTable[[#This Row],[Landings
Night]]+MasterTable[[#This Row],[Landings
Day]]</f>
        <v>1</v>
      </c>
      <c r="AB1212" s="10">
        <v>0</v>
      </c>
      <c r="AC1212" s="10">
        <v>0</v>
      </c>
      <c r="AD1212" s="11">
        <v>0</v>
      </c>
      <c r="AE1212" s="21">
        <f>SUM(MasterTable[[#This Row],[ILS]:[PAR]])</f>
        <v>0</v>
      </c>
      <c r="AL1212" s="11"/>
      <c r="AR1212" s="140" t="str">
        <f>_xlfn.XLOOKUP(MasterTable[[#This Row],[Aircraft ID]],Aircraft!A:A,Aircraft!H:H)</f>
        <v>Airplane Multi Engine Land</v>
      </c>
      <c r="AS1212" s="8" t="b">
        <f>OR((SUM(MasterTable[[#This Row],[ILS]:[PAR]]) = MasterTable[[#This Row],[APPR]]))</f>
        <v>1</v>
      </c>
      <c r="AT1212" s="8" t="b">
        <f>NOT(ISBLANK(MasterTable[[#This Row],[Total
Time]]))</f>
        <v>1</v>
      </c>
    </row>
    <row r="1213" spans="4:46" ht="28.8" x14ac:dyDescent="0.3">
      <c r="D1213" s="22">
        <v>41365</v>
      </c>
      <c r="E1213" s="8" t="s">
        <v>174</v>
      </c>
      <c r="F1213" s="8" t="s">
        <v>202</v>
      </c>
      <c r="G1213" s="8" t="s">
        <v>202</v>
      </c>
      <c r="I1213" s="10">
        <v>0.7</v>
      </c>
      <c r="J1213" s="10">
        <v>0</v>
      </c>
      <c r="L1213" s="10">
        <v>0</v>
      </c>
      <c r="M1213" s="13">
        <v>0</v>
      </c>
      <c r="N1213" s="13"/>
      <c r="O1213" s="10">
        <v>0</v>
      </c>
      <c r="P1213" s="10">
        <v>0.7</v>
      </c>
      <c r="Q1213" s="14">
        <v>0</v>
      </c>
      <c r="R1213" s="14">
        <v>0</v>
      </c>
      <c r="S1213" s="10">
        <v>0</v>
      </c>
      <c r="T1213" s="10">
        <v>0</v>
      </c>
      <c r="U1213" s="14">
        <v>0</v>
      </c>
      <c r="V1213" s="10"/>
      <c r="W1213" s="11">
        <v>4</v>
      </c>
      <c r="X1213" s="11">
        <v>4</v>
      </c>
      <c r="Y1213" s="11">
        <v>0</v>
      </c>
      <c r="Z1213" s="11">
        <v>0</v>
      </c>
      <c r="AA1213" s="11">
        <f>MasterTable[[#This Row],[Landings
Night]]+MasterTable[[#This Row],[Landings
Day]]</f>
        <v>4</v>
      </c>
      <c r="AB1213" s="10">
        <v>0</v>
      </c>
      <c r="AC1213" s="10">
        <v>0</v>
      </c>
      <c r="AD1213" s="11">
        <v>0</v>
      </c>
      <c r="AE1213" s="21">
        <f>SUM(MasterTable[[#This Row],[ILS]:[PAR]])</f>
        <v>0</v>
      </c>
      <c r="AL1213" s="11"/>
      <c r="AR1213" s="140" t="str">
        <f>_xlfn.XLOOKUP(MasterTable[[#This Row],[Aircraft ID]],Aircraft!A:A,Aircraft!H:H)</f>
        <v>Airplane Single Engine Land</v>
      </c>
      <c r="AS1213" s="8" t="b">
        <f>OR((SUM(MasterTable[[#This Row],[ILS]:[PAR]]) = MasterTable[[#This Row],[APPR]]))</f>
        <v>1</v>
      </c>
      <c r="AT1213" s="8" t="b">
        <f>NOT(ISBLANK(MasterTable[[#This Row],[Total
Time]]))</f>
        <v>1</v>
      </c>
    </row>
    <row r="1214" spans="4:46" ht="28.8" x14ac:dyDescent="0.3">
      <c r="D1214" s="22">
        <v>41360</v>
      </c>
      <c r="E1214" s="8" t="s">
        <v>52</v>
      </c>
      <c r="F1214" s="8" t="s">
        <v>202</v>
      </c>
      <c r="G1214" s="8" t="s">
        <v>202</v>
      </c>
      <c r="I1214" s="10">
        <v>0.8</v>
      </c>
      <c r="J1214" s="10">
        <v>0</v>
      </c>
      <c r="L1214" s="10">
        <v>0</v>
      </c>
      <c r="M1214" s="13">
        <v>0</v>
      </c>
      <c r="N1214" s="13"/>
      <c r="O1214" s="10">
        <v>0</v>
      </c>
      <c r="P1214" s="10">
        <v>0.8</v>
      </c>
      <c r="Q1214" s="14">
        <v>0</v>
      </c>
      <c r="R1214" s="14">
        <v>0</v>
      </c>
      <c r="S1214" s="10">
        <v>0.8</v>
      </c>
      <c r="T1214" s="10">
        <v>0</v>
      </c>
      <c r="U1214" s="14">
        <v>0</v>
      </c>
      <c r="V1214" s="10"/>
      <c r="W1214" s="11">
        <v>0</v>
      </c>
      <c r="X1214" s="11">
        <v>0</v>
      </c>
      <c r="Y1214" s="11">
        <v>5</v>
      </c>
      <c r="Z1214" s="11">
        <v>5</v>
      </c>
      <c r="AA1214" s="11">
        <f>MasterTable[[#This Row],[Landings
Night]]+MasterTable[[#This Row],[Landings
Day]]</f>
        <v>5</v>
      </c>
      <c r="AB1214" s="10">
        <v>0</v>
      </c>
      <c r="AC1214" s="10">
        <v>0</v>
      </c>
      <c r="AD1214" s="11">
        <v>0</v>
      </c>
      <c r="AE1214" s="21">
        <f>SUM(MasterTable[[#This Row],[ILS]:[PAR]])</f>
        <v>0</v>
      </c>
      <c r="AL1214" s="11"/>
      <c r="AR1214" s="140" t="str">
        <f>_xlfn.XLOOKUP(MasterTable[[#This Row],[Aircraft ID]],Aircraft!A:A,Aircraft!H:H)</f>
        <v>Airplane Single Engine Land</v>
      </c>
      <c r="AS1214" s="8" t="b">
        <f>OR((SUM(MasterTable[[#This Row],[ILS]:[PAR]]) = MasterTable[[#This Row],[APPR]]))</f>
        <v>1</v>
      </c>
      <c r="AT1214" s="8" t="b">
        <f>NOT(ISBLANK(MasterTable[[#This Row],[Total
Time]]))</f>
        <v>1</v>
      </c>
    </row>
    <row r="1215" spans="4:46" ht="28.8" x14ac:dyDescent="0.3">
      <c r="D1215" s="22">
        <v>41357</v>
      </c>
      <c r="E1215" s="8" t="s">
        <v>37</v>
      </c>
      <c r="F1215" s="8" t="s">
        <v>202</v>
      </c>
      <c r="G1215" s="8" t="s">
        <v>361</v>
      </c>
      <c r="I1215" s="10">
        <v>0</v>
      </c>
      <c r="J1215" s="10">
        <v>0</v>
      </c>
      <c r="L1215" s="10">
        <v>0</v>
      </c>
      <c r="M1215" s="13">
        <v>0</v>
      </c>
      <c r="N1215" s="13"/>
      <c r="O1215" s="10">
        <v>0</v>
      </c>
      <c r="P1215" s="10">
        <v>0</v>
      </c>
      <c r="Q1215" s="14">
        <v>0</v>
      </c>
      <c r="R1215" s="14">
        <v>0</v>
      </c>
      <c r="S1215" s="10">
        <v>0</v>
      </c>
      <c r="T1215" s="10">
        <v>0</v>
      </c>
      <c r="U1215" s="14">
        <v>0</v>
      </c>
      <c r="V1215" s="10"/>
      <c r="W1215" s="11">
        <v>1</v>
      </c>
      <c r="X1215" s="11">
        <v>1</v>
      </c>
      <c r="Y1215" s="11">
        <v>0</v>
      </c>
      <c r="Z1215" s="11">
        <v>0</v>
      </c>
      <c r="AA1215" s="11">
        <f>MasterTable[[#This Row],[Landings
Night]]+MasterTable[[#This Row],[Landings
Day]]</f>
        <v>1</v>
      </c>
      <c r="AB1215" s="10">
        <v>0</v>
      </c>
      <c r="AC1215" s="10">
        <v>0</v>
      </c>
      <c r="AD1215" s="11">
        <v>0</v>
      </c>
      <c r="AE1215" s="21">
        <f>SUM(MasterTable[[#This Row],[ILS]:[PAR]])</f>
        <v>0</v>
      </c>
      <c r="AL1215" s="11"/>
      <c r="AR1215" s="140" t="str">
        <f>_xlfn.XLOOKUP(MasterTable[[#This Row],[Aircraft ID]],Aircraft!A:A,Aircraft!H:H)</f>
        <v>Airplane Multi Engine Land</v>
      </c>
      <c r="AS1215" s="8" t="b">
        <f>OR((SUM(MasterTable[[#This Row],[ILS]:[PAR]]) = MasterTable[[#This Row],[APPR]]))</f>
        <v>1</v>
      </c>
      <c r="AT1215" s="8" t="b">
        <f>NOT(ISBLANK(MasterTable[[#This Row],[Total
Time]]))</f>
        <v>1</v>
      </c>
    </row>
    <row r="1216" spans="4:46" ht="28.8" x14ac:dyDescent="0.3">
      <c r="D1216" s="22">
        <v>41350</v>
      </c>
      <c r="E1216" s="8" t="s">
        <v>174</v>
      </c>
      <c r="F1216" s="8" t="s">
        <v>202</v>
      </c>
      <c r="G1216" s="8" t="s">
        <v>202</v>
      </c>
      <c r="I1216" s="10">
        <v>1.6</v>
      </c>
      <c r="J1216" s="10">
        <v>0</v>
      </c>
      <c r="L1216" s="10">
        <v>0</v>
      </c>
      <c r="M1216" s="13">
        <v>0</v>
      </c>
      <c r="N1216" s="13"/>
      <c r="O1216" s="10">
        <v>0</v>
      </c>
      <c r="P1216" s="10">
        <v>1.6</v>
      </c>
      <c r="Q1216" s="14">
        <v>0</v>
      </c>
      <c r="R1216" s="14">
        <v>0</v>
      </c>
      <c r="S1216" s="10">
        <v>0</v>
      </c>
      <c r="T1216" s="10">
        <v>0</v>
      </c>
      <c r="U1216" s="14">
        <v>0</v>
      </c>
      <c r="V1216" s="10"/>
      <c r="W1216" s="11">
        <v>4</v>
      </c>
      <c r="X1216" s="11">
        <v>4</v>
      </c>
      <c r="Y1216" s="11">
        <v>0</v>
      </c>
      <c r="Z1216" s="11">
        <v>0</v>
      </c>
      <c r="AA1216" s="11">
        <f>MasterTable[[#This Row],[Landings
Night]]+MasterTable[[#This Row],[Landings
Day]]</f>
        <v>4</v>
      </c>
      <c r="AB1216" s="10">
        <v>0</v>
      </c>
      <c r="AC1216" s="10">
        <v>0</v>
      </c>
      <c r="AD1216" s="11">
        <v>0</v>
      </c>
      <c r="AE1216" s="21">
        <f>SUM(MasterTable[[#This Row],[ILS]:[PAR]])</f>
        <v>0</v>
      </c>
      <c r="AL1216" s="11"/>
      <c r="AR1216" s="140" t="str">
        <f>_xlfn.XLOOKUP(MasterTable[[#This Row],[Aircraft ID]],Aircraft!A:A,Aircraft!H:H)</f>
        <v>Airplane Single Engine Land</v>
      </c>
      <c r="AS1216" s="8" t="b">
        <f>OR((SUM(MasterTable[[#This Row],[ILS]:[PAR]]) = MasterTable[[#This Row],[APPR]]))</f>
        <v>1</v>
      </c>
      <c r="AT1216" s="8" t="b">
        <f>NOT(ISBLANK(MasterTable[[#This Row],[Total
Time]]))</f>
        <v>1</v>
      </c>
    </row>
    <row r="1217" spans="4:46" ht="28.8" x14ac:dyDescent="0.3">
      <c r="D1217" s="22">
        <v>41326</v>
      </c>
      <c r="E1217" s="8" t="s">
        <v>174</v>
      </c>
      <c r="F1217" s="8" t="s">
        <v>202</v>
      </c>
      <c r="G1217" s="8" t="s">
        <v>202</v>
      </c>
      <c r="I1217" s="10">
        <v>0.8</v>
      </c>
      <c r="J1217" s="10">
        <v>0</v>
      </c>
      <c r="L1217" s="10">
        <v>0</v>
      </c>
      <c r="M1217" s="13">
        <v>0</v>
      </c>
      <c r="N1217" s="13"/>
      <c r="O1217" s="10">
        <v>0</v>
      </c>
      <c r="P1217" s="10">
        <v>0.8</v>
      </c>
      <c r="Q1217" s="14">
        <v>0</v>
      </c>
      <c r="R1217" s="14">
        <v>0</v>
      </c>
      <c r="S1217" s="10">
        <v>0</v>
      </c>
      <c r="T1217" s="10">
        <v>0</v>
      </c>
      <c r="U1217" s="14">
        <v>0</v>
      </c>
      <c r="V1217" s="10"/>
      <c r="W1217" s="11">
        <v>5</v>
      </c>
      <c r="X1217" s="11">
        <v>5</v>
      </c>
      <c r="Y1217" s="11">
        <v>0</v>
      </c>
      <c r="Z1217" s="11">
        <v>0</v>
      </c>
      <c r="AA1217" s="11">
        <f>MasterTable[[#This Row],[Landings
Night]]+MasterTable[[#This Row],[Landings
Day]]</f>
        <v>5</v>
      </c>
      <c r="AB1217" s="10">
        <v>0</v>
      </c>
      <c r="AC1217" s="10">
        <v>0</v>
      </c>
      <c r="AD1217" s="11">
        <v>0</v>
      </c>
      <c r="AE1217" s="21">
        <f>SUM(MasterTable[[#This Row],[ILS]:[PAR]])</f>
        <v>0</v>
      </c>
      <c r="AL1217" s="11"/>
      <c r="AR1217" s="140" t="str">
        <f>_xlfn.XLOOKUP(MasterTable[[#This Row],[Aircraft ID]],Aircraft!A:A,Aircraft!H:H)</f>
        <v>Airplane Single Engine Land</v>
      </c>
      <c r="AS1217" s="8" t="b">
        <f>OR((SUM(MasterTable[[#This Row],[ILS]:[PAR]]) = MasterTable[[#This Row],[APPR]]))</f>
        <v>1</v>
      </c>
      <c r="AT1217" s="8" t="b">
        <f>NOT(ISBLANK(MasterTable[[#This Row],[Total
Time]]))</f>
        <v>1</v>
      </c>
    </row>
    <row r="1218" spans="4:46" ht="28.8" x14ac:dyDescent="0.3">
      <c r="D1218" s="22">
        <v>41326</v>
      </c>
      <c r="E1218" s="8" t="s">
        <v>51</v>
      </c>
      <c r="F1218" s="8" t="s">
        <v>202</v>
      </c>
      <c r="G1218" s="8" t="s">
        <v>202</v>
      </c>
      <c r="I1218" s="10">
        <v>0.6</v>
      </c>
      <c r="J1218" s="10">
        <v>0</v>
      </c>
      <c r="L1218" s="10">
        <v>0</v>
      </c>
      <c r="M1218" s="13">
        <v>0</v>
      </c>
      <c r="N1218" s="13"/>
      <c r="O1218" s="10">
        <v>0</v>
      </c>
      <c r="P1218" s="10">
        <v>0.6</v>
      </c>
      <c r="Q1218" s="14">
        <v>0</v>
      </c>
      <c r="R1218" s="14">
        <v>0</v>
      </c>
      <c r="S1218" s="10">
        <v>0</v>
      </c>
      <c r="T1218" s="10">
        <v>0</v>
      </c>
      <c r="U1218" s="14">
        <v>0</v>
      </c>
      <c r="V1218" s="10"/>
      <c r="W1218" s="11">
        <v>2</v>
      </c>
      <c r="X1218" s="11">
        <v>2</v>
      </c>
      <c r="Y1218" s="11">
        <v>0</v>
      </c>
      <c r="Z1218" s="11">
        <v>0</v>
      </c>
      <c r="AA1218" s="11">
        <f>MasterTable[[#This Row],[Landings
Night]]+MasterTable[[#This Row],[Landings
Day]]</f>
        <v>2</v>
      </c>
      <c r="AB1218" s="10">
        <v>0</v>
      </c>
      <c r="AC1218" s="10">
        <v>0</v>
      </c>
      <c r="AD1218" s="11">
        <v>0</v>
      </c>
      <c r="AE1218" s="21">
        <f>SUM(MasterTable[[#This Row],[ILS]:[PAR]])</f>
        <v>0</v>
      </c>
      <c r="AL1218" s="11"/>
      <c r="AR1218" s="140" t="str">
        <f>_xlfn.XLOOKUP(MasterTable[[#This Row],[Aircraft ID]],Aircraft!A:A,Aircraft!H:H)</f>
        <v>Airplane Single Engine Land</v>
      </c>
      <c r="AS1218" s="8" t="b">
        <f>OR((SUM(MasterTable[[#This Row],[ILS]:[PAR]]) = MasterTable[[#This Row],[APPR]]))</f>
        <v>1</v>
      </c>
      <c r="AT1218" s="8" t="b">
        <f>NOT(ISBLANK(MasterTable[[#This Row],[Total
Time]]))</f>
        <v>1</v>
      </c>
    </row>
    <row r="1219" spans="4:46" ht="28.8" x14ac:dyDescent="0.3">
      <c r="D1219" s="22">
        <v>41314</v>
      </c>
      <c r="E1219" s="8" t="s">
        <v>174</v>
      </c>
      <c r="F1219" s="8" t="s">
        <v>202</v>
      </c>
      <c r="G1219" s="8" t="s">
        <v>202</v>
      </c>
      <c r="I1219" s="10">
        <v>1.5</v>
      </c>
      <c r="J1219" s="10">
        <v>0</v>
      </c>
      <c r="L1219" s="10">
        <v>0</v>
      </c>
      <c r="M1219" s="13">
        <v>0</v>
      </c>
      <c r="N1219" s="13"/>
      <c r="O1219" s="10">
        <v>0</v>
      </c>
      <c r="P1219" s="10">
        <v>1.5</v>
      </c>
      <c r="Q1219" s="14">
        <v>0</v>
      </c>
      <c r="R1219" s="14">
        <v>0</v>
      </c>
      <c r="S1219" s="10">
        <v>0</v>
      </c>
      <c r="T1219" s="10">
        <v>0</v>
      </c>
      <c r="U1219" s="14">
        <v>0</v>
      </c>
      <c r="V1219" s="10"/>
      <c r="W1219" s="11">
        <v>3</v>
      </c>
      <c r="X1219" s="11">
        <v>3</v>
      </c>
      <c r="Y1219" s="11">
        <v>0</v>
      </c>
      <c r="Z1219" s="11">
        <v>0</v>
      </c>
      <c r="AA1219" s="11">
        <f>MasterTable[[#This Row],[Landings
Night]]+MasterTable[[#This Row],[Landings
Day]]</f>
        <v>3</v>
      </c>
      <c r="AB1219" s="10">
        <v>0</v>
      </c>
      <c r="AC1219" s="10">
        <v>0</v>
      </c>
      <c r="AD1219" s="11">
        <v>0</v>
      </c>
      <c r="AE1219" s="21">
        <f>SUM(MasterTable[[#This Row],[ILS]:[PAR]])</f>
        <v>0</v>
      </c>
      <c r="AL1219" s="11"/>
      <c r="AR1219" s="140" t="str">
        <f>_xlfn.XLOOKUP(MasterTable[[#This Row],[Aircraft ID]],Aircraft!A:A,Aircraft!H:H)</f>
        <v>Airplane Single Engine Land</v>
      </c>
      <c r="AS1219" s="8" t="b">
        <f>OR((SUM(MasterTable[[#This Row],[ILS]:[PAR]]) = MasterTable[[#This Row],[APPR]]))</f>
        <v>1</v>
      </c>
      <c r="AT1219" s="8" t="b">
        <f>NOT(ISBLANK(MasterTable[[#This Row],[Total
Time]]))</f>
        <v>1</v>
      </c>
    </row>
    <row r="1220" spans="4:46" ht="28.8" x14ac:dyDescent="0.3">
      <c r="D1220" s="22">
        <v>41292</v>
      </c>
      <c r="E1220" s="8" t="s">
        <v>174</v>
      </c>
      <c r="F1220" s="8" t="s">
        <v>202</v>
      </c>
      <c r="G1220" s="8" t="s">
        <v>202</v>
      </c>
      <c r="I1220" s="10">
        <v>0.2</v>
      </c>
      <c r="J1220" s="10">
        <v>0</v>
      </c>
      <c r="L1220" s="10">
        <v>0</v>
      </c>
      <c r="M1220" s="13">
        <v>0</v>
      </c>
      <c r="N1220" s="13"/>
      <c r="O1220" s="10">
        <v>0</v>
      </c>
      <c r="P1220" s="10">
        <v>0.2</v>
      </c>
      <c r="Q1220" s="14">
        <v>0</v>
      </c>
      <c r="R1220" s="14">
        <v>0</v>
      </c>
      <c r="S1220" s="10">
        <v>0</v>
      </c>
      <c r="T1220" s="10">
        <v>0</v>
      </c>
      <c r="U1220" s="14">
        <v>0</v>
      </c>
      <c r="V1220" s="10"/>
      <c r="W1220" s="11">
        <v>1</v>
      </c>
      <c r="X1220" s="11">
        <v>1</v>
      </c>
      <c r="Y1220" s="11">
        <v>0</v>
      </c>
      <c r="Z1220" s="11">
        <v>0</v>
      </c>
      <c r="AA1220" s="11">
        <f>MasterTable[[#This Row],[Landings
Night]]+MasterTable[[#This Row],[Landings
Day]]</f>
        <v>1</v>
      </c>
      <c r="AB1220" s="10">
        <v>0</v>
      </c>
      <c r="AC1220" s="10">
        <v>0</v>
      </c>
      <c r="AD1220" s="11">
        <v>0</v>
      </c>
      <c r="AE1220" s="21">
        <f>SUM(MasterTable[[#This Row],[ILS]:[PAR]])</f>
        <v>0</v>
      </c>
      <c r="AL1220" s="11"/>
      <c r="AR1220" s="140" t="str">
        <f>_xlfn.XLOOKUP(MasterTable[[#This Row],[Aircraft ID]],Aircraft!A:A,Aircraft!H:H)</f>
        <v>Airplane Single Engine Land</v>
      </c>
      <c r="AS1220" s="8" t="b">
        <f>OR((SUM(MasterTable[[#This Row],[ILS]:[PAR]]) = MasterTable[[#This Row],[APPR]]))</f>
        <v>1</v>
      </c>
      <c r="AT1220" s="8" t="b">
        <f>NOT(ISBLANK(MasterTable[[#This Row],[Total
Time]]))</f>
        <v>1</v>
      </c>
    </row>
    <row r="1221" spans="4:46" ht="28.8" x14ac:dyDescent="0.3">
      <c r="D1221" s="22">
        <v>41280</v>
      </c>
      <c r="E1221" s="8" t="s">
        <v>37</v>
      </c>
      <c r="F1221" s="8" t="s">
        <v>344</v>
      </c>
      <c r="G1221" s="8" t="s">
        <v>202</v>
      </c>
      <c r="I1221" s="10">
        <v>0</v>
      </c>
      <c r="J1221" s="10">
        <v>0</v>
      </c>
      <c r="L1221" s="10">
        <v>0</v>
      </c>
      <c r="M1221" s="13">
        <v>0</v>
      </c>
      <c r="N1221" s="13"/>
      <c r="O1221" s="10">
        <v>0</v>
      </c>
      <c r="P1221" s="10">
        <v>0</v>
      </c>
      <c r="Q1221" s="14">
        <v>0</v>
      </c>
      <c r="R1221" s="14">
        <v>0</v>
      </c>
      <c r="S1221" s="10">
        <v>0</v>
      </c>
      <c r="T1221" s="10">
        <v>0</v>
      </c>
      <c r="U1221" s="14">
        <v>0</v>
      </c>
      <c r="V1221" s="10"/>
      <c r="W1221" s="11">
        <v>1</v>
      </c>
      <c r="X1221" s="11">
        <v>1</v>
      </c>
      <c r="Y1221" s="11">
        <v>0</v>
      </c>
      <c r="Z1221" s="11">
        <v>0</v>
      </c>
      <c r="AA1221" s="11">
        <f>MasterTable[[#This Row],[Landings
Night]]+MasterTable[[#This Row],[Landings
Day]]</f>
        <v>1</v>
      </c>
      <c r="AB1221" s="10">
        <v>0</v>
      </c>
      <c r="AC1221" s="10">
        <v>0</v>
      </c>
      <c r="AD1221" s="11">
        <v>0</v>
      </c>
      <c r="AE1221" s="21">
        <f>SUM(MasterTable[[#This Row],[ILS]:[PAR]])</f>
        <v>0</v>
      </c>
      <c r="AL1221" s="11"/>
      <c r="AR1221" s="140" t="str">
        <f>_xlfn.XLOOKUP(MasterTable[[#This Row],[Aircraft ID]],Aircraft!A:A,Aircraft!H:H)</f>
        <v>Airplane Multi Engine Land</v>
      </c>
      <c r="AS1221" s="8" t="b">
        <f>OR((SUM(MasterTable[[#This Row],[ILS]:[PAR]]) = MasterTable[[#This Row],[APPR]]))</f>
        <v>1</v>
      </c>
      <c r="AT1221" s="8" t="b">
        <f>NOT(ISBLANK(MasterTable[[#This Row],[Total
Time]]))</f>
        <v>1</v>
      </c>
    </row>
    <row r="1222" spans="4:46" ht="28.8" x14ac:dyDescent="0.3">
      <c r="D1222" s="22">
        <v>41280</v>
      </c>
      <c r="E1222" s="8" t="s">
        <v>37</v>
      </c>
      <c r="F1222" s="8" t="s">
        <v>202</v>
      </c>
      <c r="G1222" s="8" t="s">
        <v>344</v>
      </c>
      <c r="I1222" s="10">
        <v>0</v>
      </c>
      <c r="J1222" s="10">
        <v>0</v>
      </c>
      <c r="L1222" s="10">
        <v>0</v>
      </c>
      <c r="M1222" s="13">
        <v>0</v>
      </c>
      <c r="N1222" s="13"/>
      <c r="O1222" s="10">
        <v>0</v>
      </c>
      <c r="P1222" s="10">
        <v>0</v>
      </c>
      <c r="Q1222" s="14">
        <v>0</v>
      </c>
      <c r="R1222" s="14">
        <v>0</v>
      </c>
      <c r="S1222" s="10">
        <v>0</v>
      </c>
      <c r="T1222" s="10">
        <v>0</v>
      </c>
      <c r="U1222" s="14">
        <v>0</v>
      </c>
      <c r="V1222" s="10"/>
      <c r="W1222" s="11">
        <v>1</v>
      </c>
      <c r="X1222" s="11">
        <v>1</v>
      </c>
      <c r="Y1222" s="11">
        <v>0</v>
      </c>
      <c r="Z1222" s="11">
        <v>0</v>
      </c>
      <c r="AA1222" s="11">
        <f>MasterTable[[#This Row],[Landings
Night]]+MasterTable[[#This Row],[Landings
Day]]</f>
        <v>1</v>
      </c>
      <c r="AB1222" s="10">
        <v>0</v>
      </c>
      <c r="AC1222" s="10">
        <v>0</v>
      </c>
      <c r="AD1222" s="11">
        <v>0</v>
      </c>
      <c r="AE1222" s="21">
        <f>SUM(MasterTable[[#This Row],[ILS]:[PAR]])</f>
        <v>0</v>
      </c>
      <c r="AL1222" s="11"/>
      <c r="AR1222" s="140" t="str">
        <f>_xlfn.XLOOKUP(MasterTable[[#This Row],[Aircraft ID]],Aircraft!A:A,Aircraft!H:H)</f>
        <v>Airplane Multi Engine Land</v>
      </c>
      <c r="AS1222" s="8" t="b">
        <f>OR((SUM(MasterTable[[#This Row],[ILS]:[PAR]]) = MasterTable[[#This Row],[APPR]]))</f>
        <v>1</v>
      </c>
      <c r="AT1222" s="8" t="b">
        <f>NOT(ISBLANK(MasterTable[[#This Row],[Total
Time]]))</f>
        <v>1</v>
      </c>
    </row>
    <row r="1223" spans="4:46" ht="28.8" x14ac:dyDescent="0.3">
      <c r="D1223" s="22">
        <v>41280</v>
      </c>
      <c r="E1223" s="8" t="s">
        <v>37</v>
      </c>
      <c r="F1223" s="8" t="s">
        <v>369</v>
      </c>
      <c r="G1223" s="8" t="s">
        <v>202</v>
      </c>
      <c r="I1223" s="10">
        <v>0</v>
      </c>
      <c r="J1223" s="10">
        <v>0</v>
      </c>
      <c r="L1223" s="10">
        <v>0</v>
      </c>
      <c r="M1223" s="13">
        <v>0</v>
      </c>
      <c r="N1223" s="13"/>
      <c r="O1223" s="10">
        <v>0</v>
      </c>
      <c r="P1223" s="10">
        <v>0</v>
      </c>
      <c r="Q1223" s="14">
        <v>0</v>
      </c>
      <c r="R1223" s="14">
        <v>0</v>
      </c>
      <c r="S1223" s="10">
        <v>0</v>
      </c>
      <c r="T1223" s="10">
        <v>0</v>
      </c>
      <c r="U1223" s="14">
        <v>0</v>
      </c>
      <c r="V1223" s="10"/>
      <c r="W1223" s="11">
        <v>1</v>
      </c>
      <c r="X1223" s="11">
        <v>1</v>
      </c>
      <c r="Y1223" s="11">
        <v>0</v>
      </c>
      <c r="Z1223" s="11">
        <v>0</v>
      </c>
      <c r="AA1223" s="11">
        <f>MasterTable[[#This Row],[Landings
Night]]+MasterTable[[#This Row],[Landings
Day]]</f>
        <v>1</v>
      </c>
      <c r="AB1223" s="10">
        <v>0</v>
      </c>
      <c r="AC1223" s="10">
        <v>0</v>
      </c>
      <c r="AD1223" s="11">
        <v>0</v>
      </c>
      <c r="AE1223" s="21">
        <f>SUM(MasterTable[[#This Row],[ILS]:[PAR]])</f>
        <v>0</v>
      </c>
      <c r="AL1223" s="11"/>
      <c r="AR1223" s="140" t="str">
        <f>_xlfn.XLOOKUP(MasterTable[[#This Row],[Aircraft ID]],Aircraft!A:A,Aircraft!H:H)</f>
        <v>Airplane Multi Engine Land</v>
      </c>
      <c r="AS1223" s="8" t="b">
        <f>OR((SUM(MasterTable[[#This Row],[ILS]:[PAR]]) = MasterTable[[#This Row],[APPR]]))</f>
        <v>1</v>
      </c>
      <c r="AT1223" s="8" t="b">
        <f>NOT(ISBLANK(MasterTable[[#This Row],[Total
Time]]))</f>
        <v>1</v>
      </c>
    </row>
    <row r="1224" spans="4:46" ht="28.8" x14ac:dyDescent="0.3">
      <c r="D1224" s="22">
        <v>41278</v>
      </c>
      <c r="E1224" s="8" t="s">
        <v>37</v>
      </c>
      <c r="F1224" s="8" t="s">
        <v>344</v>
      </c>
      <c r="G1224" s="8" t="s">
        <v>369</v>
      </c>
      <c r="I1224" s="10">
        <v>0</v>
      </c>
      <c r="J1224" s="10">
        <v>0</v>
      </c>
      <c r="L1224" s="10">
        <v>0</v>
      </c>
      <c r="M1224" s="13">
        <v>0</v>
      </c>
      <c r="N1224" s="13"/>
      <c r="O1224" s="10">
        <v>0</v>
      </c>
      <c r="P1224" s="10">
        <v>0</v>
      </c>
      <c r="Q1224" s="14">
        <v>0</v>
      </c>
      <c r="R1224" s="14">
        <v>0</v>
      </c>
      <c r="S1224" s="10">
        <v>0</v>
      </c>
      <c r="T1224" s="10">
        <v>0</v>
      </c>
      <c r="U1224" s="14">
        <v>0</v>
      </c>
      <c r="V1224" s="10"/>
      <c r="W1224" s="11">
        <v>1</v>
      </c>
      <c r="X1224" s="11">
        <v>1</v>
      </c>
      <c r="Y1224" s="11">
        <v>0</v>
      </c>
      <c r="Z1224" s="11">
        <v>0</v>
      </c>
      <c r="AA1224" s="11">
        <f>MasterTable[[#This Row],[Landings
Night]]+MasterTable[[#This Row],[Landings
Day]]</f>
        <v>1</v>
      </c>
      <c r="AB1224" s="10">
        <v>0</v>
      </c>
      <c r="AC1224" s="10">
        <v>0</v>
      </c>
      <c r="AD1224" s="11">
        <v>0</v>
      </c>
      <c r="AE1224" s="21">
        <f>SUM(MasterTable[[#This Row],[ILS]:[PAR]])</f>
        <v>0</v>
      </c>
      <c r="AL1224" s="11"/>
      <c r="AR1224" s="140" t="str">
        <f>_xlfn.XLOOKUP(MasterTable[[#This Row],[Aircraft ID]],Aircraft!A:A,Aircraft!H:H)</f>
        <v>Airplane Multi Engine Land</v>
      </c>
      <c r="AS1224" s="8" t="b">
        <f>OR((SUM(MasterTable[[#This Row],[ILS]:[PAR]]) = MasterTable[[#This Row],[APPR]]))</f>
        <v>1</v>
      </c>
      <c r="AT1224" s="8" t="b">
        <f>NOT(ISBLANK(MasterTable[[#This Row],[Total
Time]]))</f>
        <v>1</v>
      </c>
    </row>
    <row r="1225" spans="4:46" ht="28.8" x14ac:dyDescent="0.3">
      <c r="D1225" s="22">
        <v>41278</v>
      </c>
      <c r="E1225" s="8" t="s">
        <v>37</v>
      </c>
      <c r="F1225" s="8" t="s">
        <v>202</v>
      </c>
      <c r="G1225" s="8" t="s">
        <v>344</v>
      </c>
      <c r="I1225" s="10">
        <v>0</v>
      </c>
      <c r="J1225" s="10">
        <v>0</v>
      </c>
      <c r="L1225" s="10">
        <v>0</v>
      </c>
      <c r="M1225" s="13">
        <v>0</v>
      </c>
      <c r="N1225" s="13"/>
      <c r="O1225" s="10">
        <v>0</v>
      </c>
      <c r="P1225" s="10">
        <v>0</v>
      </c>
      <c r="Q1225" s="14">
        <v>0</v>
      </c>
      <c r="R1225" s="14">
        <v>0</v>
      </c>
      <c r="S1225" s="10">
        <v>0</v>
      </c>
      <c r="T1225" s="10">
        <v>0</v>
      </c>
      <c r="U1225" s="14">
        <v>0</v>
      </c>
      <c r="V1225" s="10"/>
      <c r="W1225" s="11">
        <v>1</v>
      </c>
      <c r="X1225" s="11">
        <v>1</v>
      </c>
      <c r="Y1225" s="11">
        <v>0</v>
      </c>
      <c r="Z1225" s="11">
        <v>0</v>
      </c>
      <c r="AA1225" s="11">
        <f>MasterTable[[#This Row],[Landings
Night]]+MasterTable[[#This Row],[Landings
Day]]</f>
        <v>1</v>
      </c>
      <c r="AB1225" s="10">
        <v>0</v>
      </c>
      <c r="AC1225" s="10">
        <v>0</v>
      </c>
      <c r="AD1225" s="11">
        <v>0</v>
      </c>
      <c r="AE1225" s="21">
        <f>SUM(MasterTable[[#This Row],[ILS]:[PAR]])</f>
        <v>0</v>
      </c>
      <c r="AL1225" s="11"/>
      <c r="AR1225" s="140" t="str">
        <f>_xlfn.XLOOKUP(MasterTable[[#This Row],[Aircraft ID]],Aircraft!A:A,Aircraft!H:H)</f>
        <v>Airplane Multi Engine Land</v>
      </c>
      <c r="AS1225" s="8" t="b">
        <f>OR((SUM(MasterTable[[#This Row],[ILS]:[PAR]]) = MasterTable[[#This Row],[APPR]]))</f>
        <v>1</v>
      </c>
      <c r="AT1225" s="8" t="b">
        <f>NOT(ISBLANK(MasterTable[[#This Row],[Total
Time]]))</f>
        <v>1</v>
      </c>
    </row>
    <row r="1226" spans="4:46" ht="28.8" x14ac:dyDescent="0.3">
      <c r="D1226" s="22">
        <v>41273</v>
      </c>
      <c r="E1226" s="8" t="s">
        <v>72</v>
      </c>
      <c r="F1226" s="8" t="s">
        <v>293</v>
      </c>
      <c r="G1226" s="8" t="s">
        <v>293</v>
      </c>
      <c r="I1226" s="10">
        <v>0</v>
      </c>
      <c r="J1226" s="10">
        <v>0</v>
      </c>
      <c r="L1226" s="10">
        <v>0</v>
      </c>
      <c r="M1226" s="13">
        <v>0</v>
      </c>
      <c r="N1226" s="13"/>
      <c r="O1226" s="10">
        <v>0</v>
      </c>
      <c r="P1226" s="10">
        <v>0</v>
      </c>
      <c r="Q1226" s="14">
        <v>0</v>
      </c>
      <c r="R1226" s="14">
        <v>0</v>
      </c>
      <c r="S1226" s="10">
        <v>0</v>
      </c>
      <c r="T1226" s="10">
        <v>0</v>
      </c>
      <c r="U1226" s="14">
        <v>0</v>
      </c>
      <c r="V1226" s="10"/>
      <c r="W1226" s="11">
        <v>1</v>
      </c>
      <c r="X1226" s="11">
        <v>1</v>
      </c>
      <c r="Y1226" s="11">
        <v>0</v>
      </c>
      <c r="Z1226" s="11">
        <v>0</v>
      </c>
      <c r="AA1226" s="11">
        <f>MasterTable[[#This Row],[Landings
Night]]+MasterTable[[#This Row],[Landings
Day]]</f>
        <v>1</v>
      </c>
      <c r="AB1226" s="10">
        <v>0</v>
      </c>
      <c r="AC1226" s="10">
        <v>0</v>
      </c>
      <c r="AD1226" s="11">
        <v>0</v>
      </c>
      <c r="AE1226" s="21">
        <f>SUM(MasterTable[[#This Row],[ILS]:[PAR]])</f>
        <v>2</v>
      </c>
      <c r="AG1226" s="11">
        <v>1</v>
      </c>
      <c r="AI1226" s="11">
        <v>1</v>
      </c>
      <c r="AL1226" s="11"/>
      <c r="AR1226" s="140" t="str">
        <f>_xlfn.XLOOKUP(MasterTable[[#This Row],[Aircraft ID]],Aircraft!A:A,Aircraft!H:H)</f>
        <v>Airplane Multi Engine Land</v>
      </c>
      <c r="AS1226" s="8" t="b">
        <f>OR((SUM(MasterTable[[#This Row],[ILS]:[PAR]]) = MasterTable[[#This Row],[APPR]]))</f>
        <v>1</v>
      </c>
      <c r="AT1226" s="8" t="b">
        <f>NOT(ISBLANK(MasterTable[[#This Row],[Total
Time]]))</f>
        <v>1</v>
      </c>
    </row>
    <row r="1227" spans="4:46" ht="28.8" x14ac:dyDescent="0.3">
      <c r="D1227" s="22">
        <v>41272</v>
      </c>
      <c r="E1227" s="8" t="s">
        <v>174</v>
      </c>
      <c r="F1227" s="8" t="s">
        <v>202</v>
      </c>
      <c r="G1227" s="8" t="s">
        <v>219</v>
      </c>
      <c r="I1227" s="10">
        <v>1.4</v>
      </c>
      <c r="J1227" s="10">
        <v>0</v>
      </c>
      <c r="L1227" s="10">
        <v>0</v>
      </c>
      <c r="M1227" s="13">
        <v>0</v>
      </c>
      <c r="N1227" s="13"/>
      <c r="O1227" s="10">
        <v>0</v>
      </c>
      <c r="P1227" s="10">
        <v>1.4</v>
      </c>
      <c r="Q1227" s="14">
        <v>0</v>
      </c>
      <c r="R1227" s="14">
        <v>0</v>
      </c>
      <c r="S1227" s="10">
        <v>0</v>
      </c>
      <c r="T1227" s="10">
        <v>0</v>
      </c>
      <c r="U1227" s="14">
        <v>0</v>
      </c>
      <c r="V1227" s="10"/>
      <c r="W1227" s="11">
        <v>4</v>
      </c>
      <c r="X1227" s="11">
        <v>4</v>
      </c>
      <c r="Y1227" s="11">
        <v>0</v>
      </c>
      <c r="Z1227" s="11">
        <v>0</v>
      </c>
      <c r="AA1227" s="11">
        <f>MasterTable[[#This Row],[Landings
Night]]+MasterTable[[#This Row],[Landings
Day]]</f>
        <v>4</v>
      </c>
      <c r="AB1227" s="10">
        <v>0</v>
      </c>
      <c r="AC1227" s="10">
        <v>0</v>
      </c>
      <c r="AD1227" s="11">
        <v>0</v>
      </c>
      <c r="AE1227" s="21">
        <f>SUM(MasterTable[[#This Row],[ILS]:[PAR]])</f>
        <v>0</v>
      </c>
      <c r="AL1227" s="11"/>
      <c r="AR1227" s="140" t="str">
        <f>_xlfn.XLOOKUP(MasterTable[[#This Row],[Aircraft ID]],Aircraft!A:A,Aircraft!H:H)</f>
        <v>Airplane Single Engine Land</v>
      </c>
      <c r="AS1227" s="8" t="b">
        <f>OR((SUM(MasterTable[[#This Row],[ILS]:[PAR]]) = MasterTable[[#This Row],[APPR]]))</f>
        <v>1</v>
      </c>
      <c r="AT1227" s="8" t="b">
        <f>NOT(ISBLANK(MasterTable[[#This Row],[Total
Time]]))</f>
        <v>1</v>
      </c>
    </row>
    <row r="1228" spans="4:46" ht="28.8" x14ac:dyDescent="0.3">
      <c r="D1228" s="22">
        <v>41269</v>
      </c>
      <c r="E1228" s="8" t="s">
        <v>37</v>
      </c>
      <c r="F1228" s="8" t="s">
        <v>202</v>
      </c>
      <c r="G1228" s="8" t="s">
        <v>289</v>
      </c>
      <c r="I1228" s="10">
        <v>0</v>
      </c>
      <c r="J1228" s="10">
        <v>0</v>
      </c>
      <c r="L1228" s="10">
        <v>0</v>
      </c>
      <c r="M1228" s="13">
        <v>0</v>
      </c>
      <c r="N1228" s="13"/>
      <c r="O1228" s="10">
        <v>0</v>
      </c>
      <c r="P1228" s="10">
        <v>0</v>
      </c>
      <c r="Q1228" s="14">
        <v>0</v>
      </c>
      <c r="R1228" s="14">
        <v>0</v>
      </c>
      <c r="S1228" s="10">
        <v>0</v>
      </c>
      <c r="T1228" s="10">
        <v>0</v>
      </c>
      <c r="U1228" s="14">
        <v>0</v>
      </c>
      <c r="V1228" s="10"/>
      <c r="W1228" s="11">
        <v>1</v>
      </c>
      <c r="X1228" s="11">
        <v>1</v>
      </c>
      <c r="Y1228" s="11">
        <v>0</v>
      </c>
      <c r="Z1228" s="11">
        <v>0</v>
      </c>
      <c r="AA1228" s="11">
        <f>MasterTable[[#This Row],[Landings
Night]]+MasterTable[[#This Row],[Landings
Day]]</f>
        <v>1</v>
      </c>
      <c r="AB1228" s="10">
        <v>0</v>
      </c>
      <c r="AC1228" s="10">
        <v>0</v>
      </c>
      <c r="AD1228" s="11">
        <v>0</v>
      </c>
      <c r="AE1228" s="21">
        <f>SUM(MasterTable[[#This Row],[ILS]:[PAR]])</f>
        <v>0</v>
      </c>
      <c r="AL1228" s="11"/>
      <c r="AR1228" s="140" t="str">
        <f>_xlfn.XLOOKUP(MasterTable[[#This Row],[Aircraft ID]],Aircraft!A:A,Aircraft!H:H)</f>
        <v>Airplane Multi Engine Land</v>
      </c>
      <c r="AS1228" s="8" t="b">
        <f>OR((SUM(MasterTable[[#This Row],[ILS]:[PAR]]) = MasterTable[[#This Row],[APPR]]))</f>
        <v>1</v>
      </c>
      <c r="AT1228" s="8" t="b">
        <f>NOT(ISBLANK(MasterTable[[#This Row],[Total
Time]]))</f>
        <v>1</v>
      </c>
    </row>
    <row r="1229" spans="4:46" ht="28.8" x14ac:dyDescent="0.3">
      <c r="D1229" s="22">
        <v>41239</v>
      </c>
      <c r="E1229" s="8" t="s">
        <v>174</v>
      </c>
      <c r="F1229" s="8" t="s">
        <v>202</v>
      </c>
      <c r="G1229" s="8" t="s">
        <v>202</v>
      </c>
      <c r="I1229" s="10">
        <v>1.3</v>
      </c>
      <c r="J1229" s="10">
        <v>0</v>
      </c>
      <c r="L1229" s="10">
        <v>0</v>
      </c>
      <c r="M1229" s="13">
        <v>0</v>
      </c>
      <c r="N1229" s="13"/>
      <c r="O1229" s="10">
        <v>0</v>
      </c>
      <c r="P1229" s="10">
        <v>1.3</v>
      </c>
      <c r="Q1229" s="14">
        <v>0</v>
      </c>
      <c r="R1229" s="14">
        <v>0</v>
      </c>
      <c r="S1229" s="10">
        <v>1.3</v>
      </c>
      <c r="T1229" s="10">
        <v>0</v>
      </c>
      <c r="U1229" s="14">
        <v>0</v>
      </c>
      <c r="V1229" s="10"/>
      <c r="W1229" s="11">
        <v>0</v>
      </c>
      <c r="X1229" s="11">
        <v>0</v>
      </c>
      <c r="Y1229" s="11">
        <v>6</v>
      </c>
      <c r="Z1229" s="11">
        <v>6</v>
      </c>
      <c r="AA1229" s="11">
        <f>MasterTable[[#This Row],[Landings
Night]]+MasterTable[[#This Row],[Landings
Day]]</f>
        <v>6</v>
      </c>
      <c r="AB1229" s="10">
        <v>0</v>
      </c>
      <c r="AC1229" s="10">
        <v>0</v>
      </c>
      <c r="AD1229" s="11">
        <v>0</v>
      </c>
      <c r="AE1229" s="21">
        <f>SUM(MasterTable[[#This Row],[ILS]:[PAR]])</f>
        <v>0</v>
      </c>
      <c r="AL1229" s="11"/>
      <c r="AR1229" s="140" t="str">
        <f>_xlfn.XLOOKUP(MasterTable[[#This Row],[Aircraft ID]],Aircraft!A:A,Aircraft!H:H)</f>
        <v>Airplane Single Engine Land</v>
      </c>
      <c r="AS1229" s="8" t="b">
        <f>OR((SUM(MasterTable[[#This Row],[ILS]:[PAR]]) = MasterTable[[#This Row],[APPR]]))</f>
        <v>1</v>
      </c>
      <c r="AT1229" s="8" t="b">
        <f>NOT(ISBLANK(MasterTable[[#This Row],[Total
Time]]))</f>
        <v>1</v>
      </c>
    </row>
    <row r="1230" spans="4:46" ht="28.8" x14ac:dyDescent="0.3">
      <c r="D1230" s="22">
        <v>41206</v>
      </c>
      <c r="E1230" s="8" t="s">
        <v>174</v>
      </c>
      <c r="F1230" s="8" t="s">
        <v>202</v>
      </c>
      <c r="G1230" s="8" t="s">
        <v>202</v>
      </c>
      <c r="I1230" s="10">
        <v>0.6</v>
      </c>
      <c r="J1230" s="10">
        <v>0</v>
      </c>
      <c r="L1230" s="10">
        <v>0</v>
      </c>
      <c r="M1230" s="13">
        <v>0</v>
      </c>
      <c r="N1230" s="13"/>
      <c r="O1230" s="10">
        <v>0</v>
      </c>
      <c r="P1230" s="10">
        <v>0.6</v>
      </c>
      <c r="Q1230" s="14">
        <v>0</v>
      </c>
      <c r="R1230" s="14">
        <v>0</v>
      </c>
      <c r="S1230" s="10">
        <v>0</v>
      </c>
      <c r="T1230" s="10">
        <v>0</v>
      </c>
      <c r="U1230" s="14">
        <v>0</v>
      </c>
      <c r="V1230" s="10"/>
      <c r="W1230" s="11">
        <v>1</v>
      </c>
      <c r="X1230" s="11">
        <v>1</v>
      </c>
      <c r="Y1230" s="11">
        <v>0</v>
      </c>
      <c r="Z1230" s="11">
        <v>0</v>
      </c>
      <c r="AA1230" s="11">
        <f>MasterTable[[#This Row],[Landings
Night]]+MasterTable[[#This Row],[Landings
Day]]</f>
        <v>1</v>
      </c>
      <c r="AB1230" s="10">
        <v>0</v>
      </c>
      <c r="AC1230" s="10">
        <v>0</v>
      </c>
      <c r="AD1230" s="11">
        <v>0</v>
      </c>
      <c r="AE1230" s="21">
        <f>SUM(MasterTable[[#This Row],[ILS]:[PAR]])</f>
        <v>0</v>
      </c>
      <c r="AL1230" s="11"/>
      <c r="AR1230" s="140" t="str">
        <f>_xlfn.XLOOKUP(MasterTable[[#This Row],[Aircraft ID]],Aircraft!A:A,Aircraft!H:H)</f>
        <v>Airplane Single Engine Land</v>
      </c>
      <c r="AS1230" s="8" t="b">
        <f>OR((SUM(MasterTable[[#This Row],[ILS]:[PAR]]) = MasterTable[[#This Row],[APPR]]))</f>
        <v>1</v>
      </c>
      <c r="AT1230" s="8" t="b">
        <f>NOT(ISBLANK(MasterTable[[#This Row],[Total
Time]]))</f>
        <v>1</v>
      </c>
    </row>
    <row r="1231" spans="4:46" ht="28.8" x14ac:dyDescent="0.3">
      <c r="D1231" s="22">
        <v>41203</v>
      </c>
      <c r="E1231" s="8" t="s">
        <v>174</v>
      </c>
      <c r="F1231" s="8" t="s">
        <v>202</v>
      </c>
      <c r="G1231" s="8" t="s">
        <v>202</v>
      </c>
      <c r="I1231" s="10">
        <v>1.5</v>
      </c>
      <c r="J1231" s="10">
        <v>0</v>
      </c>
      <c r="L1231" s="10">
        <v>0</v>
      </c>
      <c r="M1231" s="13">
        <v>0</v>
      </c>
      <c r="N1231" s="13"/>
      <c r="O1231" s="10">
        <v>0</v>
      </c>
      <c r="P1231" s="10">
        <v>1.5</v>
      </c>
      <c r="Q1231" s="14">
        <v>0</v>
      </c>
      <c r="R1231" s="14">
        <v>0</v>
      </c>
      <c r="S1231" s="10">
        <v>0</v>
      </c>
      <c r="T1231" s="10">
        <v>0</v>
      </c>
      <c r="U1231" s="14">
        <v>0</v>
      </c>
      <c r="V1231" s="10"/>
      <c r="W1231" s="11">
        <v>6</v>
      </c>
      <c r="X1231" s="11">
        <v>6</v>
      </c>
      <c r="Y1231" s="11">
        <v>0</v>
      </c>
      <c r="Z1231" s="11">
        <v>0</v>
      </c>
      <c r="AA1231" s="11">
        <f>MasterTable[[#This Row],[Landings
Night]]+MasterTable[[#This Row],[Landings
Day]]</f>
        <v>6</v>
      </c>
      <c r="AC1231" s="10">
        <v>0.7</v>
      </c>
      <c r="AD1231" s="11">
        <v>0</v>
      </c>
      <c r="AE1231" s="21">
        <f>SUM(MasterTable[[#This Row],[ILS]:[PAR]])</f>
        <v>0</v>
      </c>
      <c r="AL1231" s="11"/>
      <c r="AR1231" s="140" t="str">
        <f>_xlfn.XLOOKUP(MasterTable[[#This Row],[Aircraft ID]],Aircraft!A:A,Aircraft!H:H)</f>
        <v>Airplane Single Engine Land</v>
      </c>
      <c r="AS1231" s="8" t="b">
        <f>OR((SUM(MasterTable[[#This Row],[ILS]:[PAR]]) = MasterTable[[#This Row],[APPR]]))</f>
        <v>1</v>
      </c>
      <c r="AT1231" s="8" t="b">
        <f>NOT(ISBLANK(MasterTable[[#This Row],[Total
Time]]))</f>
        <v>1</v>
      </c>
    </row>
    <row r="1232" spans="4:46" ht="28.8" x14ac:dyDescent="0.3">
      <c r="D1232" s="22">
        <v>41192</v>
      </c>
      <c r="E1232" s="8" t="s">
        <v>174</v>
      </c>
      <c r="F1232" s="8" t="s">
        <v>202</v>
      </c>
      <c r="G1232" s="8" t="s">
        <v>202</v>
      </c>
      <c r="I1232" s="10">
        <v>1.5</v>
      </c>
      <c r="J1232" s="10">
        <v>0</v>
      </c>
      <c r="L1232" s="10">
        <v>0</v>
      </c>
      <c r="M1232" s="13">
        <v>0</v>
      </c>
      <c r="N1232" s="13"/>
      <c r="O1232" s="10">
        <v>0</v>
      </c>
      <c r="P1232" s="10">
        <v>1.5</v>
      </c>
      <c r="Q1232" s="14">
        <v>0</v>
      </c>
      <c r="R1232" s="14">
        <v>0</v>
      </c>
      <c r="S1232" s="10">
        <v>0</v>
      </c>
      <c r="T1232" s="10">
        <v>0</v>
      </c>
      <c r="U1232" s="14">
        <v>0</v>
      </c>
      <c r="V1232" s="10"/>
      <c r="W1232" s="11">
        <v>7</v>
      </c>
      <c r="X1232" s="11">
        <v>7</v>
      </c>
      <c r="Y1232" s="11">
        <v>0</v>
      </c>
      <c r="Z1232" s="11">
        <v>0</v>
      </c>
      <c r="AA1232" s="11">
        <f>MasterTable[[#This Row],[Landings
Night]]+MasterTable[[#This Row],[Landings
Day]]</f>
        <v>7</v>
      </c>
      <c r="AB1232" s="10">
        <v>0</v>
      </c>
      <c r="AC1232" s="10">
        <v>0</v>
      </c>
      <c r="AD1232" s="11">
        <v>0</v>
      </c>
      <c r="AE1232" s="21">
        <f>SUM(MasterTable[[#This Row],[ILS]:[PAR]])</f>
        <v>0</v>
      </c>
      <c r="AL1232" s="11"/>
      <c r="AR1232" s="140" t="str">
        <f>_xlfn.XLOOKUP(MasterTable[[#This Row],[Aircraft ID]],Aircraft!A:A,Aircraft!H:H)</f>
        <v>Airplane Single Engine Land</v>
      </c>
      <c r="AS1232" s="8" t="b">
        <f>OR((SUM(MasterTable[[#This Row],[ILS]:[PAR]]) = MasterTable[[#This Row],[APPR]]))</f>
        <v>1</v>
      </c>
      <c r="AT1232" s="8" t="b">
        <f>NOT(ISBLANK(MasterTable[[#This Row],[Total
Time]]))</f>
        <v>1</v>
      </c>
    </row>
    <row r="1233" spans="4:46" ht="28.8" x14ac:dyDescent="0.3">
      <c r="D1233" s="22">
        <v>41187</v>
      </c>
      <c r="E1233" s="8" t="s">
        <v>174</v>
      </c>
      <c r="F1233" s="8" t="s">
        <v>202</v>
      </c>
      <c r="G1233" s="8" t="s">
        <v>219</v>
      </c>
      <c r="I1233" s="10">
        <v>2</v>
      </c>
      <c r="J1233" s="10">
        <v>0</v>
      </c>
      <c r="L1233" s="10">
        <v>0</v>
      </c>
      <c r="M1233" s="13">
        <v>0</v>
      </c>
      <c r="N1233" s="13"/>
      <c r="O1233" s="10">
        <v>0</v>
      </c>
      <c r="P1233" s="10">
        <v>2</v>
      </c>
      <c r="Q1233" s="14">
        <v>0</v>
      </c>
      <c r="R1233" s="14">
        <v>0</v>
      </c>
      <c r="S1233" s="10">
        <v>0</v>
      </c>
      <c r="T1233" s="10">
        <v>0</v>
      </c>
      <c r="U1233" s="14">
        <v>0</v>
      </c>
      <c r="V1233" s="10"/>
      <c r="W1233" s="11">
        <v>4</v>
      </c>
      <c r="X1233" s="11">
        <v>4</v>
      </c>
      <c r="Y1233" s="11">
        <v>0</v>
      </c>
      <c r="Z1233" s="11">
        <v>0</v>
      </c>
      <c r="AA1233" s="11">
        <f>MasterTable[[#This Row],[Landings
Night]]+MasterTable[[#This Row],[Landings
Day]]</f>
        <v>4</v>
      </c>
      <c r="AB1233" s="10">
        <v>0</v>
      </c>
      <c r="AC1233" s="10">
        <v>0</v>
      </c>
      <c r="AD1233" s="11">
        <v>0</v>
      </c>
      <c r="AE1233" s="21">
        <f>SUM(MasterTable[[#This Row],[ILS]:[PAR]])</f>
        <v>0</v>
      </c>
      <c r="AL1233" s="11"/>
      <c r="AR1233" s="140" t="str">
        <f>_xlfn.XLOOKUP(MasterTable[[#This Row],[Aircraft ID]],Aircraft!A:A,Aircraft!H:H)</f>
        <v>Airplane Single Engine Land</v>
      </c>
      <c r="AS1233" s="8" t="b">
        <f>OR((SUM(MasterTable[[#This Row],[ILS]:[PAR]]) = MasterTable[[#This Row],[APPR]]))</f>
        <v>1</v>
      </c>
      <c r="AT1233" s="8" t="b">
        <f>NOT(ISBLANK(MasterTable[[#This Row],[Total
Time]]))</f>
        <v>1</v>
      </c>
    </row>
    <row r="1234" spans="4:46" ht="28.8" x14ac:dyDescent="0.3">
      <c r="D1234" s="22">
        <v>41161</v>
      </c>
      <c r="E1234" s="8" t="s">
        <v>174</v>
      </c>
      <c r="F1234" s="8" t="s">
        <v>202</v>
      </c>
      <c r="G1234" s="8" t="s">
        <v>202</v>
      </c>
      <c r="I1234" s="10">
        <v>1.6</v>
      </c>
      <c r="J1234" s="10">
        <v>0</v>
      </c>
      <c r="L1234" s="10">
        <v>0</v>
      </c>
      <c r="M1234" s="13">
        <v>0</v>
      </c>
      <c r="N1234" s="13"/>
      <c r="O1234" s="10">
        <v>0</v>
      </c>
      <c r="P1234" s="10">
        <v>1.6</v>
      </c>
      <c r="Q1234" s="14">
        <v>0</v>
      </c>
      <c r="R1234" s="14">
        <v>0</v>
      </c>
      <c r="S1234" s="10">
        <v>0</v>
      </c>
      <c r="T1234" s="10">
        <v>0</v>
      </c>
      <c r="U1234" s="14">
        <v>0</v>
      </c>
      <c r="V1234" s="10"/>
      <c r="W1234" s="11">
        <v>10</v>
      </c>
      <c r="X1234" s="11">
        <v>10</v>
      </c>
      <c r="Y1234" s="11">
        <v>0</v>
      </c>
      <c r="Z1234" s="11">
        <v>0</v>
      </c>
      <c r="AA1234" s="11">
        <f>MasterTable[[#This Row],[Landings
Night]]+MasterTable[[#This Row],[Landings
Day]]</f>
        <v>10</v>
      </c>
      <c r="AB1234" s="10">
        <v>0</v>
      </c>
      <c r="AC1234" s="10">
        <v>0</v>
      </c>
      <c r="AD1234" s="11">
        <v>0</v>
      </c>
      <c r="AE1234" s="21">
        <f>SUM(MasterTable[[#This Row],[ILS]:[PAR]])</f>
        <v>0</v>
      </c>
      <c r="AL1234" s="11"/>
      <c r="AR1234" s="140" t="str">
        <f>_xlfn.XLOOKUP(MasterTable[[#This Row],[Aircraft ID]],Aircraft!A:A,Aircraft!H:H)</f>
        <v>Airplane Single Engine Land</v>
      </c>
      <c r="AS1234" s="8" t="b">
        <f>OR((SUM(MasterTable[[#This Row],[ILS]:[PAR]]) = MasterTable[[#This Row],[APPR]]))</f>
        <v>1</v>
      </c>
      <c r="AT1234" s="8" t="b">
        <f>NOT(ISBLANK(MasterTable[[#This Row],[Total
Time]]))</f>
        <v>1</v>
      </c>
    </row>
    <row r="1235" spans="4:46" ht="28.8" x14ac:dyDescent="0.3">
      <c r="D1235" s="22">
        <v>41133</v>
      </c>
      <c r="E1235" s="8" t="s">
        <v>37</v>
      </c>
      <c r="F1235" s="8" t="s">
        <v>249</v>
      </c>
      <c r="G1235" s="8" t="s">
        <v>202</v>
      </c>
      <c r="I1235" s="10">
        <v>0</v>
      </c>
      <c r="J1235" s="10">
        <v>0</v>
      </c>
      <c r="L1235" s="10">
        <v>0</v>
      </c>
      <c r="M1235" s="13">
        <v>0</v>
      </c>
      <c r="N1235" s="13"/>
      <c r="O1235" s="10">
        <v>0</v>
      </c>
      <c r="P1235" s="10">
        <v>0</v>
      </c>
      <c r="Q1235" s="14">
        <v>0</v>
      </c>
      <c r="R1235" s="14">
        <v>0</v>
      </c>
      <c r="S1235" s="10">
        <v>0</v>
      </c>
      <c r="T1235" s="10">
        <v>0</v>
      </c>
      <c r="U1235" s="14">
        <v>0</v>
      </c>
      <c r="V1235" s="10"/>
      <c r="W1235" s="11">
        <v>1</v>
      </c>
      <c r="X1235" s="11">
        <v>1</v>
      </c>
      <c r="Y1235" s="11">
        <v>0</v>
      </c>
      <c r="Z1235" s="11">
        <v>0</v>
      </c>
      <c r="AA1235" s="11">
        <f>MasterTable[[#This Row],[Landings
Night]]+MasterTable[[#This Row],[Landings
Day]]</f>
        <v>1</v>
      </c>
      <c r="AB1235" s="10">
        <v>0</v>
      </c>
      <c r="AC1235" s="10">
        <v>0</v>
      </c>
      <c r="AD1235" s="11">
        <v>0</v>
      </c>
      <c r="AE1235" s="21">
        <f>SUM(MasterTable[[#This Row],[ILS]:[PAR]])</f>
        <v>0</v>
      </c>
      <c r="AL1235" s="11"/>
      <c r="AR1235" s="140" t="str">
        <f>_xlfn.XLOOKUP(MasterTable[[#This Row],[Aircraft ID]],Aircraft!A:A,Aircraft!H:H)</f>
        <v>Airplane Multi Engine Land</v>
      </c>
      <c r="AS1235" s="8" t="b">
        <f>OR((SUM(MasterTable[[#This Row],[ILS]:[PAR]]) = MasterTable[[#This Row],[APPR]]))</f>
        <v>1</v>
      </c>
      <c r="AT1235" s="8" t="b">
        <f>NOT(ISBLANK(MasterTable[[#This Row],[Total
Time]]))</f>
        <v>1</v>
      </c>
    </row>
    <row r="1236" spans="4:46" ht="28.8" x14ac:dyDescent="0.3">
      <c r="D1236" s="22">
        <v>41133</v>
      </c>
      <c r="E1236" s="8" t="s">
        <v>37</v>
      </c>
      <c r="F1236" s="8" t="s">
        <v>370</v>
      </c>
      <c r="G1236" s="8" t="s">
        <v>249</v>
      </c>
      <c r="I1236" s="10">
        <v>0</v>
      </c>
      <c r="J1236" s="10">
        <v>0</v>
      </c>
      <c r="L1236" s="10">
        <v>0</v>
      </c>
      <c r="M1236" s="13">
        <v>0</v>
      </c>
      <c r="N1236" s="13"/>
      <c r="O1236" s="10">
        <v>0</v>
      </c>
      <c r="P1236" s="10">
        <v>0</v>
      </c>
      <c r="Q1236" s="14">
        <v>0</v>
      </c>
      <c r="R1236" s="14">
        <v>0</v>
      </c>
      <c r="S1236" s="10">
        <v>0</v>
      </c>
      <c r="T1236" s="10">
        <v>0</v>
      </c>
      <c r="U1236" s="14">
        <v>0</v>
      </c>
      <c r="V1236" s="10"/>
      <c r="W1236" s="11">
        <v>1</v>
      </c>
      <c r="X1236" s="11">
        <v>1</v>
      </c>
      <c r="Y1236" s="11">
        <v>0</v>
      </c>
      <c r="Z1236" s="11">
        <v>0</v>
      </c>
      <c r="AA1236" s="11">
        <f>MasterTable[[#This Row],[Landings
Night]]+MasterTable[[#This Row],[Landings
Day]]</f>
        <v>1</v>
      </c>
      <c r="AB1236" s="10">
        <v>0</v>
      </c>
      <c r="AC1236" s="10">
        <v>0</v>
      </c>
      <c r="AD1236" s="11">
        <v>0</v>
      </c>
      <c r="AE1236" s="21">
        <f>SUM(MasterTable[[#This Row],[ILS]:[PAR]])</f>
        <v>0</v>
      </c>
      <c r="AL1236" s="11"/>
      <c r="AR1236" s="140" t="str">
        <f>_xlfn.XLOOKUP(MasterTable[[#This Row],[Aircraft ID]],Aircraft!A:A,Aircraft!H:H)</f>
        <v>Airplane Multi Engine Land</v>
      </c>
      <c r="AS1236" s="8" t="b">
        <f>OR((SUM(MasterTable[[#This Row],[ILS]:[PAR]]) = MasterTable[[#This Row],[APPR]]))</f>
        <v>1</v>
      </c>
      <c r="AT1236" s="8" t="b">
        <f>NOT(ISBLANK(MasterTable[[#This Row],[Total
Time]]))</f>
        <v>1</v>
      </c>
    </row>
    <row r="1237" spans="4:46" ht="28.8" x14ac:dyDescent="0.3">
      <c r="D1237" s="22">
        <v>41133</v>
      </c>
      <c r="E1237" s="8" t="s">
        <v>37</v>
      </c>
      <c r="F1237" s="8" t="s">
        <v>202</v>
      </c>
      <c r="G1237" s="8" t="s">
        <v>370</v>
      </c>
      <c r="I1237" s="10">
        <v>0</v>
      </c>
      <c r="J1237" s="10">
        <v>0</v>
      </c>
      <c r="L1237" s="10">
        <v>0</v>
      </c>
      <c r="M1237" s="13">
        <v>0</v>
      </c>
      <c r="N1237" s="13"/>
      <c r="O1237" s="10">
        <v>0</v>
      </c>
      <c r="P1237" s="10">
        <v>0</v>
      </c>
      <c r="Q1237" s="14">
        <v>0</v>
      </c>
      <c r="R1237" s="14">
        <v>0</v>
      </c>
      <c r="S1237" s="10">
        <v>0</v>
      </c>
      <c r="T1237" s="10">
        <v>0</v>
      </c>
      <c r="U1237" s="14">
        <v>0</v>
      </c>
      <c r="V1237" s="10"/>
      <c r="W1237" s="11">
        <v>1</v>
      </c>
      <c r="X1237" s="11">
        <v>1</v>
      </c>
      <c r="Y1237" s="11">
        <v>0</v>
      </c>
      <c r="Z1237" s="11">
        <v>0</v>
      </c>
      <c r="AA1237" s="11">
        <f>MasterTable[[#This Row],[Landings
Night]]+MasterTable[[#This Row],[Landings
Day]]</f>
        <v>1</v>
      </c>
      <c r="AB1237" s="10">
        <v>0</v>
      </c>
      <c r="AC1237" s="10">
        <v>0</v>
      </c>
      <c r="AD1237" s="11">
        <v>0</v>
      </c>
      <c r="AE1237" s="21">
        <f>SUM(MasterTable[[#This Row],[ILS]:[PAR]])</f>
        <v>0</v>
      </c>
      <c r="AL1237" s="11"/>
      <c r="AR1237" s="140" t="str">
        <f>_xlfn.XLOOKUP(MasterTable[[#This Row],[Aircraft ID]],Aircraft!A:A,Aircraft!H:H)</f>
        <v>Airplane Multi Engine Land</v>
      </c>
      <c r="AS1237" s="8" t="b">
        <f>OR((SUM(MasterTable[[#This Row],[ILS]:[PAR]]) = MasterTable[[#This Row],[APPR]]))</f>
        <v>1</v>
      </c>
      <c r="AT1237" s="8" t="b">
        <f>NOT(ISBLANK(MasterTable[[#This Row],[Total
Time]]))</f>
        <v>1</v>
      </c>
    </row>
    <row r="1238" spans="4:46" ht="28.8" x14ac:dyDescent="0.3">
      <c r="D1238" s="22">
        <v>41087</v>
      </c>
      <c r="E1238" s="8" t="s">
        <v>37</v>
      </c>
      <c r="F1238" s="8" t="s">
        <v>371</v>
      </c>
      <c r="G1238" s="8" t="s">
        <v>202</v>
      </c>
      <c r="I1238" s="10">
        <v>0</v>
      </c>
      <c r="J1238" s="10">
        <v>0</v>
      </c>
      <c r="L1238" s="10">
        <v>0</v>
      </c>
      <c r="M1238" s="13">
        <v>0</v>
      </c>
      <c r="N1238" s="13"/>
      <c r="O1238" s="10">
        <v>0</v>
      </c>
      <c r="P1238" s="10">
        <v>0</v>
      </c>
      <c r="Q1238" s="14">
        <v>0</v>
      </c>
      <c r="R1238" s="14">
        <v>0</v>
      </c>
      <c r="S1238" s="10">
        <v>0</v>
      </c>
      <c r="T1238" s="10">
        <v>0</v>
      </c>
      <c r="U1238" s="14">
        <v>0</v>
      </c>
      <c r="V1238" s="10"/>
      <c r="W1238" s="11">
        <v>1</v>
      </c>
      <c r="X1238" s="11">
        <v>1</v>
      </c>
      <c r="Y1238" s="11">
        <v>0</v>
      </c>
      <c r="Z1238" s="11">
        <v>0</v>
      </c>
      <c r="AA1238" s="11">
        <f>MasterTable[[#This Row],[Landings
Night]]+MasterTable[[#This Row],[Landings
Day]]</f>
        <v>1</v>
      </c>
      <c r="AB1238" s="10">
        <v>0</v>
      </c>
      <c r="AC1238" s="10">
        <v>0</v>
      </c>
      <c r="AD1238" s="11">
        <v>0</v>
      </c>
      <c r="AE1238" s="21">
        <f>SUM(MasterTable[[#This Row],[ILS]:[PAR]])</f>
        <v>0</v>
      </c>
      <c r="AL1238" s="11"/>
      <c r="AR1238" s="140" t="str">
        <f>_xlfn.XLOOKUP(MasterTable[[#This Row],[Aircraft ID]],Aircraft!A:A,Aircraft!H:H)</f>
        <v>Airplane Multi Engine Land</v>
      </c>
      <c r="AS1238" s="8" t="b">
        <f>OR((SUM(MasterTable[[#This Row],[ILS]:[PAR]]) = MasterTable[[#This Row],[APPR]]))</f>
        <v>1</v>
      </c>
      <c r="AT1238" s="8" t="b">
        <f>NOT(ISBLANK(MasterTable[[#This Row],[Total
Time]]))</f>
        <v>1</v>
      </c>
    </row>
    <row r="1239" spans="4:46" ht="28.8" x14ac:dyDescent="0.3">
      <c r="D1239" s="22">
        <v>41087</v>
      </c>
      <c r="E1239" s="8" t="s">
        <v>37</v>
      </c>
      <c r="F1239" s="8" t="s">
        <v>372</v>
      </c>
      <c r="G1239" s="8" t="s">
        <v>371</v>
      </c>
      <c r="I1239" s="10">
        <v>0</v>
      </c>
      <c r="J1239" s="10">
        <v>0</v>
      </c>
      <c r="L1239" s="10">
        <v>0</v>
      </c>
      <c r="M1239" s="13">
        <v>0</v>
      </c>
      <c r="N1239" s="13"/>
      <c r="O1239" s="10">
        <v>0</v>
      </c>
      <c r="P1239" s="10">
        <v>0</v>
      </c>
      <c r="Q1239" s="14">
        <v>0</v>
      </c>
      <c r="R1239" s="14">
        <v>0</v>
      </c>
      <c r="S1239" s="10">
        <v>0</v>
      </c>
      <c r="T1239" s="10">
        <v>0</v>
      </c>
      <c r="U1239" s="14">
        <v>0</v>
      </c>
      <c r="V1239" s="10"/>
      <c r="W1239" s="11">
        <v>1</v>
      </c>
      <c r="X1239" s="11">
        <v>1</v>
      </c>
      <c r="Y1239" s="11">
        <v>0</v>
      </c>
      <c r="Z1239" s="11">
        <v>0</v>
      </c>
      <c r="AA1239" s="11">
        <f>MasterTable[[#This Row],[Landings
Night]]+MasterTable[[#This Row],[Landings
Day]]</f>
        <v>1</v>
      </c>
      <c r="AB1239" s="10">
        <v>0</v>
      </c>
      <c r="AC1239" s="10">
        <v>0</v>
      </c>
      <c r="AD1239" s="11">
        <v>0</v>
      </c>
      <c r="AE1239" s="21">
        <f>SUM(MasterTable[[#This Row],[ILS]:[PAR]])</f>
        <v>0</v>
      </c>
      <c r="AL1239" s="11"/>
      <c r="AR1239" s="140" t="str">
        <f>_xlfn.XLOOKUP(MasterTable[[#This Row],[Aircraft ID]],Aircraft!A:A,Aircraft!H:H)</f>
        <v>Airplane Multi Engine Land</v>
      </c>
      <c r="AS1239" s="8" t="b">
        <f>OR((SUM(MasterTable[[#This Row],[ILS]:[PAR]]) = MasterTable[[#This Row],[APPR]]))</f>
        <v>1</v>
      </c>
      <c r="AT1239" s="8" t="b">
        <f>NOT(ISBLANK(MasterTable[[#This Row],[Total
Time]]))</f>
        <v>1</v>
      </c>
    </row>
    <row r="1240" spans="4:46" ht="28.8" x14ac:dyDescent="0.3">
      <c r="D1240" s="22">
        <v>41086</v>
      </c>
      <c r="E1240" s="8" t="s">
        <v>37</v>
      </c>
      <c r="F1240" s="8" t="s">
        <v>202</v>
      </c>
      <c r="G1240" s="8" t="s">
        <v>372</v>
      </c>
      <c r="I1240" s="10">
        <v>0</v>
      </c>
      <c r="J1240" s="10">
        <v>0</v>
      </c>
      <c r="L1240" s="10">
        <v>0</v>
      </c>
      <c r="M1240" s="13">
        <v>0</v>
      </c>
      <c r="N1240" s="13"/>
      <c r="O1240" s="10">
        <v>0</v>
      </c>
      <c r="P1240" s="10">
        <v>0</v>
      </c>
      <c r="Q1240" s="14">
        <v>0</v>
      </c>
      <c r="R1240" s="14">
        <v>0</v>
      </c>
      <c r="S1240" s="10">
        <v>0</v>
      </c>
      <c r="T1240" s="10">
        <v>0</v>
      </c>
      <c r="U1240" s="14">
        <v>0</v>
      </c>
      <c r="V1240" s="10"/>
      <c r="W1240" s="11">
        <v>1</v>
      </c>
      <c r="X1240" s="11">
        <v>1</v>
      </c>
      <c r="Y1240" s="11">
        <v>0</v>
      </c>
      <c r="Z1240" s="11">
        <v>0</v>
      </c>
      <c r="AA1240" s="11">
        <f>MasterTable[[#This Row],[Landings
Night]]+MasterTable[[#This Row],[Landings
Day]]</f>
        <v>1</v>
      </c>
      <c r="AB1240" s="10">
        <v>0</v>
      </c>
      <c r="AC1240" s="10">
        <v>0</v>
      </c>
      <c r="AD1240" s="11">
        <v>0</v>
      </c>
      <c r="AE1240" s="21">
        <f>SUM(MasterTable[[#This Row],[ILS]:[PAR]])</f>
        <v>0</v>
      </c>
      <c r="AL1240" s="11"/>
      <c r="AR1240" s="140" t="str">
        <f>_xlfn.XLOOKUP(MasterTable[[#This Row],[Aircraft ID]],Aircraft!A:A,Aircraft!H:H)</f>
        <v>Airplane Multi Engine Land</v>
      </c>
      <c r="AS1240" s="8" t="b">
        <f>OR((SUM(MasterTable[[#This Row],[ILS]:[PAR]]) = MasterTable[[#This Row],[APPR]]))</f>
        <v>1</v>
      </c>
      <c r="AT1240" s="8" t="b">
        <f>NOT(ISBLANK(MasterTable[[#This Row],[Total
Time]]))</f>
        <v>1</v>
      </c>
    </row>
    <row r="1241" spans="4:46" ht="28.8" x14ac:dyDescent="0.3">
      <c r="D1241" s="22">
        <v>41035</v>
      </c>
      <c r="E1241" s="8" t="s">
        <v>37</v>
      </c>
      <c r="F1241" s="8" t="s">
        <v>202</v>
      </c>
      <c r="G1241" s="8" t="s">
        <v>362</v>
      </c>
      <c r="I1241" s="10">
        <v>0</v>
      </c>
      <c r="J1241" s="10">
        <v>0</v>
      </c>
      <c r="L1241" s="10">
        <v>0</v>
      </c>
      <c r="M1241" s="13">
        <v>0</v>
      </c>
      <c r="N1241" s="13"/>
      <c r="O1241" s="10">
        <v>0</v>
      </c>
      <c r="P1241" s="10">
        <v>0</v>
      </c>
      <c r="Q1241" s="14">
        <v>0</v>
      </c>
      <c r="R1241" s="14">
        <v>0</v>
      </c>
      <c r="S1241" s="10">
        <v>0</v>
      </c>
      <c r="T1241" s="10">
        <v>0</v>
      </c>
      <c r="U1241" s="14">
        <v>0</v>
      </c>
      <c r="V1241" s="10"/>
      <c r="W1241" s="11">
        <v>1</v>
      </c>
      <c r="X1241" s="11">
        <v>1</v>
      </c>
      <c r="Y1241" s="11">
        <v>0</v>
      </c>
      <c r="Z1241" s="11">
        <v>0</v>
      </c>
      <c r="AA1241" s="11">
        <f>MasterTable[[#This Row],[Landings
Night]]+MasterTable[[#This Row],[Landings
Day]]</f>
        <v>1</v>
      </c>
      <c r="AB1241" s="10">
        <v>0</v>
      </c>
      <c r="AC1241" s="10">
        <v>0</v>
      </c>
      <c r="AD1241" s="11">
        <v>0</v>
      </c>
      <c r="AE1241" s="21">
        <f>SUM(MasterTable[[#This Row],[ILS]:[PAR]])</f>
        <v>0</v>
      </c>
      <c r="AL1241" s="11"/>
      <c r="AR1241" s="140" t="str">
        <f>_xlfn.XLOOKUP(MasterTable[[#This Row],[Aircraft ID]],Aircraft!A:A,Aircraft!H:H)</f>
        <v>Airplane Multi Engine Land</v>
      </c>
      <c r="AS1241" s="8" t="b">
        <f>OR((SUM(MasterTable[[#This Row],[ILS]:[PAR]]) = MasterTable[[#This Row],[APPR]]))</f>
        <v>1</v>
      </c>
      <c r="AT1241" s="8" t="b">
        <f>NOT(ISBLANK(MasterTable[[#This Row],[Total
Time]]))</f>
        <v>1</v>
      </c>
    </row>
    <row r="1242" spans="4:46" ht="28.8" x14ac:dyDescent="0.3">
      <c r="D1242" s="22">
        <v>41005</v>
      </c>
      <c r="E1242" s="8" t="s">
        <v>174</v>
      </c>
      <c r="F1242" s="8" t="s">
        <v>202</v>
      </c>
      <c r="G1242" s="8" t="s">
        <v>202</v>
      </c>
      <c r="I1242" s="10">
        <v>0.8</v>
      </c>
      <c r="J1242" s="10">
        <v>0</v>
      </c>
      <c r="L1242" s="10">
        <v>0</v>
      </c>
      <c r="M1242" s="13">
        <v>0</v>
      </c>
      <c r="N1242" s="13"/>
      <c r="O1242" s="10">
        <v>0</v>
      </c>
      <c r="P1242" s="10">
        <v>0.8</v>
      </c>
      <c r="Q1242" s="14">
        <v>0</v>
      </c>
      <c r="R1242" s="14">
        <v>0</v>
      </c>
      <c r="S1242" s="10">
        <v>0</v>
      </c>
      <c r="T1242" s="10">
        <v>0</v>
      </c>
      <c r="U1242" s="14">
        <v>0</v>
      </c>
      <c r="V1242" s="10"/>
      <c r="W1242" s="11">
        <v>4</v>
      </c>
      <c r="X1242" s="11">
        <v>4</v>
      </c>
      <c r="Y1242" s="11">
        <v>0</v>
      </c>
      <c r="Z1242" s="11">
        <v>0</v>
      </c>
      <c r="AA1242" s="11">
        <f>MasterTable[[#This Row],[Landings
Night]]+MasterTable[[#This Row],[Landings
Day]]</f>
        <v>4</v>
      </c>
      <c r="AB1242" s="10">
        <v>0</v>
      </c>
      <c r="AC1242" s="10">
        <v>0</v>
      </c>
      <c r="AD1242" s="11">
        <v>0</v>
      </c>
      <c r="AE1242" s="21">
        <f>SUM(MasterTable[[#This Row],[ILS]:[PAR]])</f>
        <v>0</v>
      </c>
      <c r="AL1242" s="11"/>
      <c r="AR1242" s="140" t="str">
        <f>_xlfn.XLOOKUP(MasterTable[[#This Row],[Aircraft ID]],Aircraft!A:A,Aircraft!H:H)</f>
        <v>Airplane Single Engine Land</v>
      </c>
      <c r="AS1242" s="8" t="b">
        <f>OR((SUM(MasterTable[[#This Row],[ILS]:[PAR]]) = MasterTable[[#This Row],[APPR]]))</f>
        <v>1</v>
      </c>
      <c r="AT1242" s="8" t="b">
        <f>NOT(ISBLANK(MasterTable[[#This Row],[Total
Time]]))</f>
        <v>1</v>
      </c>
    </row>
    <row r="1243" spans="4:46" ht="28.8" x14ac:dyDescent="0.3">
      <c r="D1243" s="22">
        <v>41004</v>
      </c>
      <c r="E1243" s="8" t="s">
        <v>174</v>
      </c>
      <c r="F1243" s="8" t="s">
        <v>202</v>
      </c>
      <c r="G1243" s="8" t="s">
        <v>202</v>
      </c>
      <c r="I1243" s="10">
        <v>1.2</v>
      </c>
      <c r="J1243" s="10">
        <v>0</v>
      </c>
      <c r="L1243" s="10">
        <v>0</v>
      </c>
      <c r="M1243" s="13">
        <v>0</v>
      </c>
      <c r="N1243" s="13"/>
      <c r="O1243" s="10">
        <v>0</v>
      </c>
      <c r="P1243" s="10">
        <v>1.2</v>
      </c>
      <c r="Q1243" s="14">
        <v>0</v>
      </c>
      <c r="R1243" s="14">
        <v>0</v>
      </c>
      <c r="S1243" s="10">
        <v>0</v>
      </c>
      <c r="T1243" s="10">
        <v>0</v>
      </c>
      <c r="U1243" s="14">
        <v>0</v>
      </c>
      <c r="V1243" s="10"/>
      <c r="W1243" s="11">
        <v>7</v>
      </c>
      <c r="X1243" s="11">
        <v>7</v>
      </c>
      <c r="Y1243" s="11">
        <v>0</v>
      </c>
      <c r="Z1243" s="11">
        <v>0</v>
      </c>
      <c r="AA1243" s="11">
        <f>MasterTable[[#This Row],[Landings
Night]]+MasterTable[[#This Row],[Landings
Day]]</f>
        <v>7</v>
      </c>
      <c r="AB1243" s="10">
        <v>0</v>
      </c>
      <c r="AC1243" s="10">
        <v>0</v>
      </c>
      <c r="AD1243" s="11">
        <v>0</v>
      </c>
      <c r="AE1243" s="21">
        <f>SUM(MasterTable[[#This Row],[ILS]:[PAR]])</f>
        <v>0</v>
      </c>
      <c r="AL1243" s="11"/>
      <c r="AR1243" s="140" t="str">
        <f>_xlfn.XLOOKUP(MasterTable[[#This Row],[Aircraft ID]],Aircraft!A:A,Aircraft!H:H)</f>
        <v>Airplane Single Engine Land</v>
      </c>
      <c r="AS1243" s="8" t="b">
        <f>OR((SUM(MasterTable[[#This Row],[ILS]:[PAR]]) = MasterTable[[#This Row],[APPR]]))</f>
        <v>1</v>
      </c>
      <c r="AT1243" s="8" t="b">
        <f>NOT(ISBLANK(MasterTable[[#This Row],[Total
Time]]))</f>
        <v>1</v>
      </c>
    </row>
    <row r="1244" spans="4:46" ht="28.8" x14ac:dyDescent="0.3">
      <c r="D1244" s="22">
        <v>41001</v>
      </c>
      <c r="E1244" s="8" t="s">
        <v>174</v>
      </c>
      <c r="F1244" s="8" t="s">
        <v>202</v>
      </c>
      <c r="G1244" s="8" t="s">
        <v>265</v>
      </c>
      <c r="I1244" s="10">
        <v>1.4</v>
      </c>
      <c r="J1244" s="10">
        <v>0</v>
      </c>
      <c r="L1244" s="10">
        <v>0</v>
      </c>
      <c r="M1244" s="13">
        <v>0</v>
      </c>
      <c r="N1244" s="13"/>
      <c r="O1244" s="10">
        <v>0</v>
      </c>
      <c r="P1244" s="10">
        <v>1.4</v>
      </c>
      <c r="Q1244" s="14">
        <v>0</v>
      </c>
      <c r="R1244" s="14">
        <v>0</v>
      </c>
      <c r="S1244" s="10">
        <v>0</v>
      </c>
      <c r="T1244" s="10">
        <v>0</v>
      </c>
      <c r="U1244" s="14">
        <v>0</v>
      </c>
      <c r="V1244" s="10"/>
      <c r="W1244" s="11">
        <v>5</v>
      </c>
      <c r="X1244" s="11">
        <v>5</v>
      </c>
      <c r="Y1244" s="11">
        <v>0</v>
      </c>
      <c r="Z1244" s="11">
        <v>0</v>
      </c>
      <c r="AA1244" s="11">
        <f>MasterTable[[#This Row],[Landings
Night]]+MasterTable[[#This Row],[Landings
Day]]</f>
        <v>5</v>
      </c>
      <c r="AB1244" s="10">
        <v>0</v>
      </c>
      <c r="AC1244" s="10">
        <v>0</v>
      </c>
      <c r="AD1244" s="11">
        <v>0</v>
      </c>
      <c r="AE1244" s="21">
        <f>SUM(MasterTable[[#This Row],[ILS]:[PAR]])</f>
        <v>0</v>
      </c>
      <c r="AL1244" s="11"/>
      <c r="AR1244" s="140" t="str">
        <f>_xlfn.XLOOKUP(MasterTable[[#This Row],[Aircraft ID]],Aircraft!A:A,Aircraft!H:H)</f>
        <v>Airplane Single Engine Land</v>
      </c>
      <c r="AS1244" s="8" t="b">
        <f>OR((SUM(MasterTable[[#This Row],[ILS]:[PAR]]) = MasterTable[[#This Row],[APPR]]))</f>
        <v>1</v>
      </c>
      <c r="AT1244" s="8" t="b">
        <f>NOT(ISBLANK(MasterTable[[#This Row],[Total
Time]]))</f>
        <v>1</v>
      </c>
    </row>
    <row r="1245" spans="4:46" ht="28.8" x14ac:dyDescent="0.3">
      <c r="D1245" s="22">
        <v>40955</v>
      </c>
      <c r="E1245" s="8" t="s">
        <v>174</v>
      </c>
      <c r="F1245" s="8" t="s">
        <v>202</v>
      </c>
      <c r="G1245" s="8" t="s">
        <v>202</v>
      </c>
      <c r="I1245" s="10">
        <v>0.2</v>
      </c>
      <c r="J1245" s="10">
        <v>0</v>
      </c>
      <c r="L1245" s="10">
        <v>0</v>
      </c>
      <c r="M1245" s="13">
        <v>0</v>
      </c>
      <c r="N1245" s="13"/>
      <c r="O1245" s="10">
        <v>0</v>
      </c>
      <c r="P1245" s="10">
        <v>0.2</v>
      </c>
      <c r="Q1245" s="14">
        <v>0</v>
      </c>
      <c r="R1245" s="14">
        <v>0</v>
      </c>
      <c r="S1245" s="10">
        <v>0</v>
      </c>
      <c r="T1245" s="10">
        <v>0</v>
      </c>
      <c r="U1245" s="14">
        <v>0</v>
      </c>
      <c r="V1245" s="10"/>
      <c r="W1245" s="11">
        <v>3</v>
      </c>
      <c r="X1245" s="11">
        <v>3</v>
      </c>
      <c r="Y1245" s="11">
        <v>0</v>
      </c>
      <c r="Z1245" s="11">
        <v>0</v>
      </c>
      <c r="AA1245" s="11">
        <f>MasterTable[[#This Row],[Landings
Night]]+MasterTable[[#This Row],[Landings
Day]]</f>
        <v>3</v>
      </c>
      <c r="AB1245" s="10">
        <v>0</v>
      </c>
      <c r="AC1245" s="10">
        <v>0</v>
      </c>
      <c r="AD1245" s="11">
        <v>0</v>
      </c>
      <c r="AE1245" s="21">
        <f>SUM(MasterTable[[#This Row],[ILS]:[PAR]])</f>
        <v>0</v>
      </c>
      <c r="AL1245" s="11"/>
      <c r="AR1245" s="140" t="str">
        <f>_xlfn.XLOOKUP(MasterTable[[#This Row],[Aircraft ID]],Aircraft!A:A,Aircraft!H:H)</f>
        <v>Airplane Single Engine Land</v>
      </c>
      <c r="AS1245" s="8" t="b">
        <f>OR((SUM(MasterTable[[#This Row],[ILS]:[PAR]]) = MasterTable[[#This Row],[APPR]]))</f>
        <v>1</v>
      </c>
      <c r="AT1245" s="8" t="b">
        <f>NOT(ISBLANK(MasterTable[[#This Row],[Total
Time]]))</f>
        <v>1</v>
      </c>
    </row>
    <row r="1246" spans="4:46" ht="28.8" x14ac:dyDescent="0.3">
      <c r="D1246" s="22">
        <v>40943</v>
      </c>
      <c r="E1246" s="8" t="s">
        <v>174</v>
      </c>
      <c r="F1246" s="8" t="s">
        <v>202</v>
      </c>
      <c r="G1246" s="8" t="s">
        <v>202</v>
      </c>
      <c r="I1246" s="10">
        <v>1</v>
      </c>
      <c r="J1246" s="10">
        <v>0</v>
      </c>
      <c r="L1246" s="10">
        <v>0</v>
      </c>
      <c r="M1246" s="13">
        <v>0</v>
      </c>
      <c r="N1246" s="13"/>
      <c r="O1246" s="10">
        <v>0</v>
      </c>
      <c r="P1246" s="10">
        <v>1</v>
      </c>
      <c r="Q1246" s="14">
        <v>0</v>
      </c>
      <c r="R1246" s="14">
        <v>0</v>
      </c>
      <c r="S1246" s="10">
        <v>0</v>
      </c>
      <c r="T1246" s="10">
        <v>0</v>
      </c>
      <c r="U1246" s="14">
        <v>0</v>
      </c>
      <c r="V1246" s="10"/>
      <c r="W1246" s="11">
        <v>4</v>
      </c>
      <c r="X1246" s="11">
        <v>4</v>
      </c>
      <c r="Y1246" s="11">
        <v>0</v>
      </c>
      <c r="Z1246" s="11">
        <v>0</v>
      </c>
      <c r="AA1246" s="11">
        <f>MasterTable[[#This Row],[Landings
Night]]+MasterTable[[#This Row],[Landings
Day]]</f>
        <v>4</v>
      </c>
      <c r="AB1246" s="10">
        <v>0</v>
      </c>
      <c r="AC1246" s="10">
        <v>0</v>
      </c>
      <c r="AD1246" s="11">
        <v>0</v>
      </c>
      <c r="AE1246" s="21">
        <f>SUM(MasterTable[[#This Row],[ILS]:[PAR]])</f>
        <v>0</v>
      </c>
      <c r="AL1246" s="11"/>
      <c r="AR1246" s="140" t="str">
        <f>_xlfn.XLOOKUP(MasterTable[[#This Row],[Aircraft ID]],Aircraft!A:A,Aircraft!H:H)</f>
        <v>Airplane Single Engine Land</v>
      </c>
      <c r="AS1246" s="8" t="b">
        <f>OR((SUM(MasterTable[[#This Row],[ILS]:[PAR]]) = MasterTable[[#This Row],[APPR]]))</f>
        <v>1</v>
      </c>
      <c r="AT1246" s="8" t="b">
        <f>NOT(ISBLANK(MasterTable[[#This Row],[Total
Time]]))</f>
        <v>1</v>
      </c>
    </row>
    <row r="1247" spans="4:46" ht="28.8" x14ac:dyDescent="0.3">
      <c r="D1247" s="22">
        <v>40905</v>
      </c>
      <c r="E1247" s="8" t="s">
        <v>37</v>
      </c>
      <c r="F1247" s="8" t="s">
        <v>202</v>
      </c>
      <c r="G1247" s="8" t="s">
        <v>289</v>
      </c>
      <c r="I1247" s="10">
        <v>0</v>
      </c>
      <c r="J1247" s="10">
        <v>0</v>
      </c>
      <c r="L1247" s="10">
        <v>0</v>
      </c>
      <c r="M1247" s="13">
        <v>0</v>
      </c>
      <c r="N1247" s="13"/>
      <c r="O1247" s="10">
        <v>0</v>
      </c>
      <c r="P1247" s="10">
        <v>0</v>
      </c>
      <c r="Q1247" s="14">
        <v>0</v>
      </c>
      <c r="R1247" s="14">
        <v>0</v>
      </c>
      <c r="S1247" s="10">
        <v>0</v>
      </c>
      <c r="T1247" s="10">
        <v>0</v>
      </c>
      <c r="U1247" s="14">
        <v>0</v>
      </c>
      <c r="V1247" s="10"/>
      <c r="W1247" s="11">
        <v>1</v>
      </c>
      <c r="X1247" s="11">
        <v>1</v>
      </c>
      <c r="Y1247" s="11">
        <v>0</v>
      </c>
      <c r="Z1247" s="11">
        <v>0</v>
      </c>
      <c r="AA1247" s="11">
        <f>MasterTable[[#This Row],[Landings
Night]]+MasterTable[[#This Row],[Landings
Day]]</f>
        <v>1</v>
      </c>
      <c r="AB1247" s="10">
        <v>0</v>
      </c>
      <c r="AC1247" s="10">
        <v>0</v>
      </c>
      <c r="AD1247" s="11">
        <v>0</v>
      </c>
      <c r="AE1247" s="21">
        <f>SUM(MasterTable[[#This Row],[ILS]:[PAR]])</f>
        <v>0</v>
      </c>
      <c r="AL1247" s="11"/>
      <c r="AR1247" s="140" t="str">
        <f>_xlfn.XLOOKUP(MasterTable[[#This Row],[Aircraft ID]],Aircraft!A:A,Aircraft!H:H)</f>
        <v>Airplane Multi Engine Land</v>
      </c>
      <c r="AS1247" s="8" t="b">
        <f>OR((SUM(MasterTable[[#This Row],[ILS]:[PAR]]) = MasterTable[[#This Row],[APPR]]))</f>
        <v>1</v>
      </c>
      <c r="AT1247" s="8" t="b">
        <f>NOT(ISBLANK(MasterTable[[#This Row],[Total
Time]]))</f>
        <v>1</v>
      </c>
    </row>
    <row r="1248" spans="4:46" ht="28.8" x14ac:dyDescent="0.3">
      <c r="D1248" s="22">
        <v>40869</v>
      </c>
      <c r="E1248" s="8" t="s">
        <v>174</v>
      </c>
      <c r="F1248" s="8" t="s">
        <v>202</v>
      </c>
      <c r="G1248" s="8" t="s">
        <v>202</v>
      </c>
      <c r="I1248" s="10">
        <v>1.3</v>
      </c>
      <c r="J1248" s="10">
        <v>0</v>
      </c>
      <c r="L1248" s="10">
        <v>0</v>
      </c>
      <c r="M1248" s="13">
        <v>0</v>
      </c>
      <c r="N1248" s="13"/>
      <c r="O1248" s="10">
        <v>0</v>
      </c>
      <c r="P1248" s="10">
        <v>1.3</v>
      </c>
      <c r="Q1248" s="14">
        <v>0</v>
      </c>
      <c r="R1248" s="14">
        <v>0</v>
      </c>
      <c r="S1248" s="10">
        <v>0</v>
      </c>
      <c r="T1248" s="10">
        <v>0</v>
      </c>
      <c r="U1248" s="14">
        <v>0</v>
      </c>
      <c r="V1248" s="10"/>
      <c r="W1248" s="11">
        <v>8</v>
      </c>
      <c r="X1248" s="11">
        <v>8</v>
      </c>
      <c r="Y1248" s="11">
        <v>0</v>
      </c>
      <c r="Z1248" s="11">
        <v>0</v>
      </c>
      <c r="AA1248" s="11">
        <f>MasterTable[[#This Row],[Landings
Night]]+MasterTable[[#This Row],[Landings
Day]]</f>
        <v>8</v>
      </c>
      <c r="AB1248" s="10">
        <v>0</v>
      </c>
      <c r="AC1248" s="10">
        <v>0</v>
      </c>
      <c r="AD1248" s="11">
        <v>0</v>
      </c>
      <c r="AE1248" s="21">
        <f>SUM(MasterTable[[#This Row],[ILS]:[PAR]])</f>
        <v>0</v>
      </c>
      <c r="AL1248" s="11"/>
      <c r="AR1248" s="140" t="str">
        <f>_xlfn.XLOOKUP(MasterTable[[#This Row],[Aircraft ID]],Aircraft!A:A,Aircraft!H:H)</f>
        <v>Airplane Single Engine Land</v>
      </c>
      <c r="AS1248" s="8" t="b">
        <f>OR((SUM(MasterTable[[#This Row],[ILS]:[PAR]]) = MasterTable[[#This Row],[APPR]]))</f>
        <v>1</v>
      </c>
      <c r="AT1248" s="8" t="b">
        <f>NOT(ISBLANK(MasterTable[[#This Row],[Total
Time]]))</f>
        <v>1</v>
      </c>
    </row>
    <row r="1249" spans="4:46" ht="28.8" x14ac:dyDescent="0.3">
      <c r="D1249" s="22">
        <v>40773</v>
      </c>
      <c r="E1249" s="8" t="s">
        <v>37</v>
      </c>
      <c r="F1249" s="8" t="s">
        <v>202</v>
      </c>
      <c r="G1249" s="8" t="s">
        <v>270</v>
      </c>
      <c r="I1249" s="10">
        <v>0</v>
      </c>
      <c r="J1249" s="10">
        <v>0</v>
      </c>
      <c r="L1249" s="10">
        <v>0</v>
      </c>
      <c r="M1249" s="13">
        <v>0</v>
      </c>
      <c r="N1249" s="13"/>
      <c r="O1249" s="10">
        <v>0</v>
      </c>
      <c r="P1249" s="10">
        <v>0</v>
      </c>
      <c r="Q1249" s="14">
        <v>0</v>
      </c>
      <c r="R1249" s="14">
        <v>0</v>
      </c>
      <c r="S1249" s="10">
        <v>0</v>
      </c>
      <c r="T1249" s="10">
        <v>0</v>
      </c>
      <c r="U1249" s="14">
        <v>0</v>
      </c>
      <c r="V1249" s="10"/>
      <c r="W1249" s="11">
        <v>2</v>
      </c>
      <c r="X1249" s="11">
        <v>2</v>
      </c>
      <c r="Y1249" s="11">
        <v>0</v>
      </c>
      <c r="Z1249" s="11">
        <v>0</v>
      </c>
      <c r="AA1249" s="11">
        <f>MasterTable[[#This Row],[Landings
Night]]+MasterTable[[#This Row],[Landings
Day]]</f>
        <v>2</v>
      </c>
      <c r="AB1249" s="10">
        <v>0</v>
      </c>
      <c r="AC1249" s="10">
        <v>0</v>
      </c>
      <c r="AD1249" s="11">
        <v>0</v>
      </c>
      <c r="AE1249" s="21">
        <f>SUM(MasterTable[[#This Row],[ILS]:[PAR]])</f>
        <v>1</v>
      </c>
      <c r="AI1249" s="11">
        <v>1</v>
      </c>
      <c r="AL1249" s="11"/>
      <c r="AR1249" s="140" t="str">
        <f>_xlfn.XLOOKUP(MasterTable[[#This Row],[Aircraft ID]],Aircraft!A:A,Aircraft!H:H)</f>
        <v>Airplane Multi Engine Land</v>
      </c>
      <c r="AS1249" s="8" t="b">
        <f>OR((SUM(MasterTable[[#This Row],[ILS]:[PAR]]) = MasterTable[[#This Row],[APPR]]))</f>
        <v>1</v>
      </c>
      <c r="AT1249" s="8" t="b">
        <f>NOT(ISBLANK(MasterTable[[#This Row],[Total
Time]]))</f>
        <v>1</v>
      </c>
    </row>
    <row r="1250" spans="4:46" ht="28.8" x14ac:dyDescent="0.3">
      <c r="D1250" s="22">
        <v>40739</v>
      </c>
      <c r="E1250" s="8" t="s">
        <v>37</v>
      </c>
      <c r="F1250" s="8" t="s">
        <v>202</v>
      </c>
      <c r="G1250" s="8" t="s">
        <v>351</v>
      </c>
      <c r="I1250" s="10">
        <v>0</v>
      </c>
      <c r="J1250" s="10">
        <v>0</v>
      </c>
      <c r="L1250" s="10">
        <v>0</v>
      </c>
      <c r="M1250" s="13">
        <v>0</v>
      </c>
      <c r="N1250" s="13"/>
      <c r="O1250" s="10">
        <v>0</v>
      </c>
      <c r="P1250" s="10">
        <v>0</v>
      </c>
      <c r="Q1250" s="14">
        <v>0</v>
      </c>
      <c r="R1250" s="14">
        <v>0</v>
      </c>
      <c r="S1250" s="10">
        <v>0</v>
      </c>
      <c r="T1250" s="10">
        <v>0</v>
      </c>
      <c r="U1250" s="14">
        <v>0</v>
      </c>
      <c r="V1250" s="10"/>
      <c r="W1250" s="11">
        <v>3</v>
      </c>
      <c r="X1250" s="11">
        <v>3</v>
      </c>
      <c r="Y1250" s="11">
        <v>0</v>
      </c>
      <c r="Z1250" s="11">
        <v>0</v>
      </c>
      <c r="AA1250" s="11">
        <f>MasterTable[[#This Row],[Landings
Night]]+MasterTable[[#This Row],[Landings
Day]]</f>
        <v>3</v>
      </c>
      <c r="AB1250" s="10">
        <v>0</v>
      </c>
      <c r="AC1250" s="10">
        <v>0</v>
      </c>
      <c r="AD1250" s="11">
        <v>0</v>
      </c>
      <c r="AE1250" s="21">
        <f>SUM(MasterTable[[#This Row],[ILS]:[PAR]])</f>
        <v>0</v>
      </c>
      <c r="AL1250" s="11"/>
      <c r="AR1250" s="140" t="str">
        <f>_xlfn.XLOOKUP(MasterTable[[#This Row],[Aircraft ID]],Aircraft!A:A,Aircraft!H:H)</f>
        <v>Airplane Multi Engine Land</v>
      </c>
      <c r="AS1250" s="8" t="b">
        <f>OR((SUM(MasterTable[[#This Row],[ILS]:[PAR]]) = MasterTable[[#This Row],[APPR]]))</f>
        <v>1</v>
      </c>
      <c r="AT1250" s="8" t="b">
        <f>NOT(ISBLANK(MasterTable[[#This Row],[Total
Time]]))</f>
        <v>1</v>
      </c>
    </row>
    <row r="1251" spans="4:46" ht="28.8" x14ac:dyDescent="0.3">
      <c r="D1251" s="22">
        <v>40710</v>
      </c>
      <c r="E1251" s="8" t="s">
        <v>174</v>
      </c>
      <c r="F1251" s="8" t="s">
        <v>202</v>
      </c>
      <c r="G1251" s="8" t="s">
        <v>202</v>
      </c>
      <c r="I1251" s="10">
        <v>0.7</v>
      </c>
      <c r="J1251" s="10">
        <v>0</v>
      </c>
      <c r="L1251" s="10">
        <v>0</v>
      </c>
      <c r="M1251" s="13">
        <v>0</v>
      </c>
      <c r="N1251" s="13"/>
      <c r="O1251" s="10">
        <v>0</v>
      </c>
      <c r="P1251" s="10">
        <v>0.7</v>
      </c>
      <c r="Q1251" s="14">
        <v>0</v>
      </c>
      <c r="R1251" s="14">
        <v>0</v>
      </c>
      <c r="S1251" s="10">
        <v>0</v>
      </c>
      <c r="T1251" s="10">
        <v>0</v>
      </c>
      <c r="U1251" s="14">
        <v>0</v>
      </c>
      <c r="V1251" s="10"/>
      <c r="W1251" s="11">
        <v>1</v>
      </c>
      <c r="X1251" s="11">
        <v>1</v>
      </c>
      <c r="Y1251" s="11">
        <v>0</v>
      </c>
      <c r="Z1251" s="11">
        <v>0</v>
      </c>
      <c r="AA1251" s="11">
        <f>MasterTable[[#This Row],[Landings
Night]]+MasterTable[[#This Row],[Landings
Day]]</f>
        <v>1</v>
      </c>
      <c r="AB1251" s="10">
        <v>0</v>
      </c>
      <c r="AC1251" s="10">
        <v>0</v>
      </c>
      <c r="AD1251" s="11">
        <v>0</v>
      </c>
      <c r="AE1251" s="21">
        <f>SUM(MasterTable[[#This Row],[ILS]:[PAR]])</f>
        <v>0</v>
      </c>
      <c r="AL1251" s="11"/>
      <c r="AR1251" s="140" t="str">
        <f>_xlfn.XLOOKUP(MasterTable[[#This Row],[Aircraft ID]],Aircraft!A:A,Aircraft!H:H)</f>
        <v>Airplane Single Engine Land</v>
      </c>
      <c r="AS1251" s="8" t="b">
        <f>OR((SUM(MasterTable[[#This Row],[ILS]:[PAR]]) = MasterTable[[#This Row],[APPR]]))</f>
        <v>1</v>
      </c>
      <c r="AT1251" s="8" t="b">
        <f>NOT(ISBLANK(MasterTable[[#This Row],[Total
Time]]))</f>
        <v>1</v>
      </c>
    </row>
    <row r="1252" spans="4:46" ht="28.8" x14ac:dyDescent="0.3">
      <c r="D1252" s="22">
        <v>40595</v>
      </c>
      <c r="E1252" s="8" t="s">
        <v>37</v>
      </c>
      <c r="F1252" s="8" t="s">
        <v>202</v>
      </c>
      <c r="G1252" s="8" t="s">
        <v>289</v>
      </c>
      <c r="I1252" s="10">
        <v>0</v>
      </c>
      <c r="J1252" s="10">
        <v>0</v>
      </c>
      <c r="L1252" s="10">
        <v>0</v>
      </c>
      <c r="M1252" s="13">
        <v>0</v>
      </c>
      <c r="N1252" s="13"/>
      <c r="O1252" s="10">
        <v>0</v>
      </c>
      <c r="P1252" s="10">
        <v>0</v>
      </c>
      <c r="Q1252" s="14">
        <v>0</v>
      </c>
      <c r="R1252" s="14">
        <v>0</v>
      </c>
      <c r="S1252" s="10">
        <v>0</v>
      </c>
      <c r="T1252" s="10">
        <v>0</v>
      </c>
      <c r="U1252" s="14">
        <v>0</v>
      </c>
      <c r="V1252" s="10"/>
      <c r="W1252" s="11">
        <v>1</v>
      </c>
      <c r="X1252" s="11">
        <v>1</v>
      </c>
      <c r="Y1252" s="11">
        <v>0</v>
      </c>
      <c r="Z1252" s="11">
        <v>0</v>
      </c>
      <c r="AA1252" s="11">
        <f>MasterTable[[#This Row],[Landings
Night]]+MasterTable[[#This Row],[Landings
Day]]</f>
        <v>1</v>
      </c>
      <c r="AB1252" s="10">
        <v>0</v>
      </c>
      <c r="AC1252" s="10">
        <v>0</v>
      </c>
      <c r="AD1252" s="11">
        <v>0</v>
      </c>
      <c r="AE1252" s="21">
        <f>SUM(MasterTable[[#This Row],[ILS]:[PAR]])</f>
        <v>0</v>
      </c>
      <c r="AL1252" s="11"/>
      <c r="AR1252" s="140" t="str">
        <f>_xlfn.XLOOKUP(MasterTable[[#This Row],[Aircraft ID]],Aircraft!A:A,Aircraft!H:H)</f>
        <v>Airplane Multi Engine Land</v>
      </c>
      <c r="AS1252" s="8" t="b">
        <f>OR((SUM(MasterTable[[#This Row],[ILS]:[PAR]]) = MasterTable[[#This Row],[APPR]]))</f>
        <v>1</v>
      </c>
      <c r="AT1252" s="8" t="b">
        <f>NOT(ISBLANK(MasterTable[[#This Row],[Total
Time]]))</f>
        <v>1</v>
      </c>
    </row>
    <row r="1253" spans="4:46" ht="28.8" x14ac:dyDescent="0.3">
      <c r="D1253" s="22">
        <v>40578</v>
      </c>
      <c r="E1253" s="8" t="s">
        <v>174</v>
      </c>
      <c r="F1253" s="8" t="s">
        <v>202</v>
      </c>
      <c r="G1253" s="8" t="s">
        <v>202</v>
      </c>
      <c r="I1253" s="10">
        <v>1.3</v>
      </c>
      <c r="J1253" s="10">
        <v>0</v>
      </c>
      <c r="L1253" s="10">
        <v>0</v>
      </c>
      <c r="M1253" s="13">
        <v>0</v>
      </c>
      <c r="N1253" s="13"/>
      <c r="O1253" s="10">
        <v>0</v>
      </c>
      <c r="P1253" s="10">
        <v>1.3</v>
      </c>
      <c r="Q1253" s="14">
        <v>0</v>
      </c>
      <c r="R1253" s="14">
        <v>0</v>
      </c>
      <c r="S1253" s="10">
        <v>0</v>
      </c>
      <c r="T1253" s="10">
        <v>0</v>
      </c>
      <c r="U1253" s="14">
        <v>0</v>
      </c>
      <c r="V1253" s="10"/>
      <c r="W1253" s="11">
        <v>3</v>
      </c>
      <c r="X1253" s="11">
        <v>3</v>
      </c>
      <c r="Y1253" s="11">
        <v>0</v>
      </c>
      <c r="Z1253" s="11">
        <v>0</v>
      </c>
      <c r="AA1253" s="11">
        <f>MasterTable[[#This Row],[Landings
Night]]+MasterTable[[#This Row],[Landings
Day]]</f>
        <v>3</v>
      </c>
      <c r="AB1253" s="10">
        <v>0</v>
      </c>
      <c r="AC1253" s="10">
        <v>0</v>
      </c>
      <c r="AD1253" s="11">
        <v>0</v>
      </c>
      <c r="AE1253" s="21">
        <f>SUM(MasterTable[[#This Row],[ILS]:[PAR]])</f>
        <v>0</v>
      </c>
      <c r="AL1253" s="11"/>
      <c r="AR1253" s="140" t="str">
        <f>_xlfn.XLOOKUP(MasterTable[[#This Row],[Aircraft ID]],Aircraft!A:A,Aircraft!H:H)</f>
        <v>Airplane Single Engine Land</v>
      </c>
      <c r="AS1253" s="8" t="b">
        <f>OR((SUM(MasterTable[[#This Row],[ILS]:[PAR]]) = MasterTable[[#This Row],[APPR]]))</f>
        <v>1</v>
      </c>
      <c r="AT1253" s="8" t="b">
        <f>NOT(ISBLANK(MasterTable[[#This Row],[Total
Time]]))</f>
        <v>1</v>
      </c>
    </row>
    <row r="1254" spans="4:46" ht="28.8" x14ac:dyDescent="0.3">
      <c r="D1254" s="22">
        <v>40449</v>
      </c>
      <c r="E1254" s="8" t="s">
        <v>37</v>
      </c>
      <c r="F1254" s="8" t="s">
        <v>202</v>
      </c>
      <c r="G1254" s="8" t="s">
        <v>298</v>
      </c>
      <c r="I1254" s="10">
        <v>0</v>
      </c>
      <c r="J1254" s="10">
        <v>0</v>
      </c>
      <c r="L1254" s="10">
        <v>0</v>
      </c>
      <c r="M1254" s="13">
        <v>0</v>
      </c>
      <c r="N1254" s="13"/>
      <c r="O1254" s="10">
        <v>0</v>
      </c>
      <c r="P1254" s="10">
        <v>0</v>
      </c>
      <c r="Q1254" s="14">
        <v>0</v>
      </c>
      <c r="R1254" s="14">
        <v>0</v>
      </c>
      <c r="S1254" s="10">
        <v>0</v>
      </c>
      <c r="T1254" s="10">
        <v>0</v>
      </c>
      <c r="U1254" s="14">
        <v>0</v>
      </c>
      <c r="V1254" s="10"/>
      <c r="W1254" s="11">
        <v>1</v>
      </c>
      <c r="X1254" s="11">
        <v>1</v>
      </c>
      <c r="Y1254" s="11">
        <v>0</v>
      </c>
      <c r="Z1254" s="11">
        <v>0</v>
      </c>
      <c r="AA1254" s="11">
        <f>MasterTable[[#This Row],[Landings
Night]]+MasterTable[[#This Row],[Landings
Day]]</f>
        <v>1</v>
      </c>
      <c r="AB1254" s="10">
        <v>0</v>
      </c>
      <c r="AC1254" s="10">
        <v>0</v>
      </c>
      <c r="AD1254" s="11">
        <v>0</v>
      </c>
      <c r="AE1254" s="21">
        <f>SUM(MasterTable[[#This Row],[ILS]:[PAR]])</f>
        <v>0</v>
      </c>
      <c r="AL1254" s="11"/>
      <c r="AR1254" s="140" t="str">
        <f>_xlfn.XLOOKUP(MasterTable[[#This Row],[Aircraft ID]],Aircraft!A:A,Aircraft!H:H)</f>
        <v>Airplane Multi Engine Land</v>
      </c>
      <c r="AS1254" s="8" t="b">
        <f>OR((SUM(MasterTable[[#This Row],[ILS]:[PAR]]) = MasterTable[[#This Row],[APPR]]))</f>
        <v>1</v>
      </c>
      <c r="AT1254" s="8" t="b">
        <f>NOT(ISBLANK(MasterTable[[#This Row],[Total
Time]]))</f>
        <v>1</v>
      </c>
    </row>
    <row r="1255" spans="4:46" ht="28.8" x14ac:dyDescent="0.3">
      <c r="D1255" s="22">
        <v>40440</v>
      </c>
      <c r="E1255" s="8" t="s">
        <v>174</v>
      </c>
      <c r="F1255" s="8" t="s">
        <v>202</v>
      </c>
      <c r="G1255" s="8" t="s">
        <v>202</v>
      </c>
      <c r="I1255" s="10">
        <v>1.2</v>
      </c>
      <c r="J1255" s="10">
        <v>0</v>
      </c>
      <c r="L1255" s="10">
        <v>0</v>
      </c>
      <c r="M1255" s="13">
        <v>0</v>
      </c>
      <c r="N1255" s="13"/>
      <c r="O1255" s="10">
        <v>0</v>
      </c>
      <c r="P1255" s="10">
        <v>1.2</v>
      </c>
      <c r="Q1255" s="14">
        <v>0</v>
      </c>
      <c r="R1255" s="14">
        <v>0</v>
      </c>
      <c r="S1255" s="10">
        <v>0</v>
      </c>
      <c r="T1255" s="10">
        <v>0</v>
      </c>
      <c r="U1255" s="14">
        <v>0</v>
      </c>
      <c r="V1255" s="10"/>
      <c r="W1255" s="11">
        <v>6</v>
      </c>
      <c r="X1255" s="11">
        <v>6</v>
      </c>
      <c r="Y1255" s="11">
        <v>0</v>
      </c>
      <c r="Z1255" s="11">
        <v>0</v>
      </c>
      <c r="AA1255" s="11">
        <f>MasterTable[[#This Row],[Landings
Night]]+MasterTable[[#This Row],[Landings
Day]]</f>
        <v>6</v>
      </c>
      <c r="AB1255" s="10">
        <v>0</v>
      </c>
      <c r="AC1255" s="10">
        <v>0</v>
      </c>
      <c r="AD1255" s="11">
        <v>0</v>
      </c>
      <c r="AE1255" s="21">
        <f>SUM(MasterTable[[#This Row],[ILS]:[PAR]])</f>
        <v>0</v>
      </c>
      <c r="AL1255" s="11"/>
      <c r="AR1255" s="140" t="str">
        <f>_xlfn.XLOOKUP(MasterTable[[#This Row],[Aircraft ID]],Aircraft!A:A,Aircraft!H:H)</f>
        <v>Airplane Single Engine Land</v>
      </c>
      <c r="AS1255" s="8" t="b">
        <f>OR((SUM(MasterTable[[#This Row],[ILS]:[PAR]]) = MasterTable[[#This Row],[APPR]]))</f>
        <v>1</v>
      </c>
      <c r="AT1255" s="8" t="b">
        <f>NOT(ISBLANK(MasterTable[[#This Row],[Total
Time]]))</f>
        <v>1</v>
      </c>
    </row>
    <row r="1256" spans="4:46" ht="28.8" x14ac:dyDescent="0.3">
      <c r="D1256" s="22">
        <v>40439</v>
      </c>
      <c r="E1256" s="8" t="s">
        <v>37</v>
      </c>
      <c r="F1256" s="8" t="s">
        <v>344</v>
      </c>
      <c r="G1256" s="8" t="s">
        <v>202</v>
      </c>
      <c r="I1256" s="10">
        <v>0</v>
      </c>
      <c r="J1256" s="10">
        <v>0</v>
      </c>
      <c r="L1256" s="10">
        <v>0</v>
      </c>
      <c r="M1256" s="13">
        <v>0</v>
      </c>
      <c r="N1256" s="13"/>
      <c r="O1256" s="10">
        <v>0</v>
      </c>
      <c r="P1256" s="10">
        <v>0</v>
      </c>
      <c r="Q1256" s="14">
        <v>0</v>
      </c>
      <c r="R1256" s="14">
        <v>0</v>
      </c>
      <c r="S1256" s="10">
        <v>0</v>
      </c>
      <c r="T1256" s="10">
        <v>0</v>
      </c>
      <c r="U1256" s="14">
        <v>0</v>
      </c>
      <c r="V1256" s="10"/>
      <c r="W1256" s="11">
        <v>1</v>
      </c>
      <c r="X1256" s="11">
        <v>1</v>
      </c>
      <c r="Y1256" s="11">
        <v>0</v>
      </c>
      <c r="Z1256" s="11">
        <v>0</v>
      </c>
      <c r="AA1256" s="11">
        <f>MasterTable[[#This Row],[Landings
Night]]+MasterTable[[#This Row],[Landings
Day]]</f>
        <v>1</v>
      </c>
      <c r="AB1256" s="10">
        <v>0</v>
      </c>
      <c r="AC1256" s="10">
        <v>0</v>
      </c>
      <c r="AD1256" s="11">
        <v>0</v>
      </c>
      <c r="AE1256" s="21">
        <f>SUM(MasterTable[[#This Row],[ILS]:[PAR]])</f>
        <v>0</v>
      </c>
      <c r="AL1256" s="11"/>
      <c r="AR1256" s="140" t="str">
        <f>_xlfn.XLOOKUP(MasterTable[[#This Row],[Aircraft ID]],Aircraft!A:A,Aircraft!H:H)</f>
        <v>Airplane Multi Engine Land</v>
      </c>
      <c r="AS1256" s="8" t="b">
        <f>OR((SUM(MasterTable[[#This Row],[ILS]:[PAR]]) = MasterTable[[#This Row],[APPR]]))</f>
        <v>1</v>
      </c>
      <c r="AT1256" s="8" t="b">
        <f>NOT(ISBLANK(MasterTable[[#This Row],[Total
Time]]))</f>
        <v>1</v>
      </c>
    </row>
    <row r="1257" spans="4:46" ht="28.8" x14ac:dyDescent="0.3">
      <c r="D1257" s="22">
        <v>40439</v>
      </c>
      <c r="E1257" s="8" t="s">
        <v>37</v>
      </c>
      <c r="F1257" s="8" t="s">
        <v>373</v>
      </c>
      <c r="G1257" s="8" t="s">
        <v>344</v>
      </c>
      <c r="I1257" s="10">
        <v>0</v>
      </c>
      <c r="J1257" s="10">
        <v>0</v>
      </c>
      <c r="L1257" s="10">
        <v>0</v>
      </c>
      <c r="M1257" s="13">
        <v>0</v>
      </c>
      <c r="N1257" s="13"/>
      <c r="O1257" s="10">
        <v>0</v>
      </c>
      <c r="P1257" s="10">
        <v>0</v>
      </c>
      <c r="Q1257" s="14">
        <v>0</v>
      </c>
      <c r="R1257" s="14">
        <v>0</v>
      </c>
      <c r="S1257" s="10">
        <v>0</v>
      </c>
      <c r="T1257" s="10">
        <v>0</v>
      </c>
      <c r="U1257" s="14">
        <v>0</v>
      </c>
      <c r="V1257" s="10"/>
      <c r="W1257" s="11">
        <v>1</v>
      </c>
      <c r="X1257" s="11">
        <v>1</v>
      </c>
      <c r="Y1257" s="11">
        <v>0</v>
      </c>
      <c r="Z1257" s="11">
        <v>0</v>
      </c>
      <c r="AA1257" s="11">
        <f>MasterTable[[#This Row],[Landings
Night]]+MasterTable[[#This Row],[Landings
Day]]</f>
        <v>1</v>
      </c>
      <c r="AB1257" s="10">
        <v>0</v>
      </c>
      <c r="AC1257" s="10">
        <v>0</v>
      </c>
      <c r="AD1257" s="11">
        <v>0</v>
      </c>
      <c r="AE1257" s="21">
        <f>SUM(MasterTable[[#This Row],[ILS]:[PAR]])</f>
        <v>0</v>
      </c>
      <c r="AL1257" s="11"/>
      <c r="AR1257" s="140" t="str">
        <f>_xlfn.XLOOKUP(MasterTable[[#This Row],[Aircraft ID]],Aircraft!A:A,Aircraft!H:H)</f>
        <v>Airplane Multi Engine Land</v>
      </c>
      <c r="AS1257" s="8" t="b">
        <f>OR((SUM(MasterTable[[#This Row],[ILS]:[PAR]]) = MasterTable[[#This Row],[APPR]]))</f>
        <v>1</v>
      </c>
      <c r="AT1257" s="8" t="b">
        <f>NOT(ISBLANK(MasterTable[[#This Row],[Total
Time]]))</f>
        <v>1</v>
      </c>
    </row>
    <row r="1258" spans="4:46" ht="28.8" x14ac:dyDescent="0.3">
      <c r="D1258" s="22">
        <v>40438</v>
      </c>
      <c r="E1258" s="8" t="s">
        <v>37</v>
      </c>
      <c r="F1258" s="8" t="s">
        <v>344</v>
      </c>
      <c r="G1258" s="8" t="s">
        <v>373</v>
      </c>
      <c r="I1258" s="10">
        <v>0</v>
      </c>
      <c r="J1258" s="10">
        <v>0</v>
      </c>
      <c r="L1258" s="10">
        <v>0</v>
      </c>
      <c r="M1258" s="13">
        <v>0</v>
      </c>
      <c r="N1258" s="13"/>
      <c r="O1258" s="10">
        <v>0</v>
      </c>
      <c r="P1258" s="10">
        <v>0</v>
      </c>
      <c r="Q1258" s="14">
        <v>0</v>
      </c>
      <c r="R1258" s="14">
        <v>0</v>
      </c>
      <c r="S1258" s="10">
        <v>0</v>
      </c>
      <c r="T1258" s="10">
        <v>0</v>
      </c>
      <c r="U1258" s="14">
        <v>0</v>
      </c>
      <c r="V1258" s="10"/>
      <c r="W1258" s="11">
        <v>1</v>
      </c>
      <c r="X1258" s="11">
        <v>1</v>
      </c>
      <c r="Y1258" s="11">
        <v>0</v>
      </c>
      <c r="Z1258" s="11">
        <v>0</v>
      </c>
      <c r="AA1258" s="11">
        <f>MasterTable[[#This Row],[Landings
Night]]+MasterTable[[#This Row],[Landings
Day]]</f>
        <v>1</v>
      </c>
      <c r="AB1258" s="10">
        <v>0</v>
      </c>
      <c r="AC1258" s="10">
        <v>0</v>
      </c>
      <c r="AD1258" s="11">
        <v>0</v>
      </c>
      <c r="AE1258" s="21">
        <f>SUM(MasterTable[[#This Row],[ILS]:[PAR]])</f>
        <v>0</v>
      </c>
      <c r="AL1258" s="11"/>
      <c r="AR1258" s="140" t="str">
        <f>_xlfn.XLOOKUP(MasterTable[[#This Row],[Aircraft ID]],Aircraft!A:A,Aircraft!H:H)</f>
        <v>Airplane Multi Engine Land</v>
      </c>
      <c r="AS1258" s="8" t="b">
        <f>OR((SUM(MasterTable[[#This Row],[ILS]:[PAR]]) = MasterTable[[#This Row],[APPR]]))</f>
        <v>1</v>
      </c>
      <c r="AT1258" s="8" t="b">
        <f>NOT(ISBLANK(MasterTable[[#This Row],[Total
Time]]))</f>
        <v>1</v>
      </c>
    </row>
    <row r="1259" spans="4:46" ht="28.8" x14ac:dyDescent="0.3">
      <c r="D1259" s="22">
        <v>40438</v>
      </c>
      <c r="E1259" s="8" t="s">
        <v>37</v>
      </c>
      <c r="F1259" s="8" t="s">
        <v>202</v>
      </c>
      <c r="G1259" s="8" t="s">
        <v>344</v>
      </c>
      <c r="I1259" s="10">
        <v>0</v>
      </c>
      <c r="J1259" s="10">
        <v>0</v>
      </c>
      <c r="L1259" s="10">
        <v>0</v>
      </c>
      <c r="M1259" s="13">
        <v>0</v>
      </c>
      <c r="N1259" s="13"/>
      <c r="O1259" s="10">
        <v>0</v>
      </c>
      <c r="P1259" s="10">
        <v>0</v>
      </c>
      <c r="Q1259" s="14">
        <v>0</v>
      </c>
      <c r="R1259" s="14">
        <v>0</v>
      </c>
      <c r="S1259" s="10">
        <v>0</v>
      </c>
      <c r="T1259" s="10">
        <v>0</v>
      </c>
      <c r="U1259" s="14">
        <v>0</v>
      </c>
      <c r="V1259" s="10"/>
      <c r="W1259" s="11">
        <v>1</v>
      </c>
      <c r="X1259" s="11">
        <v>1</v>
      </c>
      <c r="Y1259" s="11">
        <v>0</v>
      </c>
      <c r="Z1259" s="11">
        <v>0</v>
      </c>
      <c r="AA1259" s="11">
        <f>MasterTable[[#This Row],[Landings
Night]]+MasterTable[[#This Row],[Landings
Day]]</f>
        <v>1</v>
      </c>
      <c r="AB1259" s="10">
        <v>0</v>
      </c>
      <c r="AC1259" s="10">
        <v>0</v>
      </c>
      <c r="AD1259" s="11">
        <v>0</v>
      </c>
      <c r="AE1259" s="21">
        <f>SUM(MasterTable[[#This Row],[ILS]:[PAR]])</f>
        <v>0</v>
      </c>
      <c r="AL1259" s="11"/>
      <c r="AR1259" s="140" t="str">
        <f>_xlfn.XLOOKUP(MasterTable[[#This Row],[Aircraft ID]],Aircraft!A:A,Aircraft!H:H)</f>
        <v>Airplane Multi Engine Land</v>
      </c>
      <c r="AS1259" s="8" t="b">
        <f>OR((SUM(MasterTable[[#This Row],[ILS]:[PAR]]) = MasterTable[[#This Row],[APPR]]))</f>
        <v>1</v>
      </c>
      <c r="AT1259" s="8" t="b">
        <f>NOT(ISBLANK(MasterTable[[#This Row],[Total
Time]]))</f>
        <v>1</v>
      </c>
    </row>
    <row r="1260" spans="4:46" ht="28.8" x14ac:dyDescent="0.3">
      <c r="D1260" s="22">
        <v>40426</v>
      </c>
      <c r="E1260" s="8" t="s">
        <v>37</v>
      </c>
      <c r="F1260" s="8" t="s">
        <v>202</v>
      </c>
      <c r="G1260" s="8" t="s">
        <v>270</v>
      </c>
      <c r="I1260" s="10">
        <v>0</v>
      </c>
      <c r="J1260" s="10">
        <v>0</v>
      </c>
      <c r="L1260" s="10">
        <v>0</v>
      </c>
      <c r="M1260" s="13">
        <v>0</v>
      </c>
      <c r="N1260" s="13"/>
      <c r="O1260" s="10">
        <v>0</v>
      </c>
      <c r="P1260" s="10">
        <v>0</v>
      </c>
      <c r="Q1260" s="14">
        <v>0</v>
      </c>
      <c r="R1260" s="14">
        <v>0</v>
      </c>
      <c r="S1260" s="10">
        <v>0</v>
      </c>
      <c r="T1260" s="10">
        <v>0</v>
      </c>
      <c r="U1260" s="14">
        <v>0</v>
      </c>
      <c r="V1260" s="10"/>
      <c r="W1260" s="11">
        <v>0</v>
      </c>
      <c r="X1260" s="11">
        <v>0</v>
      </c>
      <c r="Y1260" s="11">
        <v>0</v>
      </c>
      <c r="Z1260" s="11">
        <v>0</v>
      </c>
      <c r="AA1260" s="11">
        <f>MasterTable[[#This Row],[Landings
Night]]+MasterTable[[#This Row],[Landings
Day]]</f>
        <v>0</v>
      </c>
      <c r="AB1260" s="10">
        <v>0</v>
      </c>
      <c r="AC1260" s="10">
        <v>0</v>
      </c>
      <c r="AD1260" s="11">
        <v>0</v>
      </c>
      <c r="AE1260" s="21">
        <f>SUM(MasterTable[[#This Row],[ILS]:[PAR]])</f>
        <v>0</v>
      </c>
      <c r="AL1260" s="11"/>
      <c r="AR1260" s="140" t="str">
        <f>_xlfn.XLOOKUP(MasterTable[[#This Row],[Aircraft ID]],Aircraft!A:A,Aircraft!H:H)</f>
        <v>Airplane Multi Engine Land</v>
      </c>
      <c r="AS1260" s="8" t="b">
        <f>OR((SUM(MasterTable[[#This Row],[ILS]:[PAR]]) = MasterTable[[#This Row],[APPR]]))</f>
        <v>1</v>
      </c>
      <c r="AT1260" s="8" t="b">
        <f>NOT(ISBLANK(MasterTable[[#This Row],[Total
Time]]))</f>
        <v>1</v>
      </c>
    </row>
    <row r="1261" spans="4:46" ht="28.8" x14ac:dyDescent="0.3">
      <c r="D1261" s="22">
        <v>40412</v>
      </c>
      <c r="E1261" s="8" t="s">
        <v>37</v>
      </c>
      <c r="F1261" s="8" t="s">
        <v>259</v>
      </c>
      <c r="G1261" s="8" t="s">
        <v>202</v>
      </c>
      <c r="I1261" s="10">
        <v>0</v>
      </c>
      <c r="J1261" s="10">
        <v>0</v>
      </c>
      <c r="L1261" s="10">
        <v>0</v>
      </c>
      <c r="M1261" s="13">
        <v>0</v>
      </c>
      <c r="N1261" s="13"/>
      <c r="O1261" s="10">
        <v>0</v>
      </c>
      <c r="P1261" s="10">
        <v>0</v>
      </c>
      <c r="Q1261" s="14">
        <v>0</v>
      </c>
      <c r="R1261" s="14">
        <v>0</v>
      </c>
      <c r="S1261" s="10">
        <v>0</v>
      </c>
      <c r="T1261" s="10">
        <v>0</v>
      </c>
      <c r="U1261" s="14">
        <v>0</v>
      </c>
      <c r="V1261" s="10"/>
      <c r="W1261" s="11">
        <v>1</v>
      </c>
      <c r="X1261" s="11">
        <v>1</v>
      </c>
      <c r="Y1261" s="11">
        <v>0</v>
      </c>
      <c r="Z1261" s="11">
        <v>0</v>
      </c>
      <c r="AA1261" s="11">
        <f>MasterTable[[#This Row],[Landings
Night]]+MasterTable[[#This Row],[Landings
Day]]</f>
        <v>1</v>
      </c>
      <c r="AB1261" s="10">
        <v>0</v>
      </c>
      <c r="AC1261" s="10">
        <v>0</v>
      </c>
      <c r="AD1261" s="11">
        <v>0</v>
      </c>
      <c r="AE1261" s="21">
        <f>SUM(MasterTable[[#This Row],[ILS]:[PAR]])</f>
        <v>0</v>
      </c>
      <c r="AL1261" s="11"/>
      <c r="AR1261" s="140" t="str">
        <f>_xlfn.XLOOKUP(MasterTable[[#This Row],[Aircraft ID]],Aircraft!A:A,Aircraft!H:H)</f>
        <v>Airplane Multi Engine Land</v>
      </c>
      <c r="AS1261" s="8" t="b">
        <f>OR((SUM(MasterTable[[#This Row],[ILS]:[PAR]]) = MasterTable[[#This Row],[APPR]]))</f>
        <v>1</v>
      </c>
      <c r="AT1261" s="8" t="b">
        <f>NOT(ISBLANK(MasterTable[[#This Row],[Total
Time]]))</f>
        <v>1</v>
      </c>
    </row>
    <row r="1262" spans="4:46" ht="28.8" x14ac:dyDescent="0.3">
      <c r="D1262" s="22">
        <v>40412</v>
      </c>
      <c r="E1262" s="8" t="s">
        <v>37</v>
      </c>
      <c r="F1262" s="8" t="s">
        <v>351</v>
      </c>
      <c r="G1262" s="8" t="s">
        <v>259</v>
      </c>
      <c r="I1262" s="10">
        <v>0</v>
      </c>
      <c r="J1262" s="10">
        <v>0</v>
      </c>
      <c r="L1262" s="10">
        <v>0</v>
      </c>
      <c r="M1262" s="13">
        <v>0</v>
      </c>
      <c r="N1262" s="13"/>
      <c r="O1262" s="10">
        <v>0</v>
      </c>
      <c r="P1262" s="10">
        <v>0</v>
      </c>
      <c r="Q1262" s="14">
        <v>0</v>
      </c>
      <c r="R1262" s="14">
        <v>0</v>
      </c>
      <c r="S1262" s="10">
        <v>0</v>
      </c>
      <c r="T1262" s="10">
        <v>0</v>
      </c>
      <c r="U1262" s="14">
        <v>0</v>
      </c>
      <c r="V1262" s="10"/>
      <c r="W1262" s="11">
        <v>1</v>
      </c>
      <c r="X1262" s="11">
        <v>1</v>
      </c>
      <c r="Y1262" s="11">
        <v>0</v>
      </c>
      <c r="Z1262" s="11">
        <v>0</v>
      </c>
      <c r="AA1262" s="11">
        <f>MasterTable[[#This Row],[Landings
Night]]+MasterTable[[#This Row],[Landings
Day]]</f>
        <v>1</v>
      </c>
      <c r="AB1262" s="10">
        <v>0</v>
      </c>
      <c r="AC1262" s="10">
        <v>0</v>
      </c>
      <c r="AD1262" s="11">
        <v>0</v>
      </c>
      <c r="AE1262" s="21">
        <f>SUM(MasterTable[[#This Row],[ILS]:[PAR]])</f>
        <v>0</v>
      </c>
      <c r="AL1262" s="11"/>
      <c r="AR1262" s="140" t="str">
        <f>_xlfn.XLOOKUP(MasterTable[[#This Row],[Aircraft ID]],Aircraft!A:A,Aircraft!H:H)</f>
        <v>Airplane Multi Engine Land</v>
      </c>
      <c r="AS1262" s="8" t="b">
        <f>OR((SUM(MasterTable[[#This Row],[ILS]:[PAR]]) = MasterTable[[#This Row],[APPR]]))</f>
        <v>1</v>
      </c>
      <c r="AT1262" s="8" t="b">
        <f>NOT(ISBLANK(MasterTable[[#This Row],[Total
Time]]))</f>
        <v>1</v>
      </c>
    </row>
    <row r="1263" spans="4:46" ht="28.8" x14ac:dyDescent="0.3">
      <c r="D1263" s="22">
        <v>40411</v>
      </c>
      <c r="E1263" s="8" t="s">
        <v>37</v>
      </c>
      <c r="F1263" s="8" t="s">
        <v>204</v>
      </c>
      <c r="G1263" s="8" t="s">
        <v>351</v>
      </c>
      <c r="I1263" s="10">
        <v>0</v>
      </c>
      <c r="J1263" s="10">
        <v>0</v>
      </c>
      <c r="L1263" s="10">
        <v>0</v>
      </c>
      <c r="M1263" s="13">
        <v>0</v>
      </c>
      <c r="N1263" s="13"/>
      <c r="O1263" s="10">
        <v>0</v>
      </c>
      <c r="P1263" s="10">
        <v>0</v>
      </c>
      <c r="Q1263" s="14">
        <v>0</v>
      </c>
      <c r="R1263" s="14">
        <v>0</v>
      </c>
      <c r="S1263" s="10">
        <v>0</v>
      </c>
      <c r="T1263" s="10">
        <v>0</v>
      </c>
      <c r="U1263" s="14">
        <v>0</v>
      </c>
      <c r="V1263" s="10"/>
      <c r="W1263" s="11">
        <v>1</v>
      </c>
      <c r="X1263" s="11">
        <v>1</v>
      </c>
      <c r="Y1263" s="11">
        <v>0</v>
      </c>
      <c r="Z1263" s="11">
        <v>0</v>
      </c>
      <c r="AA1263" s="11">
        <f>MasterTable[[#This Row],[Landings
Night]]+MasterTable[[#This Row],[Landings
Day]]</f>
        <v>1</v>
      </c>
      <c r="AB1263" s="10">
        <v>0</v>
      </c>
      <c r="AC1263" s="10">
        <v>0</v>
      </c>
      <c r="AD1263" s="11">
        <v>0</v>
      </c>
      <c r="AE1263" s="21">
        <f>SUM(MasterTable[[#This Row],[ILS]:[PAR]])</f>
        <v>0</v>
      </c>
      <c r="AL1263" s="11"/>
      <c r="AR1263" s="140" t="str">
        <f>_xlfn.XLOOKUP(MasterTable[[#This Row],[Aircraft ID]],Aircraft!A:A,Aircraft!H:H)</f>
        <v>Airplane Multi Engine Land</v>
      </c>
      <c r="AS1263" s="8" t="b">
        <f>OR((SUM(MasterTable[[#This Row],[ILS]:[PAR]]) = MasterTable[[#This Row],[APPR]]))</f>
        <v>1</v>
      </c>
      <c r="AT1263" s="8" t="b">
        <f>NOT(ISBLANK(MasterTable[[#This Row],[Total
Time]]))</f>
        <v>1</v>
      </c>
    </row>
    <row r="1264" spans="4:46" ht="28.8" x14ac:dyDescent="0.3">
      <c r="D1264" s="22">
        <v>40411</v>
      </c>
      <c r="E1264" s="8" t="s">
        <v>37</v>
      </c>
      <c r="F1264" s="8" t="s">
        <v>202</v>
      </c>
      <c r="G1264" s="8" t="s">
        <v>204</v>
      </c>
      <c r="I1264" s="10">
        <v>0</v>
      </c>
      <c r="J1264" s="10">
        <v>0</v>
      </c>
      <c r="L1264" s="10">
        <v>0</v>
      </c>
      <c r="M1264" s="13">
        <v>0</v>
      </c>
      <c r="N1264" s="13"/>
      <c r="O1264" s="10">
        <v>0</v>
      </c>
      <c r="P1264" s="10">
        <v>0</v>
      </c>
      <c r="Q1264" s="14">
        <v>0</v>
      </c>
      <c r="R1264" s="14">
        <v>0</v>
      </c>
      <c r="S1264" s="10">
        <v>0</v>
      </c>
      <c r="T1264" s="10">
        <v>0</v>
      </c>
      <c r="U1264" s="14">
        <v>0</v>
      </c>
      <c r="V1264" s="10"/>
      <c r="W1264" s="11">
        <v>1</v>
      </c>
      <c r="X1264" s="11">
        <v>1</v>
      </c>
      <c r="Y1264" s="11">
        <v>0</v>
      </c>
      <c r="Z1264" s="11">
        <v>0</v>
      </c>
      <c r="AA1264" s="11">
        <f>MasterTable[[#This Row],[Landings
Night]]+MasterTable[[#This Row],[Landings
Day]]</f>
        <v>1</v>
      </c>
      <c r="AB1264" s="10">
        <v>0</v>
      </c>
      <c r="AC1264" s="10">
        <v>0</v>
      </c>
      <c r="AD1264" s="11">
        <v>0</v>
      </c>
      <c r="AE1264" s="21">
        <f>SUM(MasterTable[[#This Row],[ILS]:[PAR]])</f>
        <v>0</v>
      </c>
      <c r="AL1264" s="11"/>
      <c r="AR1264" s="140" t="str">
        <f>_xlfn.XLOOKUP(MasterTable[[#This Row],[Aircraft ID]],Aircraft!A:A,Aircraft!H:H)</f>
        <v>Airplane Multi Engine Land</v>
      </c>
      <c r="AS1264" s="8" t="b">
        <f>OR((SUM(MasterTable[[#This Row],[ILS]:[PAR]]) = MasterTable[[#This Row],[APPR]]))</f>
        <v>1</v>
      </c>
      <c r="AT1264" s="8" t="b">
        <f>NOT(ISBLANK(MasterTable[[#This Row],[Total
Time]]))</f>
        <v>1</v>
      </c>
    </row>
    <row r="1265" spans="4:46" ht="28.8" x14ac:dyDescent="0.3">
      <c r="D1265" s="22">
        <v>40268</v>
      </c>
      <c r="E1265" s="8" t="s">
        <v>174</v>
      </c>
      <c r="F1265" s="8" t="s">
        <v>202</v>
      </c>
      <c r="G1265" s="8" t="s">
        <v>202</v>
      </c>
      <c r="I1265" s="10">
        <v>0.6</v>
      </c>
      <c r="J1265" s="10">
        <v>0</v>
      </c>
      <c r="L1265" s="10">
        <v>0</v>
      </c>
      <c r="M1265" s="13">
        <v>0</v>
      </c>
      <c r="N1265" s="13"/>
      <c r="O1265" s="10">
        <v>0</v>
      </c>
      <c r="P1265" s="10">
        <v>0.6</v>
      </c>
      <c r="Q1265" s="14">
        <v>0</v>
      </c>
      <c r="R1265" s="14">
        <v>0</v>
      </c>
      <c r="S1265" s="10">
        <v>0</v>
      </c>
      <c r="T1265" s="10">
        <v>0</v>
      </c>
      <c r="U1265" s="14">
        <v>0</v>
      </c>
      <c r="V1265" s="10"/>
      <c r="W1265" s="11">
        <v>3</v>
      </c>
      <c r="X1265" s="11">
        <v>3</v>
      </c>
      <c r="Y1265" s="11">
        <v>0</v>
      </c>
      <c r="Z1265" s="11">
        <v>0</v>
      </c>
      <c r="AA1265" s="11">
        <f>MasterTable[[#This Row],[Landings
Night]]+MasterTable[[#This Row],[Landings
Day]]</f>
        <v>3</v>
      </c>
      <c r="AB1265" s="10">
        <v>0</v>
      </c>
      <c r="AC1265" s="10">
        <v>0</v>
      </c>
      <c r="AD1265" s="11">
        <v>0</v>
      </c>
      <c r="AE1265" s="21">
        <f>SUM(MasterTable[[#This Row],[ILS]:[PAR]])</f>
        <v>0</v>
      </c>
      <c r="AL1265" s="11"/>
      <c r="AR1265" s="140" t="str">
        <f>_xlfn.XLOOKUP(MasterTable[[#This Row],[Aircraft ID]],Aircraft!A:A,Aircraft!H:H)</f>
        <v>Airplane Single Engine Land</v>
      </c>
      <c r="AS1265" s="8" t="b">
        <f>OR((SUM(MasterTable[[#This Row],[ILS]:[PAR]]) = MasterTable[[#This Row],[APPR]]))</f>
        <v>1</v>
      </c>
      <c r="AT1265" s="8" t="b">
        <f>NOT(ISBLANK(MasterTable[[#This Row],[Total
Time]]))</f>
        <v>1</v>
      </c>
    </row>
    <row r="1266" spans="4:46" ht="28.8" x14ac:dyDescent="0.3">
      <c r="D1266" s="22">
        <v>40168</v>
      </c>
      <c r="E1266" s="8" t="s">
        <v>174</v>
      </c>
      <c r="F1266" s="8" t="s">
        <v>202</v>
      </c>
      <c r="G1266" s="8" t="s">
        <v>202</v>
      </c>
      <c r="I1266" s="10">
        <v>0.9</v>
      </c>
      <c r="J1266" s="10">
        <v>0</v>
      </c>
      <c r="L1266" s="10">
        <v>0</v>
      </c>
      <c r="M1266" s="13">
        <v>0</v>
      </c>
      <c r="N1266" s="13"/>
      <c r="O1266" s="10">
        <v>0</v>
      </c>
      <c r="P1266" s="10">
        <v>0.9</v>
      </c>
      <c r="Q1266" s="14">
        <v>0</v>
      </c>
      <c r="R1266" s="14">
        <v>0</v>
      </c>
      <c r="S1266" s="10">
        <v>0</v>
      </c>
      <c r="T1266" s="10">
        <v>0</v>
      </c>
      <c r="U1266" s="14">
        <v>0</v>
      </c>
      <c r="V1266" s="10"/>
      <c r="W1266" s="11">
        <v>6</v>
      </c>
      <c r="X1266" s="11">
        <v>6</v>
      </c>
      <c r="Y1266" s="11">
        <v>0</v>
      </c>
      <c r="Z1266" s="11">
        <v>0</v>
      </c>
      <c r="AA1266" s="11">
        <f>MasterTable[[#This Row],[Landings
Night]]+MasterTable[[#This Row],[Landings
Day]]</f>
        <v>6</v>
      </c>
      <c r="AB1266" s="10">
        <v>0</v>
      </c>
      <c r="AC1266" s="10">
        <v>0</v>
      </c>
      <c r="AD1266" s="11">
        <v>0</v>
      </c>
      <c r="AE1266" s="21">
        <f>SUM(MasterTable[[#This Row],[ILS]:[PAR]])</f>
        <v>0</v>
      </c>
      <c r="AL1266" s="11"/>
      <c r="AR1266" s="140" t="str">
        <f>_xlfn.XLOOKUP(MasterTable[[#This Row],[Aircraft ID]],Aircraft!A:A,Aircraft!H:H)</f>
        <v>Airplane Single Engine Land</v>
      </c>
      <c r="AS1266" s="8" t="b">
        <f>OR((SUM(MasterTable[[#This Row],[ILS]:[PAR]]) = MasterTable[[#This Row],[APPR]]))</f>
        <v>1</v>
      </c>
      <c r="AT1266" s="8" t="b">
        <f>NOT(ISBLANK(MasterTable[[#This Row],[Total
Time]]))</f>
        <v>1</v>
      </c>
    </row>
    <row r="1267" spans="4:46" ht="28.8" x14ac:dyDescent="0.3">
      <c r="D1267" s="22">
        <v>40110</v>
      </c>
      <c r="E1267" s="8" t="s">
        <v>174</v>
      </c>
      <c r="F1267" s="8" t="s">
        <v>202</v>
      </c>
      <c r="G1267" s="8" t="s">
        <v>202</v>
      </c>
      <c r="I1267" s="10">
        <v>1.1000000000000001</v>
      </c>
      <c r="J1267" s="10">
        <v>0</v>
      </c>
      <c r="L1267" s="10">
        <v>0</v>
      </c>
      <c r="M1267" s="13">
        <v>0</v>
      </c>
      <c r="N1267" s="13"/>
      <c r="O1267" s="10">
        <v>0</v>
      </c>
      <c r="P1267" s="10">
        <v>1.1000000000000001</v>
      </c>
      <c r="Q1267" s="14">
        <v>0</v>
      </c>
      <c r="R1267" s="14">
        <v>0</v>
      </c>
      <c r="S1267" s="10">
        <v>0</v>
      </c>
      <c r="T1267" s="10">
        <v>0</v>
      </c>
      <c r="U1267" s="14">
        <v>0</v>
      </c>
      <c r="V1267" s="10"/>
      <c r="W1267" s="11">
        <v>6</v>
      </c>
      <c r="X1267" s="11">
        <v>6</v>
      </c>
      <c r="Y1267" s="11">
        <v>0</v>
      </c>
      <c r="Z1267" s="11">
        <v>0</v>
      </c>
      <c r="AA1267" s="11">
        <f>MasterTable[[#This Row],[Landings
Night]]+MasterTable[[#This Row],[Landings
Day]]</f>
        <v>6</v>
      </c>
      <c r="AB1267" s="10">
        <v>0</v>
      </c>
      <c r="AC1267" s="10">
        <v>0</v>
      </c>
      <c r="AD1267" s="11">
        <v>0</v>
      </c>
      <c r="AE1267" s="21">
        <f>SUM(MasterTable[[#This Row],[ILS]:[PAR]])</f>
        <v>0</v>
      </c>
      <c r="AL1267" s="11"/>
      <c r="AR1267" s="140" t="str">
        <f>_xlfn.XLOOKUP(MasterTable[[#This Row],[Aircraft ID]],Aircraft!A:A,Aircraft!H:H)</f>
        <v>Airplane Single Engine Land</v>
      </c>
      <c r="AS1267" s="8" t="b">
        <f>OR((SUM(MasterTable[[#This Row],[ILS]:[PAR]]) = MasterTable[[#This Row],[APPR]]))</f>
        <v>1</v>
      </c>
      <c r="AT1267" s="8" t="b">
        <f>NOT(ISBLANK(MasterTable[[#This Row],[Total
Time]]))</f>
        <v>1</v>
      </c>
    </row>
    <row r="1268" spans="4:46" ht="28.8" x14ac:dyDescent="0.3">
      <c r="D1268" s="22">
        <v>40043</v>
      </c>
      <c r="E1268" s="8" t="s">
        <v>42</v>
      </c>
      <c r="F1268" s="8" t="s">
        <v>202</v>
      </c>
      <c r="G1268" s="8" t="s">
        <v>274</v>
      </c>
      <c r="I1268" s="10">
        <v>0</v>
      </c>
      <c r="J1268" s="10">
        <v>0</v>
      </c>
      <c r="L1268" s="10">
        <v>0</v>
      </c>
      <c r="M1268" s="13">
        <v>0</v>
      </c>
      <c r="N1268" s="13"/>
      <c r="O1268" s="10">
        <v>0</v>
      </c>
      <c r="P1268" s="10">
        <v>0</v>
      </c>
      <c r="Q1268" s="14">
        <v>0</v>
      </c>
      <c r="R1268" s="14">
        <v>0</v>
      </c>
      <c r="S1268" s="10">
        <v>0</v>
      </c>
      <c r="T1268" s="10">
        <v>0</v>
      </c>
      <c r="U1268" s="14">
        <v>0</v>
      </c>
      <c r="V1268" s="10"/>
      <c r="W1268" s="11">
        <v>1</v>
      </c>
      <c r="X1268" s="11">
        <v>1</v>
      </c>
      <c r="Y1268" s="11">
        <v>0</v>
      </c>
      <c r="Z1268" s="11">
        <v>0</v>
      </c>
      <c r="AA1268" s="11">
        <f>MasterTable[[#This Row],[Landings
Night]]+MasterTable[[#This Row],[Landings
Day]]</f>
        <v>1</v>
      </c>
      <c r="AB1268" s="10">
        <v>0</v>
      </c>
      <c r="AC1268" s="10">
        <v>0</v>
      </c>
      <c r="AD1268" s="11">
        <v>0</v>
      </c>
      <c r="AE1268" s="21">
        <f>SUM(MasterTable[[#This Row],[ILS]:[PAR]])</f>
        <v>0</v>
      </c>
      <c r="AL1268" s="11"/>
      <c r="AR1268" s="140" t="str">
        <f>_xlfn.XLOOKUP(MasterTable[[#This Row],[Aircraft ID]],Aircraft!A:A,Aircraft!H:H)</f>
        <v>Airplane Multi Engine Land</v>
      </c>
      <c r="AS1268" s="8" t="b">
        <f>OR((SUM(MasterTable[[#This Row],[ILS]:[PAR]]) = MasterTable[[#This Row],[APPR]]))</f>
        <v>1</v>
      </c>
      <c r="AT1268" s="8" t="b">
        <f>NOT(ISBLANK(MasterTable[[#This Row],[Total
Time]]))</f>
        <v>1</v>
      </c>
    </row>
    <row r="1269" spans="4:46" ht="28.8" x14ac:dyDescent="0.3">
      <c r="D1269" s="22">
        <v>40024</v>
      </c>
      <c r="E1269" s="8" t="s">
        <v>174</v>
      </c>
      <c r="F1269" s="8" t="s">
        <v>202</v>
      </c>
      <c r="G1269" s="8" t="s">
        <v>267</v>
      </c>
      <c r="I1269" s="10">
        <v>2</v>
      </c>
      <c r="J1269" s="10">
        <v>0</v>
      </c>
      <c r="L1269" s="10">
        <v>0</v>
      </c>
      <c r="M1269" s="13">
        <v>0</v>
      </c>
      <c r="N1269" s="13"/>
      <c r="O1269" s="10">
        <v>0</v>
      </c>
      <c r="P1269" s="10">
        <v>2</v>
      </c>
      <c r="Q1269" s="14">
        <v>0</v>
      </c>
      <c r="R1269" s="14">
        <v>0</v>
      </c>
      <c r="S1269" s="10">
        <v>0</v>
      </c>
      <c r="T1269" s="10">
        <v>2</v>
      </c>
      <c r="U1269" s="14">
        <v>0</v>
      </c>
      <c r="V1269" s="10"/>
      <c r="W1269" s="11">
        <v>1</v>
      </c>
      <c r="X1269" s="11">
        <v>1</v>
      </c>
      <c r="Y1269" s="11">
        <v>0</v>
      </c>
      <c r="Z1269" s="11">
        <v>0</v>
      </c>
      <c r="AA1269" s="11">
        <f>MasterTable[[#This Row],[Landings
Night]]+MasterTable[[#This Row],[Landings
Day]]</f>
        <v>1</v>
      </c>
      <c r="AB1269" s="10">
        <v>0</v>
      </c>
      <c r="AC1269" s="10">
        <v>0</v>
      </c>
      <c r="AD1269" s="11">
        <v>0</v>
      </c>
      <c r="AE1269" s="21">
        <f>SUM(MasterTable[[#This Row],[ILS]:[PAR]])</f>
        <v>0</v>
      </c>
      <c r="AL1269" s="11"/>
      <c r="AR1269" s="140" t="str">
        <f>_xlfn.XLOOKUP(MasterTable[[#This Row],[Aircraft ID]],Aircraft!A:A,Aircraft!H:H)</f>
        <v>Airplane Single Engine Land</v>
      </c>
      <c r="AS1269" s="8" t="b">
        <f>OR((SUM(MasterTable[[#This Row],[ILS]:[PAR]]) = MasterTable[[#This Row],[APPR]]))</f>
        <v>1</v>
      </c>
      <c r="AT1269" s="8" t="b">
        <f>NOT(ISBLANK(MasterTable[[#This Row],[Total
Time]]))</f>
        <v>1</v>
      </c>
    </row>
    <row r="1270" spans="4:46" ht="28.8" x14ac:dyDescent="0.3">
      <c r="D1270" s="22">
        <v>40003</v>
      </c>
      <c r="E1270" s="8" t="s">
        <v>42</v>
      </c>
      <c r="F1270" s="8" t="s">
        <v>202</v>
      </c>
      <c r="G1270" s="8" t="s">
        <v>270</v>
      </c>
      <c r="I1270" s="10">
        <v>0</v>
      </c>
      <c r="J1270" s="10">
        <v>0</v>
      </c>
      <c r="L1270" s="10">
        <v>0</v>
      </c>
      <c r="M1270" s="13">
        <v>0</v>
      </c>
      <c r="N1270" s="13"/>
      <c r="O1270" s="10">
        <v>0</v>
      </c>
      <c r="P1270" s="10">
        <v>0</v>
      </c>
      <c r="Q1270" s="14">
        <v>0</v>
      </c>
      <c r="R1270" s="14">
        <v>0</v>
      </c>
      <c r="S1270" s="10">
        <v>0</v>
      </c>
      <c r="T1270" s="10">
        <v>0</v>
      </c>
      <c r="U1270" s="14">
        <v>0</v>
      </c>
      <c r="V1270" s="10"/>
      <c r="W1270" s="11">
        <v>2</v>
      </c>
      <c r="X1270" s="11">
        <v>2</v>
      </c>
      <c r="Y1270" s="11">
        <v>0</v>
      </c>
      <c r="Z1270" s="11">
        <v>0</v>
      </c>
      <c r="AA1270" s="11">
        <f>MasterTable[[#This Row],[Landings
Night]]+MasterTable[[#This Row],[Landings
Day]]</f>
        <v>2</v>
      </c>
      <c r="AB1270" s="10">
        <v>0</v>
      </c>
      <c r="AC1270" s="10">
        <v>0</v>
      </c>
      <c r="AD1270" s="11">
        <v>0</v>
      </c>
      <c r="AE1270" s="21">
        <f>SUM(MasterTable[[#This Row],[ILS]:[PAR]])</f>
        <v>0</v>
      </c>
      <c r="AL1270" s="11"/>
      <c r="AR1270" s="140" t="str">
        <f>_xlfn.XLOOKUP(MasterTable[[#This Row],[Aircraft ID]],Aircraft!A:A,Aircraft!H:H)</f>
        <v>Airplane Multi Engine Land</v>
      </c>
      <c r="AS1270" s="8" t="b">
        <f>OR((SUM(MasterTable[[#This Row],[ILS]:[PAR]]) = MasterTable[[#This Row],[APPR]]))</f>
        <v>1</v>
      </c>
      <c r="AT1270" s="8" t="b">
        <f>NOT(ISBLANK(MasterTable[[#This Row],[Total
Time]]))</f>
        <v>1</v>
      </c>
    </row>
    <row r="1271" spans="4:46" ht="28.8" x14ac:dyDescent="0.3">
      <c r="D1271" s="22">
        <v>39982</v>
      </c>
      <c r="E1271" s="8" t="s">
        <v>42</v>
      </c>
      <c r="F1271" s="8" t="s">
        <v>202</v>
      </c>
      <c r="G1271" s="8" t="s">
        <v>274</v>
      </c>
      <c r="I1271" s="10">
        <v>0</v>
      </c>
      <c r="J1271" s="10">
        <v>0</v>
      </c>
      <c r="L1271" s="10">
        <v>0</v>
      </c>
      <c r="M1271" s="13">
        <v>0</v>
      </c>
      <c r="N1271" s="13"/>
      <c r="O1271" s="10">
        <v>0</v>
      </c>
      <c r="P1271" s="10">
        <v>0</v>
      </c>
      <c r="Q1271" s="14">
        <v>0</v>
      </c>
      <c r="R1271" s="14">
        <v>0</v>
      </c>
      <c r="S1271" s="10">
        <v>0</v>
      </c>
      <c r="T1271" s="10">
        <v>0</v>
      </c>
      <c r="U1271" s="14">
        <v>0</v>
      </c>
      <c r="V1271" s="10"/>
      <c r="W1271" s="11">
        <v>1</v>
      </c>
      <c r="X1271" s="11">
        <v>1</v>
      </c>
      <c r="Y1271" s="11">
        <v>0</v>
      </c>
      <c r="Z1271" s="11">
        <v>0</v>
      </c>
      <c r="AA1271" s="11">
        <f>MasterTable[[#This Row],[Landings
Night]]+MasterTable[[#This Row],[Landings
Day]]</f>
        <v>1</v>
      </c>
      <c r="AB1271" s="10">
        <v>0</v>
      </c>
      <c r="AC1271" s="10">
        <v>0</v>
      </c>
      <c r="AD1271" s="11">
        <v>0</v>
      </c>
      <c r="AE1271" s="21">
        <f>SUM(MasterTable[[#This Row],[ILS]:[PAR]])</f>
        <v>0</v>
      </c>
      <c r="AL1271" s="11"/>
      <c r="AR1271" s="140" t="str">
        <f>_xlfn.XLOOKUP(MasterTable[[#This Row],[Aircraft ID]],Aircraft!A:A,Aircraft!H:H)</f>
        <v>Airplane Multi Engine Land</v>
      </c>
      <c r="AS1271" s="8" t="b">
        <f>OR((SUM(MasterTable[[#This Row],[ILS]:[PAR]]) = MasterTable[[#This Row],[APPR]]))</f>
        <v>1</v>
      </c>
      <c r="AT1271" s="8" t="b">
        <f>NOT(ISBLANK(MasterTable[[#This Row],[Total
Time]]))</f>
        <v>1</v>
      </c>
    </row>
    <row r="1272" spans="4:46" ht="28.8" x14ac:dyDescent="0.3">
      <c r="D1272" s="22">
        <v>39916</v>
      </c>
      <c r="E1272" s="8" t="s">
        <v>174</v>
      </c>
      <c r="F1272" s="8" t="s">
        <v>202</v>
      </c>
      <c r="G1272" s="8" t="s">
        <v>344</v>
      </c>
      <c r="I1272" s="10">
        <v>1.3</v>
      </c>
      <c r="J1272" s="10">
        <v>0</v>
      </c>
      <c r="L1272" s="10">
        <v>0</v>
      </c>
      <c r="M1272" s="13">
        <v>0</v>
      </c>
      <c r="N1272" s="13"/>
      <c r="O1272" s="10">
        <v>0</v>
      </c>
      <c r="P1272" s="10">
        <v>1.3</v>
      </c>
      <c r="Q1272" s="14">
        <v>0</v>
      </c>
      <c r="R1272" s="14">
        <v>0</v>
      </c>
      <c r="S1272" s="10">
        <v>0</v>
      </c>
      <c r="T1272" s="10">
        <v>0</v>
      </c>
      <c r="U1272" s="14">
        <v>0</v>
      </c>
      <c r="V1272" s="10"/>
      <c r="W1272" s="11">
        <v>6</v>
      </c>
      <c r="X1272" s="11">
        <v>6</v>
      </c>
      <c r="Y1272" s="11">
        <v>0</v>
      </c>
      <c r="Z1272" s="11">
        <v>0</v>
      </c>
      <c r="AA1272" s="11">
        <f>MasterTable[[#This Row],[Landings
Night]]+MasterTable[[#This Row],[Landings
Day]]</f>
        <v>6</v>
      </c>
      <c r="AB1272" s="10">
        <v>0</v>
      </c>
      <c r="AC1272" s="10">
        <v>0</v>
      </c>
      <c r="AD1272" s="11">
        <v>0</v>
      </c>
      <c r="AE1272" s="21">
        <f>SUM(MasterTable[[#This Row],[ILS]:[PAR]])</f>
        <v>0</v>
      </c>
      <c r="AL1272" s="11"/>
      <c r="AR1272" s="140" t="str">
        <f>_xlfn.XLOOKUP(MasterTable[[#This Row],[Aircraft ID]],Aircraft!A:A,Aircraft!H:H)</f>
        <v>Airplane Single Engine Land</v>
      </c>
      <c r="AS1272" s="8" t="b">
        <f>OR((SUM(MasterTable[[#This Row],[ILS]:[PAR]]) = MasterTable[[#This Row],[APPR]]))</f>
        <v>1</v>
      </c>
      <c r="AT1272" s="8" t="b">
        <f>NOT(ISBLANK(MasterTable[[#This Row],[Total
Time]]))</f>
        <v>1</v>
      </c>
    </row>
    <row r="1273" spans="4:46" ht="28.8" x14ac:dyDescent="0.3">
      <c r="D1273" s="22">
        <v>39862</v>
      </c>
      <c r="E1273" s="8" t="s">
        <v>174</v>
      </c>
      <c r="F1273" s="8" t="s">
        <v>202</v>
      </c>
      <c r="G1273" s="8" t="s">
        <v>202</v>
      </c>
      <c r="I1273" s="10">
        <v>0.9</v>
      </c>
      <c r="J1273" s="10">
        <v>0</v>
      </c>
      <c r="L1273" s="10">
        <v>0</v>
      </c>
      <c r="M1273" s="13">
        <v>0</v>
      </c>
      <c r="N1273" s="13"/>
      <c r="O1273" s="10">
        <v>0</v>
      </c>
      <c r="P1273" s="10">
        <v>0.9</v>
      </c>
      <c r="Q1273" s="14">
        <v>0</v>
      </c>
      <c r="R1273" s="14">
        <v>0</v>
      </c>
      <c r="S1273" s="10">
        <v>0</v>
      </c>
      <c r="T1273" s="10">
        <v>0</v>
      </c>
      <c r="U1273" s="14">
        <v>0</v>
      </c>
      <c r="V1273" s="10"/>
      <c r="W1273" s="11">
        <v>5</v>
      </c>
      <c r="X1273" s="11">
        <v>5</v>
      </c>
      <c r="Y1273" s="11">
        <v>0</v>
      </c>
      <c r="Z1273" s="11">
        <v>0</v>
      </c>
      <c r="AA1273" s="11">
        <f>MasterTable[[#This Row],[Landings
Night]]+MasterTable[[#This Row],[Landings
Day]]</f>
        <v>5</v>
      </c>
      <c r="AB1273" s="10">
        <v>0</v>
      </c>
      <c r="AC1273" s="10">
        <v>0</v>
      </c>
      <c r="AD1273" s="11">
        <v>0</v>
      </c>
      <c r="AE1273" s="21">
        <f>SUM(MasterTable[[#This Row],[ILS]:[PAR]])</f>
        <v>0</v>
      </c>
      <c r="AL1273" s="11"/>
      <c r="AR1273" s="140" t="str">
        <f>_xlfn.XLOOKUP(MasterTable[[#This Row],[Aircraft ID]],Aircraft!A:A,Aircraft!H:H)</f>
        <v>Airplane Single Engine Land</v>
      </c>
      <c r="AS1273" s="8" t="b">
        <f>OR((SUM(MasterTable[[#This Row],[ILS]:[PAR]]) = MasterTable[[#This Row],[APPR]]))</f>
        <v>1</v>
      </c>
      <c r="AT1273" s="8" t="b">
        <f>NOT(ISBLANK(MasterTable[[#This Row],[Total
Time]]))</f>
        <v>1</v>
      </c>
    </row>
    <row r="1274" spans="4:46" ht="28.8" x14ac:dyDescent="0.3">
      <c r="D1274" s="22">
        <v>39829</v>
      </c>
      <c r="E1274" s="8" t="s">
        <v>174</v>
      </c>
      <c r="F1274" s="8" t="s">
        <v>202</v>
      </c>
      <c r="G1274" s="8" t="s">
        <v>202</v>
      </c>
      <c r="I1274" s="10">
        <v>1.1000000000000001</v>
      </c>
      <c r="J1274" s="10">
        <v>0</v>
      </c>
      <c r="L1274" s="10">
        <v>0</v>
      </c>
      <c r="M1274" s="13">
        <v>0</v>
      </c>
      <c r="N1274" s="13"/>
      <c r="O1274" s="10">
        <v>0</v>
      </c>
      <c r="P1274" s="10">
        <v>1.1000000000000001</v>
      </c>
      <c r="Q1274" s="14">
        <v>0</v>
      </c>
      <c r="R1274" s="14">
        <v>0</v>
      </c>
      <c r="S1274" s="10">
        <v>0</v>
      </c>
      <c r="T1274" s="10">
        <v>0</v>
      </c>
      <c r="U1274" s="14">
        <v>0</v>
      </c>
      <c r="V1274" s="10"/>
      <c r="W1274" s="11">
        <v>3</v>
      </c>
      <c r="X1274" s="11">
        <v>3</v>
      </c>
      <c r="Y1274" s="11">
        <v>0</v>
      </c>
      <c r="Z1274" s="11">
        <v>0</v>
      </c>
      <c r="AA1274" s="11">
        <f>MasterTable[[#This Row],[Landings
Night]]+MasterTable[[#This Row],[Landings
Day]]</f>
        <v>3</v>
      </c>
      <c r="AB1274" s="10">
        <v>0</v>
      </c>
      <c r="AC1274" s="10">
        <v>0</v>
      </c>
      <c r="AD1274" s="11">
        <v>0</v>
      </c>
      <c r="AE1274" s="21">
        <f>SUM(MasterTable[[#This Row],[ILS]:[PAR]])</f>
        <v>0</v>
      </c>
      <c r="AL1274" s="11"/>
      <c r="AR1274" s="140" t="str">
        <f>_xlfn.XLOOKUP(MasterTable[[#This Row],[Aircraft ID]],Aircraft!A:A,Aircraft!H:H)</f>
        <v>Airplane Single Engine Land</v>
      </c>
      <c r="AS1274" s="8" t="b">
        <f>OR((SUM(MasterTable[[#This Row],[ILS]:[PAR]]) = MasterTable[[#This Row],[APPR]]))</f>
        <v>1</v>
      </c>
      <c r="AT1274" s="8" t="b">
        <f>NOT(ISBLANK(MasterTable[[#This Row],[Total
Time]]))</f>
        <v>1</v>
      </c>
    </row>
    <row r="1275" spans="4:46" ht="28.8" x14ac:dyDescent="0.3">
      <c r="D1275" s="22">
        <v>39813</v>
      </c>
      <c r="E1275" s="8" t="s">
        <v>174</v>
      </c>
      <c r="F1275" s="8" t="s">
        <v>202</v>
      </c>
      <c r="G1275" s="8" t="s">
        <v>202</v>
      </c>
      <c r="I1275" s="10">
        <v>0.8</v>
      </c>
      <c r="J1275" s="10">
        <v>0</v>
      </c>
      <c r="L1275" s="10">
        <v>0</v>
      </c>
      <c r="M1275" s="13">
        <v>0</v>
      </c>
      <c r="N1275" s="13"/>
      <c r="O1275" s="10">
        <v>0</v>
      </c>
      <c r="P1275" s="10">
        <v>0.8</v>
      </c>
      <c r="Q1275" s="14">
        <v>0</v>
      </c>
      <c r="R1275" s="14">
        <v>0</v>
      </c>
      <c r="S1275" s="10">
        <v>0</v>
      </c>
      <c r="T1275" s="10">
        <v>0</v>
      </c>
      <c r="U1275" s="14">
        <v>0</v>
      </c>
      <c r="V1275" s="10"/>
      <c r="W1275" s="11">
        <v>1</v>
      </c>
      <c r="X1275" s="11">
        <v>1</v>
      </c>
      <c r="Y1275" s="11">
        <v>0</v>
      </c>
      <c r="Z1275" s="11">
        <v>0</v>
      </c>
      <c r="AA1275" s="11">
        <f>MasterTable[[#This Row],[Landings
Night]]+MasterTable[[#This Row],[Landings
Day]]</f>
        <v>1</v>
      </c>
      <c r="AB1275" s="10">
        <v>0</v>
      </c>
      <c r="AC1275" s="10">
        <v>0</v>
      </c>
      <c r="AD1275" s="11">
        <v>0</v>
      </c>
      <c r="AE1275" s="21">
        <f>SUM(MasterTable[[#This Row],[ILS]:[PAR]])</f>
        <v>0</v>
      </c>
      <c r="AL1275" s="11"/>
      <c r="AR1275" s="140" t="str">
        <f>_xlfn.XLOOKUP(MasterTable[[#This Row],[Aircraft ID]],Aircraft!A:A,Aircraft!H:H)</f>
        <v>Airplane Single Engine Land</v>
      </c>
      <c r="AS1275" s="8" t="b">
        <f>OR((SUM(MasterTable[[#This Row],[ILS]:[PAR]]) = MasterTable[[#This Row],[APPR]]))</f>
        <v>1</v>
      </c>
      <c r="AT1275" s="8" t="b">
        <f>NOT(ISBLANK(MasterTable[[#This Row],[Total
Time]]))</f>
        <v>1</v>
      </c>
    </row>
    <row r="1276" spans="4:46" ht="28.8" x14ac:dyDescent="0.3">
      <c r="D1276" s="22">
        <v>39811</v>
      </c>
      <c r="E1276" s="8" t="s">
        <v>174</v>
      </c>
      <c r="F1276" s="8" t="s">
        <v>202</v>
      </c>
      <c r="G1276" s="8" t="s">
        <v>219</v>
      </c>
      <c r="I1276" s="10">
        <v>0.5</v>
      </c>
      <c r="J1276" s="10">
        <v>0</v>
      </c>
      <c r="L1276" s="10">
        <v>0</v>
      </c>
      <c r="M1276" s="13">
        <v>0</v>
      </c>
      <c r="N1276" s="13"/>
      <c r="O1276" s="10">
        <v>0</v>
      </c>
      <c r="P1276" s="10">
        <v>0.5</v>
      </c>
      <c r="Q1276" s="14">
        <v>0</v>
      </c>
      <c r="R1276" s="14">
        <v>0</v>
      </c>
      <c r="S1276" s="10">
        <v>0</v>
      </c>
      <c r="T1276" s="10">
        <v>0</v>
      </c>
      <c r="U1276" s="14">
        <v>0</v>
      </c>
      <c r="V1276" s="10"/>
      <c r="W1276" s="11">
        <v>1</v>
      </c>
      <c r="X1276" s="11">
        <v>1</v>
      </c>
      <c r="Y1276" s="11">
        <v>0</v>
      </c>
      <c r="Z1276" s="11">
        <v>0</v>
      </c>
      <c r="AA1276" s="11">
        <f>MasterTable[[#This Row],[Landings
Night]]+MasterTable[[#This Row],[Landings
Day]]</f>
        <v>1</v>
      </c>
      <c r="AB1276" s="10">
        <v>0</v>
      </c>
      <c r="AC1276" s="10">
        <v>0</v>
      </c>
      <c r="AD1276" s="11">
        <v>0</v>
      </c>
      <c r="AE1276" s="21">
        <f>SUM(MasterTable[[#This Row],[ILS]:[PAR]])</f>
        <v>0</v>
      </c>
      <c r="AL1276" s="11"/>
      <c r="AR1276" s="140" t="str">
        <f>_xlfn.XLOOKUP(MasterTable[[#This Row],[Aircraft ID]],Aircraft!A:A,Aircraft!H:H)</f>
        <v>Airplane Single Engine Land</v>
      </c>
      <c r="AS1276" s="8" t="b">
        <f>OR((SUM(MasterTable[[#This Row],[ILS]:[PAR]]) = MasterTable[[#This Row],[APPR]]))</f>
        <v>1</v>
      </c>
      <c r="AT1276" s="8" t="b">
        <f>NOT(ISBLANK(MasterTable[[#This Row],[Total
Time]]))</f>
        <v>1</v>
      </c>
    </row>
  </sheetData>
  <mergeCells count="7">
    <mergeCell ref="D1:H1"/>
    <mergeCell ref="AN1:AQ1"/>
    <mergeCell ref="AB1:AL1"/>
    <mergeCell ref="W1:AA1"/>
    <mergeCell ref="O1:R1"/>
    <mergeCell ref="S1:V1"/>
    <mergeCell ref="I1:N1"/>
  </mergeCells>
  <phoneticPr fontId="18" type="noConversion"/>
  <conditionalFormatting sqref="AS1:AT1048576">
    <cfRule type="containsText" dxfId="19" priority="1" operator="containsText" text="TRUE">
      <formula>NOT(ISERROR(SEARCH("TRUE",AS1)))</formula>
    </cfRule>
    <cfRule type="containsText" dxfId="18" priority="2" operator="containsText" text="FALSE">
      <formula>NOT(ISERROR(SEARCH("FALSE",AS1)))</formula>
    </cfRule>
  </conditionalFormatting>
  <dataValidations count="1">
    <dataValidation type="list" allowBlank="1" showInputMessage="1" showErrorMessage="1" sqref="AN16:AQ1048576 AR1277:AR1048576" xr:uid="{6B336DBE-495C-4E14-9409-1A8C745A91FD}">
      <formula1>"TRUE, FALSE"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26181B-DEB6-43C5-A3EB-75BCB8D0354A}">
          <x14:formula1>
            <xm:f>Aircraft!$A:$A</xm:f>
          </x14:formula1>
          <xm:sqref>E2:E1048576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E65CF-2998-4262-9218-C65137C43917}">
  <sheetPr codeName="Sheet5">
    <tabColor theme="8" tint="0.39997558519241921"/>
  </sheetPr>
  <dimension ref="A1:AC101"/>
  <sheetViews>
    <sheetView zoomScale="85" zoomScaleNormal="85" workbookViewId="0">
      <selection activeCell="H4" sqref="H4"/>
    </sheetView>
  </sheetViews>
  <sheetFormatPr defaultRowHeight="14.4" x14ac:dyDescent="0.3"/>
  <cols>
    <col min="1" max="1" width="1.77734375" customWidth="1"/>
    <col min="2" max="2" width="18.77734375" style="2" customWidth="1"/>
    <col min="3" max="3" width="8.77734375" style="2" customWidth="1"/>
    <col min="4" max="4" width="1.77734375" customWidth="1"/>
    <col min="5" max="5" width="18.77734375" customWidth="1"/>
    <col min="6" max="6" width="8.77734375" customWidth="1"/>
    <col min="7" max="7" width="1.77734375" customWidth="1"/>
    <col min="8" max="8" width="26.109375" bestFit="1" customWidth="1"/>
    <col min="9" max="9" width="6.5546875" bestFit="1" customWidth="1"/>
    <col min="10" max="10" width="9.6640625" bestFit="1" customWidth="1"/>
    <col min="11" max="11" width="16.21875" bestFit="1" customWidth="1"/>
    <col min="12" max="12" width="13" hidden="1" customWidth="1"/>
    <col min="13" max="13" width="9.6640625" hidden="1" customWidth="1"/>
    <col min="14" max="14" width="10.77734375" hidden="1" customWidth="1"/>
    <col min="15" max="48" width="10.77734375" customWidth="1"/>
  </cols>
  <sheetData>
    <row r="1" spans="1:29" ht="4.8" customHeight="1" thickBot="1" x14ac:dyDescent="0.35">
      <c r="A1" s="76"/>
      <c r="C1" s="58"/>
      <c r="D1" s="2"/>
    </row>
    <row r="2" spans="1:29" ht="16.2" thickTop="1" x14ac:dyDescent="0.3">
      <c r="A2" s="2"/>
      <c r="B2" s="97" t="s">
        <v>455</v>
      </c>
      <c r="C2" s="98"/>
      <c r="D2" s="2"/>
      <c r="E2" s="99" t="s">
        <v>449</v>
      </c>
      <c r="F2" s="100"/>
      <c r="G2" s="57"/>
      <c r="H2" s="96" t="s">
        <v>466</v>
      </c>
      <c r="I2" s="96"/>
      <c r="J2" s="96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x14ac:dyDescent="0.3">
      <c r="A3" s="2"/>
      <c r="B3" s="55" t="s">
        <v>426</v>
      </c>
      <c r="C3" s="38">
        <f>SUM(AircraftTable[Total Time])</f>
        <v>1624.3999999999999</v>
      </c>
      <c r="D3" s="2"/>
      <c r="E3" s="54" t="s">
        <v>450</v>
      </c>
      <c r="F3" s="37">
        <f>SUMIF(Aircraft!I:I,"TRUE",Aircraft!N:N)</f>
        <v>206.69999999999993</v>
      </c>
      <c r="G3" s="2"/>
      <c r="I3" t="s">
        <v>427</v>
      </c>
      <c r="J3" t="s">
        <v>426</v>
      </c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14.4" customHeight="1" x14ac:dyDescent="0.3">
      <c r="A4" s="2"/>
      <c r="B4" s="55" t="s">
        <v>184</v>
      </c>
      <c r="C4" s="38">
        <f>SUM(AircraftTable[PIC])</f>
        <v>1318</v>
      </c>
      <c r="D4" s="2"/>
      <c r="E4" s="55" t="s">
        <v>451</v>
      </c>
      <c r="F4" s="38">
        <f>SUMIF(Aircraft!K:K,"TRUE",Aircraft!N:N)</f>
        <v>175.69999999999993</v>
      </c>
      <c r="G4" s="2"/>
      <c r="H4" s="8" t="s">
        <v>522</v>
      </c>
      <c r="I4" s="139">
        <v>209</v>
      </c>
      <c r="J4" s="51">
        <v>225.50000000000006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spans="1:29" ht="14.4" customHeight="1" x14ac:dyDescent="0.3">
      <c r="A5" s="2"/>
      <c r="B5" s="55" t="s">
        <v>185</v>
      </c>
      <c r="C5" s="38">
        <f>SUM(AircraftTable[SIC])</f>
        <v>57.400000000000013</v>
      </c>
      <c r="D5" s="2"/>
      <c r="E5" s="55" t="s">
        <v>454</v>
      </c>
      <c r="F5" s="38">
        <f>SUMIF(Aircraft!F:F,"*retractable*",Aircraft!N:N)</f>
        <v>347.09999999999997</v>
      </c>
      <c r="G5" s="2"/>
      <c r="H5" s="50" t="s">
        <v>375</v>
      </c>
      <c r="I5" s="139">
        <v>74</v>
      </c>
      <c r="J5" s="51">
        <v>80.500000000000043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</row>
    <row r="6" spans="1:29" ht="14.4" customHeight="1" x14ac:dyDescent="0.3">
      <c r="A6" s="2"/>
      <c r="B6" s="55" t="s">
        <v>428</v>
      </c>
      <c r="C6" s="38">
        <f>SUM(AircraftTable[PRI])</f>
        <v>185.8</v>
      </c>
      <c r="D6" s="2"/>
      <c r="E6" s="55" t="s">
        <v>452</v>
      </c>
      <c r="F6" s="38">
        <f>SUMIF(Aircraft!J:J,"TRUE",Aircraft!N:N)</f>
        <v>3.5</v>
      </c>
      <c r="G6" s="2"/>
      <c r="H6" s="50" t="s">
        <v>38</v>
      </c>
      <c r="I6" s="139">
        <v>77</v>
      </c>
      <c r="J6" s="51">
        <v>58.900000000000013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</row>
    <row r="7" spans="1:29" ht="14.4" customHeight="1" x14ac:dyDescent="0.3">
      <c r="A7" s="2"/>
      <c r="B7" s="55" t="s">
        <v>431</v>
      </c>
      <c r="C7" s="39">
        <f>SUM(AircraftTable[Total LDG])</f>
        <v>3006</v>
      </c>
      <c r="D7" s="2"/>
      <c r="E7" s="55" t="s">
        <v>453</v>
      </c>
      <c r="F7" s="38">
        <f>SUMIF(Aircraft!F:F,"*tailwheel*",Aircraft!N:N)</f>
        <v>96.300000000000026</v>
      </c>
      <c r="G7" s="2"/>
      <c r="H7" s="50" t="s">
        <v>73</v>
      </c>
      <c r="I7" s="139">
        <v>31</v>
      </c>
      <c r="J7" s="51">
        <v>45.3</v>
      </c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</row>
    <row r="8" spans="1:29" ht="14.4" customHeight="1" x14ac:dyDescent="0.3">
      <c r="A8" s="2"/>
      <c r="B8" s="55" t="s">
        <v>432</v>
      </c>
      <c r="C8" s="38">
        <f>SUM(AircraftTable[XC])</f>
        <v>607.79999999999961</v>
      </c>
      <c r="D8" s="2"/>
      <c r="E8" s="55" t="s">
        <v>13</v>
      </c>
      <c r="F8" s="38">
        <f>SUMIF(Aircraft!G:G,"Piston",Aircraft!N:N)</f>
        <v>1358</v>
      </c>
      <c r="G8" s="2"/>
      <c r="H8" s="50" t="s">
        <v>69</v>
      </c>
      <c r="I8" s="139">
        <v>12</v>
      </c>
      <c r="J8" s="51">
        <v>21.799999999999997</v>
      </c>
      <c r="K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</row>
    <row r="9" spans="1:29" ht="14.4" customHeight="1" x14ac:dyDescent="0.3">
      <c r="A9" s="2"/>
      <c r="B9" s="55" t="s">
        <v>558</v>
      </c>
      <c r="C9" s="38">
        <f>SUM(AircraftTable[Actual Inst])</f>
        <v>26.6</v>
      </c>
      <c r="D9" s="2"/>
      <c r="E9" s="55" t="s">
        <v>46</v>
      </c>
      <c r="F9" s="38">
        <f>SUMIF(Aircraft!G:G,"Turboprop",Aircraft!N:N)</f>
        <v>116.19999999999996</v>
      </c>
      <c r="G9" s="2"/>
      <c r="H9" s="50" t="s">
        <v>63</v>
      </c>
      <c r="I9" s="139">
        <v>4</v>
      </c>
      <c r="J9" s="51">
        <v>10.199999999999999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</row>
    <row r="10" spans="1:29" ht="14.4" customHeight="1" x14ac:dyDescent="0.3">
      <c r="A10" s="2"/>
      <c r="B10" s="55" t="s">
        <v>442</v>
      </c>
      <c r="C10" s="38">
        <f>SUM(AircraftTable[Sim Inst])</f>
        <v>97.90000000000002</v>
      </c>
      <c r="D10" s="2"/>
      <c r="E10" s="55" t="s">
        <v>35</v>
      </c>
      <c r="F10" s="38">
        <f>SUMIF(Aircraft!G:G,"Turbofan",Aircraft!N:N)</f>
        <v>58.900000000000013</v>
      </c>
      <c r="G10" s="2"/>
      <c r="H10" s="50" t="s">
        <v>93</v>
      </c>
      <c r="I10" s="139">
        <v>6</v>
      </c>
      <c r="J10" s="51">
        <v>8.1</v>
      </c>
      <c r="K10" s="2"/>
      <c r="L10" s="49" t="s">
        <v>463</v>
      </c>
      <c r="M10" t="s">
        <v>426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</row>
    <row r="11" spans="1:29" ht="14.4" customHeight="1" x14ac:dyDescent="0.3">
      <c r="A11" s="2"/>
      <c r="B11" s="55" t="s">
        <v>186</v>
      </c>
      <c r="C11" s="38">
        <f>SUM(AircraftTable[Night])</f>
        <v>106.7</v>
      </c>
      <c r="D11" s="2"/>
      <c r="E11" s="55" t="s">
        <v>179</v>
      </c>
      <c r="F11" s="38">
        <f>SUMIF(Aircraft!G:G,"Turbojet",Aircraft!N:N)</f>
        <v>80.500000000000043</v>
      </c>
      <c r="G11" s="2"/>
      <c r="H11" s="50" t="s">
        <v>161</v>
      </c>
      <c r="I11" s="139">
        <v>1</v>
      </c>
      <c r="J11" s="51">
        <v>0.7</v>
      </c>
      <c r="K11" s="2"/>
      <c r="L11" s="8" t="s">
        <v>73</v>
      </c>
      <c r="M11" s="51">
        <v>45.3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</row>
    <row r="12" spans="1:29" ht="14.4" customHeight="1" x14ac:dyDescent="0.3">
      <c r="A12" s="2"/>
      <c r="B12" s="55" t="s">
        <v>559</v>
      </c>
      <c r="C12" s="38">
        <f>SUM(AircraftTable[DualGiven])</f>
        <v>362.69999999999993</v>
      </c>
      <c r="D12" s="2"/>
      <c r="E12" s="55" t="s">
        <v>96</v>
      </c>
      <c r="F12" s="38">
        <f>SUMIF(Aircraft!G:G,"Diesel",Aircraft!N:N)</f>
        <v>8.1</v>
      </c>
      <c r="G12" s="2"/>
      <c r="H12" s="50" t="s">
        <v>43</v>
      </c>
      <c r="I12" s="139">
        <v>3</v>
      </c>
      <c r="J12" s="51">
        <v>0</v>
      </c>
      <c r="K12" s="2"/>
      <c r="L12" s="8" t="s">
        <v>61</v>
      </c>
      <c r="M12" s="51">
        <v>99.6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</row>
    <row r="13" spans="1:29" ht="14.4" customHeight="1" thickBot="1" x14ac:dyDescent="0.35">
      <c r="A13" s="2"/>
      <c r="B13" s="56" t="s">
        <v>440</v>
      </c>
      <c r="C13" s="40">
        <f>SUM(AircraftTable[Dual Received])</f>
        <v>422.2</v>
      </c>
      <c r="D13" s="2"/>
      <c r="E13" s="56" t="s">
        <v>547</v>
      </c>
      <c r="F13" s="40">
        <f>SUMIF(Aircraft!G:G,"Non-powered",Aircraft!N:N)</f>
        <v>2.7</v>
      </c>
      <c r="G13" s="2"/>
      <c r="H13" s="50" t="s">
        <v>34</v>
      </c>
      <c r="I13" s="139">
        <v>1</v>
      </c>
      <c r="J13" s="51">
        <v>0</v>
      </c>
      <c r="K13" s="2"/>
      <c r="L13" s="8" t="s">
        <v>11</v>
      </c>
      <c r="M13" s="51">
        <v>1000.8000000000002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</row>
    <row r="14" spans="1:29" ht="14.4" customHeight="1" thickTop="1" x14ac:dyDescent="0.3">
      <c r="A14" s="2"/>
      <c r="B14" s="99" t="s">
        <v>457</v>
      </c>
      <c r="C14" s="100"/>
      <c r="D14" s="2"/>
      <c r="E14" s="99" t="s">
        <v>444</v>
      </c>
      <c r="F14" s="100"/>
      <c r="G14" s="57"/>
      <c r="H14" s="8" t="s">
        <v>525</v>
      </c>
      <c r="I14" s="139">
        <v>1048</v>
      </c>
      <c r="J14" s="51">
        <v>1383.8000000000002</v>
      </c>
      <c r="K14" s="2"/>
      <c r="L14" s="8" t="s">
        <v>21</v>
      </c>
      <c r="M14" s="51">
        <v>22.800000000000004</v>
      </c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</row>
    <row r="15" spans="1:29" ht="14.4" customHeight="1" x14ac:dyDescent="0.3">
      <c r="A15" s="2"/>
      <c r="B15" s="54" t="s">
        <v>458</v>
      </c>
      <c r="C15" s="37">
        <f ca="1">SUMIFS(MasterTable[Total
Time],MasterTable[Date],"&gt;="&amp;TODAY()-30,MasterTable[Date],"&lt;="&amp;TODAY())</f>
        <v>12.799999999999999</v>
      </c>
      <c r="D15" s="2"/>
      <c r="E15" s="54" t="s">
        <v>445</v>
      </c>
      <c r="F15" s="37">
        <f>SUMIF(Aircraft!H:H,"Airplane Single Engine Land",Aircraft!N:N)</f>
        <v>1383.8</v>
      </c>
      <c r="G15" s="2"/>
      <c r="H15" s="50" t="s">
        <v>11</v>
      </c>
      <c r="I15" s="139">
        <v>704</v>
      </c>
      <c r="J15" s="51">
        <v>1000.8000000000002</v>
      </c>
      <c r="K15" s="2"/>
      <c r="L15" s="8" t="s">
        <v>38</v>
      </c>
      <c r="M15" s="51">
        <v>58.900000000000013</v>
      </c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</row>
    <row r="16" spans="1:29" ht="14.4" customHeight="1" x14ac:dyDescent="0.3">
      <c r="A16" s="2"/>
      <c r="B16" s="55" t="s">
        <v>459</v>
      </c>
      <c r="C16" s="38">
        <f ca="1">SUMIFS(MasterTable[Total
Time],MasterTable[Date],"&gt;="&amp;TODAY()-90,MasterTable[Date],"&lt;="&amp;TODAY())</f>
        <v>62.700000000000031</v>
      </c>
      <c r="D16" s="2"/>
      <c r="E16" s="55" t="s">
        <v>446</v>
      </c>
      <c r="F16" s="38">
        <f>SUMIF(Aircraft!H:H,"Airplane Multi Engine Land",Aircraft!N:N)</f>
        <v>225.50000000000006</v>
      </c>
      <c r="G16" s="2"/>
      <c r="H16" s="50" t="s">
        <v>176</v>
      </c>
      <c r="I16" s="139">
        <v>70</v>
      </c>
      <c r="J16" s="51">
        <v>105.29999999999995</v>
      </c>
      <c r="K16" s="2"/>
      <c r="L16" s="8" t="s">
        <v>140</v>
      </c>
      <c r="M16" s="51">
        <v>68.2</v>
      </c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</row>
    <row r="17" spans="1:29" ht="14.4" customHeight="1" x14ac:dyDescent="0.3">
      <c r="A17" s="2"/>
      <c r="B17" s="55" t="s">
        <v>460</v>
      </c>
      <c r="C17" s="38">
        <f ca="1">SUMIFS(MasterTable[Total
Time],MasterTable[Date],"&gt;="&amp;TODAY()-183,MasterTable[Date],"&lt;="&amp;TODAY())</f>
        <v>83.700000000000045</v>
      </c>
      <c r="D17" s="2"/>
      <c r="E17" s="55" t="s">
        <v>447</v>
      </c>
      <c r="F17" s="38">
        <f>SUMIF(Aircraft!H:H,"Airplane Single Engine Sea",Aircraft!N:N)</f>
        <v>11.4</v>
      </c>
      <c r="G17" s="2"/>
      <c r="H17" s="50" t="s">
        <v>61</v>
      </c>
      <c r="I17" s="139">
        <v>86</v>
      </c>
      <c r="J17" s="51">
        <v>99.6</v>
      </c>
      <c r="K17" s="2"/>
      <c r="L17" s="8" t="s">
        <v>65</v>
      </c>
      <c r="M17" s="51">
        <v>39</v>
      </c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</row>
    <row r="18" spans="1:29" ht="14.4" customHeight="1" x14ac:dyDescent="0.3">
      <c r="A18" s="2"/>
      <c r="B18" s="55" t="s">
        <v>461</v>
      </c>
      <c r="C18" s="38">
        <f ca="1">SUMIFS(MasterTable[Total
Time],MasterTable[Date],"&gt;="&amp;TODAY()-365,MasterTable[Date],"&lt;="&amp;TODAY())</f>
        <v>187.39999999999989</v>
      </c>
      <c r="D18" s="2"/>
      <c r="E18" s="55" t="s">
        <v>448</v>
      </c>
      <c r="F18" s="38">
        <f>SUMIF(Aircraft!H:H,"Glider",Aircraft!N:N)</f>
        <v>2.7</v>
      </c>
      <c r="G18" s="2"/>
      <c r="H18" s="50" t="s">
        <v>140</v>
      </c>
      <c r="I18" s="139">
        <v>91</v>
      </c>
      <c r="J18" s="51">
        <v>68.2</v>
      </c>
      <c r="K18" s="2"/>
      <c r="L18" s="8" t="s">
        <v>69</v>
      </c>
      <c r="M18" s="51">
        <v>21.799999999999997</v>
      </c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</row>
    <row r="19" spans="1:29" ht="14.4" customHeight="1" thickBot="1" x14ac:dyDescent="0.35">
      <c r="A19" s="2"/>
      <c r="B19" s="56" t="s">
        <v>462</v>
      </c>
      <c r="C19" s="40">
        <f ca="1">SUMIFS(MasterTable[Total
Time],MasterTable[Date],"&gt;="&amp;TODAY()-730,MasterTable[Date],"&lt;="&amp;TODAY())</f>
        <v>194.39999999999992</v>
      </c>
      <c r="D19" s="2"/>
      <c r="E19" s="56" t="s">
        <v>456</v>
      </c>
      <c r="F19" s="40">
        <f>SUMIF(Aircraft!H:H,"Weight Shift Control",Aircraft!N:N)</f>
        <v>1</v>
      </c>
      <c r="G19" s="32"/>
      <c r="H19" s="50" t="s">
        <v>65</v>
      </c>
      <c r="I19" s="139">
        <v>32</v>
      </c>
      <c r="J19" s="51">
        <v>39</v>
      </c>
      <c r="K19" s="2"/>
      <c r="L19" s="8" t="s">
        <v>375</v>
      </c>
      <c r="M19" s="51">
        <v>80.500000000000043</v>
      </c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</row>
    <row r="20" spans="1:29" ht="14.4" customHeight="1" thickTop="1" x14ac:dyDescent="0.3">
      <c r="A20" s="2"/>
      <c r="B20" s="101" t="s">
        <v>560</v>
      </c>
      <c r="C20" s="102"/>
      <c r="D20" s="2"/>
      <c r="E20" s="147"/>
      <c r="F20" s="147"/>
      <c r="G20" s="2"/>
      <c r="H20" s="50" t="s">
        <v>21</v>
      </c>
      <c r="I20" s="139">
        <v>15</v>
      </c>
      <c r="J20" s="51">
        <v>22.800000000000004</v>
      </c>
      <c r="K20" s="2"/>
      <c r="L20" s="8" t="s">
        <v>176</v>
      </c>
      <c r="M20" s="51">
        <v>105.29999999999995</v>
      </c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</row>
    <row r="21" spans="1:29" ht="14.4" customHeight="1" x14ac:dyDescent="0.3">
      <c r="A21" s="2"/>
      <c r="B21" s="90" t="s">
        <v>480</v>
      </c>
      <c r="C21" s="91">
        <f>COUNTA(_xlfn.UNIQUE(AircraftTable[TypeCode]))</f>
        <v>43</v>
      </c>
      <c r="D21" s="84"/>
      <c r="E21" s="143"/>
      <c r="F21" s="144"/>
      <c r="G21" s="2"/>
      <c r="H21" s="50" t="s">
        <v>89</v>
      </c>
      <c r="I21" s="139">
        <v>5</v>
      </c>
      <c r="J21" s="51">
        <v>6.7</v>
      </c>
      <c r="K21" s="2"/>
      <c r="L21" s="8" t="s">
        <v>464</v>
      </c>
      <c r="M21" s="51">
        <v>1542.2000000000003</v>
      </c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</row>
    <row r="22" spans="1:29" ht="14.4" customHeight="1" x14ac:dyDescent="0.3">
      <c r="A22" s="2"/>
      <c r="B22" s="90" t="s">
        <v>561</v>
      </c>
      <c r="C22" s="91" cm="1">
        <f t="array" ref="C22">COUNTA(_xlfn.UNIQUE(_xlfn._xlws.FILTER(AircraftTable[TypeCode],AircraftTable[Flights] &gt;= 3)))</f>
        <v>22</v>
      </c>
      <c r="D22" s="84"/>
      <c r="E22" s="143"/>
      <c r="F22" s="144"/>
      <c r="G22" s="2"/>
      <c r="H22" s="50" t="s">
        <v>54</v>
      </c>
      <c r="I22" s="139">
        <v>10</v>
      </c>
      <c r="J22" s="51">
        <v>5</v>
      </c>
      <c r="K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</row>
    <row r="23" spans="1:29" ht="14.4" customHeight="1" thickBot="1" x14ac:dyDescent="0.35">
      <c r="A23" s="2"/>
      <c r="B23" s="56" t="s">
        <v>562</v>
      </c>
      <c r="C23" s="89" cm="1">
        <f t="array" ref="C23">COUNTA(_xlfn.UNIQUE(_xlfn._xlws.FILTER(AircraftTable[TypeCode],AircraftTable[Total Time] &gt;= 20)))</f>
        <v>8</v>
      </c>
      <c r="D23" s="2"/>
      <c r="E23" s="145"/>
      <c r="F23" s="146"/>
      <c r="G23" s="2"/>
      <c r="H23" s="50" t="s">
        <v>57</v>
      </c>
      <c r="I23" s="139">
        <v>4</v>
      </c>
      <c r="J23" s="51">
        <v>4.5</v>
      </c>
      <c r="K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</row>
    <row r="24" spans="1:29" ht="15" thickTop="1" x14ac:dyDescent="0.3">
      <c r="A24" s="2"/>
      <c r="D24" s="2"/>
      <c r="E24" s="145"/>
      <c r="F24" s="146"/>
      <c r="G24" s="2"/>
      <c r="H24" s="50" t="s">
        <v>115</v>
      </c>
      <c r="I24" s="139">
        <v>3</v>
      </c>
      <c r="J24" s="51">
        <v>3.5</v>
      </c>
      <c r="K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</row>
    <row r="25" spans="1:29" x14ac:dyDescent="0.3">
      <c r="A25" s="2"/>
      <c r="D25" s="2"/>
      <c r="E25" s="145"/>
      <c r="F25" s="146"/>
      <c r="G25" s="2"/>
      <c r="H25" s="50" t="s">
        <v>171</v>
      </c>
      <c r="I25" s="139">
        <v>3</v>
      </c>
      <c r="J25" s="51">
        <v>3.4</v>
      </c>
      <c r="K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</row>
    <row r="26" spans="1:29" x14ac:dyDescent="0.3">
      <c r="A26" s="2"/>
      <c r="D26" s="2"/>
      <c r="E26" s="145"/>
      <c r="F26" s="146"/>
      <c r="G26" s="2"/>
      <c r="H26" s="50" t="s">
        <v>82</v>
      </c>
      <c r="I26" s="139">
        <v>2</v>
      </c>
      <c r="J26" s="51">
        <v>3.3</v>
      </c>
      <c r="K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</row>
    <row r="27" spans="1:29" x14ac:dyDescent="0.3">
      <c r="A27" s="2"/>
      <c r="D27" s="2"/>
      <c r="E27" s="2"/>
      <c r="F27" s="2"/>
      <c r="G27" s="2"/>
      <c r="H27" s="50" t="s">
        <v>107</v>
      </c>
      <c r="I27" s="139">
        <v>3</v>
      </c>
      <c r="J27" s="51">
        <v>3.0999999999999996</v>
      </c>
      <c r="K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</row>
    <row r="28" spans="1:29" x14ac:dyDescent="0.3">
      <c r="A28" s="2"/>
      <c r="D28" s="2"/>
      <c r="E28" s="2"/>
      <c r="F28" s="2"/>
      <c r="G28" s="2"/>
      <c r="H28" s="50" t="s">
        <v>130</v>
      </c>
      <c r="I28" s="139">
        <v>3</v>
      </c>
      <c r="J28" s="51">
        <v>2.9000000000000004</v>
      </c>
      <c r="K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</row>
    <row r="29" spans="1:29" x14ac:dyDescent="0.3">
      <c r="A29" s="2"/>
      <c r="D29" s="2"/>
      <c r="E29" s="2"/>
      <c r="F29" s="2"/>
      <c r="G29" s="2"/>
      <c r="H29" s="50" t="s">
        <v>98</v>
      </c>
      <c r="I29" s="139">
        <v>2</v>
      </c>
      <c r="J29" s="51">
        <v>2.7</v>
      </c>
      <c r="K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</row>
    <row r="30" spans="1:29" x14ac:dyDescent="0.3">
      <c r="A30" s="2"/>
      <c r="D30" s="2"/>
      <c r="E30" s="2"/>
      <c r="F30" s="2"/>
      <c r="G30" s="2"/>
      <c r="H30" s="50" t="s">
        <v>164</v>
      </c>
      <c r="I30" s="139">
        <v>1</v>
      </c>
      <c r="J30" s="51">
        <v>2.2999999999999998</v>
      </c>
      <c r="K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:29" x14ac:dyDescent="0.3">
      <c r="A31" s="2"/>
      <c r="D31" s="2"/>
      <c r="E31" s="2"/>
      <c r="F31" s="2"/>
      <c r="G31" s="2"/>
      <c r="H31" s="50" t="s">
        <v>157</v>
      </c>
      <c r="I31" s="139">
        <v>1</v>
      </c>
      <c r="J31" s="51">
        <v>1.4</v>
      </c>
      <c r="K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</row>
    <row r="32" spans="1:29" x14ac:dyDescent="0.3">
      <c r="A32" s="2"/>
      <c r="D32" s="2"/>
      <c r="E32" s="2"/>
      <c r="F32" s="2"/>
      <c r="G32" s="2"/>
      <c r="H32" s="50" t="s">
        <v>23</v>
      </c>
      <c r="I32" s="139">
        <v>1</v>
      </c>
      <c r="J32" s="51">
        <v>1.2</v>
      </c>
      <c r="K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29" x14ac:dyDescent="0.3">
      <c r="A33" s="2"/>
      <c r="D33" s="2"/>
      <c r="E33" s="2"/>
      <c r="F33" s="2"/>
      <c r="G33" s="2"/>
      <c r="H33" s="50" t="s">
        <v>111</v>
      </c>
      <c r="I33" s="139">
        <v>1</v>
      </c>
      <c r="J33" s="51">
        <v>1</v>
      </c>
      <c r="K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</row>
    <row r="34" spans="1:29" x14ac:dyDescent="0.3">
      <c r="A34" s="2"/>
      <c r="D34" s="2"/>
      <c r="E34" s="2"/>
      <c r="F34" s="2"/>
      <c r="G34" s="2"/>
      <c r="H34" s="50" t="s">
        <v>19</v>
      </c>
      <c r="I34" s="139">
        <v>1</v>
      </c>
      <c r="J34" s="51">
        <v>1</v>
      </c>
      <c r="K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</row>
    <row r="35" spans="1:29" x14ac:dyDescent="0.3">
      <c r="A35" s="2"/>
      <c r="D35" s="2"/>
      <c r="E35" s="2"/>
      <c r="F35" s="2"/>
      <c r="G35" s="2"/>
      <c r="H35" s="50" t="s">
        <v>30</v>
      </c>
      <c r="I35" s="139">
        <v>1</v>
      </c>
      <c r="J35" s="51">
        <v>1</v>
      </c>
      <c r="K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</row>
    <row r="36" spans="1:29" x14ac:dyDescent="0.3">
      <c r="A36" s="2"/>
      <c r="D36" s="2"/>
      <c r="E36" s="2"/>
      <c r="F36" s="2"/>
      <c r="G36" s="2"/>
      <c r="H36" s="50" t="s">
        <v>40</v>
      </c>
      <c r="I36" s="139">
        <v>1</v>
      </c>
      <c r="J36" s="51">
        <v>0.8</v>
      </c>
      <c r="K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</row>
    <row r="37" spans="1:29" x14ac:dyDescent="0.3">
      <c r="A37" s="2"/>
      <c r="D37" s="2"/>
      <c r="E37" s="2"/>
      <c r="F37" s="2"/>
      <c r="G37" s="2"/>
      <c r="H37" s="50" t="s">
        <v>126</v>
      </c>
      <c r="I37" s="139">
        <v>1</v>
      </c>
      <c r="J37" s="51">
        <v>0.8</v>
      </c>
      <c r="K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</row>
    <row r="38" spans="1:29" x14ac:dyDescent="0.3">
      <c r="A38" s="2"/>
      <c r="D38" s="2"/>
      <c r="E38" s="2"/>
      <c r="F38" s="2"/>
      <c r="G38" s="2"/>
      <c r="H38" s="50" t="s">
        <v>136</v>
      </c>
      <c r="I38" s="139">
        <v>1</v>
      </c>
      <c r="J38" s="51">
        <v>0.6</v>
      </c>
      <c r="K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</row>
    <row r="39" spans="1:29" x14ac:dyDescent="0.3">
      <c r="A39" s="2"/>
      <c r="B39" s="95"/>
      <c r="C39" s="95"/>
      <c r="D39" s="2"/>
      <c r="E39" s="2"/>
      <c r="F39" s="2"/>
      <c r="G39" s="2"/>
      <c r="H39" s="50" t="s">
        <v>123</v>
      </c>
      <c r="I39" s="139">
        <v>1</v>
      </c>
      <c r="J39" s="51">
        <v>0.6</v>
      </c>
      <c r="K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</row>
    <row r="40" spans="1:29" x14ac:dyDescent="0.3">
      <c r="A40" s="2"/>
      <c r="D40" s="2"/>
      <c r="E40" s="2"/>
      <c r="F40" s="2"/>
      <c r="G40" s="2"/>
      <c r="H40" s="50" t="s">
        <v>48</v>
      </c>
      <c r="I40" s="139">
        <v>1</v>
      </c>
      <c r="J40" s="51">
        <v>0.5</v>
      </c>
      <c r="K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</row>
    <row r="41" spans="1:29" x14ac:dyDescent="0.3">
      <c r="A41" s="2"/>
      <c r="D41" s="2"/>
      <c r="E41" s="2"/>
      <c r="F41" s="2"/>
      <c r="G41" s="2"/>
      <c r="H41" s="50" t="s">
        <v>148</v>
      </c>
      <c r="I41" s="139">
        <v>1</v>
      </c>
      <c r="J41" s="51">
        <v>0.5</v>
      </c>
      <c r="K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</row>
    <row r="42" spans="1:29" x14ac:dyDescent="0.3">
      <c r="A42" s="2"/>
      <c r="D42" s="2"/>
      <c r="E42" s="2"/>
      <c r="F42" s="2"/>
      <c r="G42" s="2"/>
      <c r="H42" s="50" t="s">
        <v>118</v>
      </c>
      <c r="I42" s="139">
        <v>1</v>
      </c>
      <c r="J42" s="51">
        <v>0.5</v>
      </c>
      <c r="K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  <row r="43" spans="1:29" x14ac:dyDescent="0.3">
      <c r="A43" s="2"/>
      <c r="D43" s="2"/>
      <c r="E43" s="2"/>
      <c r="F43" s="2"/>
      <c r="G43" s="2"/>
      <c r="H43" s="50" t="s">
        <v>144</v>
      </c>
      <c r="I43" s="139">
        <v>1</v>
      </c>
      <c r="J43" s="51">
        <v>0.4</v>
      </c>
      <c r="K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x14ac:dyDescent="0.3">
      <c r="A44" s="2"/>
      <c r="D44" s="2"/>
      <c r="E44" s="2"/>
      <c r="F44" s="2"/>
      <c r="G44" s="2"/>
      <c r="H44" s="50" t="s">
        <v>151</v>
      </c>
      <c r="I44" s="139">
        <v>1</v>
      </c>
      <c r="J44" s="51">
        <v>0.4</v>
      </c>
      <c r="K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x14ac:dyDescent="0.3">
      <c r="A45" s="2"/>
      <c r="D45" s="2"/>
      <c r="E45" s="2"/>
      <c r="F45" s="2"/>
      <c r="G45" s="2"/>
      <c r="H45" s="8" t="s">
        <v>527</v>
      </c>
      <c r="I45" s="139">
        <v>5</v>
      </c>
      <c r="J45" s="51">
        <v>2.7</v>
      </c>
      <c r="K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x14ac:dyDescent="0.3">
      <c r="A46" s="2"/>
      <c r="D46" s="2"/>
      <c r="E46" s="2"/>
      <c r="F46" s="2"/>
      <c r="G46" s="2"/>
      <c r="H46" s="8" t="s">
        <v>526</v>
      </c>
      <c r="I46" s="139">
        <v>1</v>
      </c>
      <c r="J46" s="51">
        <v>1</v>
      </c>
      <c r="K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x14ac:dyDescent="0.3">
      <c r="A47" s="2"/>
      <c r="D47" s="2"/>
      <c r="E47" s="2"/>
      <c r="F47" s="2"/>
      <c r="G47" s="2"/>
      <c r="H47" s="8" t="s">
        <v>524</v>
      </c>
      <c r="I47" s="139">
        <v>10</v>
      </c>
      <c r="J47" s="51">
        <v>11.4</v>
      </c>
      <c r="K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x14ac:dyDescent="0.3">
      <c r="A48" s="2"/>
      <c r="D48" s="2"/>
      <c r="E48" s="2"/>
      <c r="F48" s="2"/>
      <c r="G48" s="2"/>
      <c r="H48" s="8" t="s">
        <v>464</v>
      </c>
      <c r="I48" s="139">
        <v>1273</v>
      </c>
      <c r="J48" s="51">
        <v>1624.4000000000005</v>
      </c>
      <c r="K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x14ac:dyDescent="0.3">
      <c r="A49" s="2"/>
      <c r="D49" s="2"/>
      <c r="E49" s="2"/>
      <c r="F49" s="2"/>
      <c r="G49" s="2"/>
      <c r="K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x14ac:dyDescent="0.3">
      <c r="A50" s="2"/>
      <c r="D50" s="2"/>
      <c r="E50" s="2"/>
      <c r="F50" s="2"/>
      <c r="G50" s="2"/>
      <c r="K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x14ac:dyDescent="0.3">
      <c r="A51" s="2"/>
      <c r="D51" s="2"/>
      <c r="E51" s="2"/>
      <c r="F51" s="2"/>
      <c r="G51" s="2"/>
      <c r="K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x14ac:dyDescent="0.3">
      <c r="A52" s="2"/>
      <c r="D52" s="2"/>
      <c r="E52" s="2"/>
      <c r="F52" s="2"/>
      <c r="G52" s="2"/>
      <c r="K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x14ac:dyDescent="0.3">
      <c r="A53" s="2"/>
      <c r="D53" s="2"/>
      <c r="E53" s="2"/>
      <c r="F53" s="2"/>
      <c r="G53" s="2"/>
      <c r="K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x14ac:dyDescent="0.3">
      <c r="A54" s="2"/>
      <c r="D54" s="2"/>
      <c r="E54" s="2"/>
      <c r="F54" s="2"/>
      <c r="G54" s="2"/>
      <c r="K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x14ac:dyDescent="0.3">
      <c r="A55" s="2"/>
      <c r="D55" s="2"/>
      <c r="E55" s="2"/>
      <c r="F55" s="2"/>
      <c r="G55" s="2"/>
      <c r="K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x14ac:dyDescent="0.3">
      <c r="A56" s="2"/>
      <c r="D56" s="2"/>
      <c r="E56" s="2"/>
      <c r="F56" s="2"/>
      <c r="G56" s="2"/>
      <c r="K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x14ac:dyDescent="0.3">
      <c r="A57" s="2"/>
      <c r="D57" s="2"/>
      <c r="E57" s="2"/>
      <c r="F57" s="2"/>
      <c r="G57" s="2"/>
      <c r="K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x14ac:dyDescent="0.3">
      <c r="A58" s="2"/>
      <c r="D58" s="2"/>
      <c r="E58" s="2"/>
      <c r="F58" s="2"/>
      <c r="G58" s="2"/>
      <c r="K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x14ac:dyDescent="0.3">
      <c r="A59" s="2"/>
      <c r="D59" s="2"/>
      <c r="E59" s="2"/>
      <c r="F59" s="2"/>
      <c r="G59" s="2"/>
      <c r="K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x14ac:dyDescent="0.3">
      <c r="A60" s="2"/>
      <c r="D60" s="2"/>
      <c r="E60" s="2"/>
      <c r="F60" s="2"/>
      <c r="G60" s="2"/>
      <c r="K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x14ac:dyDescent="0.3">
      <c r="A61" s="2"/>
      <c r="D61" s="2"/>
      <c r="E61" s="2"/>
      <c r="F61" s="2"/>
      <c r="G61" s="2"/>
      <c r="K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x14ac:dyDescent="0.3">
      <c r="A62" s="2"/>
      <c r="D62" s="2"/>
      <c r="E62" s="2"/>
      <c r="F62" s="2"/>
      <c r="G62" s="2"/>
      <c r="K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x14ac:dyDescent="0.3">
      <c r="A63" s="2"/>
      <c r="D63" s="2"/>
      <c r="E63" s="2"/>
      <c r="F63" s="2"/>
      <c r="G63" s="2"/>
      <c r="K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x14ac:dyDescent="0.3">
      <c r="A64" s="2"/>
      <c r="D64" s="2"/>
      <c r="E64" s="2"/>
      <c r="F64" s="2"/>
      <c r="G64" s="2"/>
      <c r="K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x14ac:dyDescent="0.3">
      <c r="A65" s="2"/>
      <c r="D65" s="2"/>
      <c r="E65" s="2"/>
      <c r="F65" s="2"/>
      <c r="G65" s="2"/>
      <c r="K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x14ac:dyDescent="0.3">
      <c r="A66" s="2"/>
      <c r="D66" s="2"/>
      <c r="E66" s="2"/>
      <c r="F66" s="2"/>
      <c r="G66" s="2"/>
      <c r="K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x14ac:dyDescent="0.3">
      <c r="A67" s="2"/>
      <c r="D67" s="2"/>
      <c r="E67" s="2"/>
      <c r="F67" s="2"/>
      <c r="G67" s="2"/>
      <c r="K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x14ac:dyDescent="0.3">
      <c r="A68" s="2"/>
      <c r="D68" s="2"/>
      <c r="E68" s="2"/>
      <c r="F68" s="2"/>
      <c r="G68" s="2"/>
      <c r="K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x14ac:dyDescent="0.3">
      <c r="A69" s="2"/>
      <c r="D69" s="2"/>
      <c r="E69" s="2"/>
      <c r="F69" s="2"/>
      <c r="G69" s="2"/>
      <c r="K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x14ac:dyDescent="0.3">
      <c r="A70" s="2"/>
      <c r="D70" s="2"/>
      <c r="E70" s="2"/>
      <c r="F70" s="2"/>
      <c r="G70" s="2"/>
      <c r="K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x14ac:dyDescent="0.3">
      <c r="A71" s="2"/>
      <c r="D71" s="2"/>
      <c r="E71" s="2"/>
      <c r="F71" s="2"/>
      <c r="G71" s="2"/>
      <c r="K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x14ac:dyDescent="0.3">
      <c r="A72" s="2"/>
      <c r="D72" s="2"/>
      <c r="E72" s="2"/>
      <c r="F72" s="2"/>
      <c r="G72" s="2"/>
      <c r="K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x14ac:dyDescent="0.3">
      <c r="A73" s="2"/>
      <c r="D73" s="2"/>
      <c r="E73" s="2"/>
      <c r="F73" s="2"/>
      <c r="G73" s="2"/>
      <c r="K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x14ac:dyDescent="0.3">
      <c r="A74" s="2"/>
      <c r="D74" s="2"/>
      <c r="E74" s="2"/>
      <c r="F74" s="2"/>
      <c r="G74" s="2"/>
      <c r="K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x14ac:dyDescent="0.3">
      <c r="A75" s="2"/>
      <c r="D75" s="2"/>
      <c r="E75" s="2"/>
      <c r="F75" s="2"/>
      <c r="G75" s="2"/>
      <c r="K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x14ac:dyDescent="0.3">
      <c r="A76" s="2"/>
      <c r="D76" s="2"/>
      <c r="E76" s="2"/>
      <c r="F76" s="2"/>
      <c r="G76" s="2"/>
      <c r="K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x14ac:dyDescent="0.3">
      <c r="A77" s="2"/>
      <c r="D77" s="2"/>
      <c r="E77" s="2"/>
      <c r="F77" s="2"/>
      <c r="G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x14ac:dyDescent="0.3">
      <c r="A78" s="2"/>
      <c r="D78" s="2"/>
      <c r="E78" s="2"/>
      <c r="F78" s="2"/>
      <c r="G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x14ac:dyDescent="0.3">
      <c r="A79" s="2"/>
      <c r="D79" s="2"/>
      <c r="E79" s="2"/>
      <c r="F79" s="2"/>
      <c r="G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x14ac:dyDescent="0.3">
      <c r="A80" s="2"/>
      <c r="D80" s="2"/>
      <c r="E80" s="2"/>
      <c r="F80" s="2"/>
      <c r="G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x14ac:dyDescent="0.3">
      <c r="A81" s="2"/>
      <c r="D81" s="2"/>
      <c r="E81" s="2"/>
      <c r="F81" s="2"/>
      <c r="G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x14ac:dyDescent="0.3">
      <c r="A82" s="2"/>
      <c r="D82" s="2"/>
      <c r="E82" s="2"/>
      <c r="F82" s="2"/>
      <c r="G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x14ac:dyDescent="0.3">
      <c r="A83" s="2"/>
      <c r="D83" s="2"/>
      <c r="E83" s="2"/>
      <c r="F83" s="2"/>
      <c r="G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x14ac:dyDescent="0.3">
      <c r="A84" s="2"/>
      <c r="D84" s="2"/>
      <c r="E84" s="2"/>
      <c r="F84" s="2"/>
      <c r="G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x14ac:dyDescent="0.3">
      <c r="A85" s="2"/>
      <c r="D85" s="2"/>
      <c r="E85" s="2"/>
      <c r="F85" s="2"/>
      <c r="G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x14ac:dyDescent="0.3">
      <c r="A86" s="2"/>
      <c r="D86" s="2"/>
      <c r="E86" s="2"/>
      <c r="F86" s="2"/>
      <c r="G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x14ac:dyDescent="0.3">
      <c r="A87" s="2"/>
      <c r="D87" s="2"/>
      <c r="E87" s="2"/>
      <c r="F87" s="2"/>
      <c r="G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x14ac:dyDescent="0.3">
      <c r="A88" s="2"/>
      <c r="D88" s="2"/>
      <c r="E88" s="2"/>
      <c r="F88" s="2"/>
      <c r="G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x14ac:dyDescent="0.3">
      <c r="A89" s="2"/>
      <c r="D89" s="2"/>
      <c r="E89" s="2"/>
      <c r="F89" s="2"/>
      <c r="G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x14ac:dyDescent="0.3">
      <c r="A90" s="2"/>
      <c r="D90" s="2"/>
      <c r="E90" s="2"/>
      <c r="F90" s="2"/>
      <c r="G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x14ac:dyDescent="0.3">
      <c r="A91" s="2"/>
      <c r="D91" s="2"/>
      <c r="E91" s="2"/>
      <c r="F91" s="2"/>
      <c r="G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x14ac:dyDescent="0.3">
      <c r="A92" s="2"/>
      <c r="D92" s="2"/>
      <c r="E92" s="2"/>
      <c r="F92" s="2"/>
      <c r="G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x14ac:dyDescent="0.3">
      <c r="A93" s="2"/>
      <c r="D93" s="2"/>
      <c r="E93" s="2"/>
      <c r="F93" s="2"/>
      <c r="G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x14ac:dyDescent="0.3">
      <c r="A94" s="2"/>
      <c r="D94" s="2"/>
      <c r="E94" s="2"/>
      <c r="F94" s="2"/>
      <c r="G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x14ac:dyDescent="0.3">
      <c r="A95" s="2"/>
      <c r="D95" s="2"/>
      <c r="E95" s="2"/>
      <c r="F95" s="2"/>
      <c r="G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x14ac:dyDescent="0.3">
      <c r="A96" s="2"/>
      <c r="D96" s="2"/>
      <c r="E96" s="2"/>
      <c r="F96" s="2"/>
      <c r="G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x14ac:dyDescent="0.3">
      <c r="A97" s="2"/>
      <c r="D97" s="2"/>
      <c r="E97" s="2"/>
      <c r="F97" s="2"/>
      <c r="G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x14ac:dyDescent="0.3">
      <c r="A98" s="2"/>
      <c r="D98" s="2"/>
      <c r="E98" s="2"/>
      <c r="F98" s="2"/>
      <c r="G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x14ac:dyDescent="0.3">
      <c r="A99" s="2"/>
      <c r="D99" s="2"/>
      <c r="E99" s="2"/>
      <c r="F99" s="2"/>
      <c r="G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x14ac:dyDescent="0.3">
      <c r="A100" s="2"/>
      <c r="D100" s="2"/>
      <c r="E100" s="2"/>
      <c r="F100" s="2"/>
      <c r="G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x14ac:dyDescent="0.3"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</sheetData>
  <mergeCells count="8">
    <mergeCell ref="B39:C39"/>
    <mergeCell ref="H2:J2"/>
    <mergeCell ref="B2:C2"/>
    <mergeCell ref="E14:F14"/>
    <mergeCell ref="E2:F2"/>
    <mergeCell ref="B14:C14"/>
    <mergeCell ref="E20:F20"/>
    <mergeCell ref="B20:C20"/>
  </mergeCells>
  <pageMargins left="0.7" right="0.7" top="0.75" bottom="0.75" header="0.3" footer="0.3"/>
  <pageSetup orientation="portrait" horizontalDpi="1200" verticalDpi="1200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7DF7E-0A01-4F86-BE72-D252BBEDB89E}">
  <sheetPr codeName="Sheet3">
    <tabColor theme="5" tint="-0.249977111117893"/>
  </sheetPr>
  <dimension ref="B1:S56"/>
  <sheetViews>
    <sheetView workbookViewId="0">
      <selection activeCell="P3" sqref="P3"/>
    </sheetView>
  </sheetViews>
  <sheetFormatPr defaultRowHeight="14.4" x14ac:dyDescent="0.3"/>
  <cols>
    <col min="1" max="1" width="4.77734375" style="2" customWidth="1"/>
    <col min="2" max="2" width="9.33203125" style="2" bestFit="1" customWidth="1"/>
    <col min="3" max="3" width="8.88671875" style="2"/>
    <col min="4" max="4" width="10.33203125" style="2" bestFit="1" customWidth="1"/>
    <col min="5" max="5" width="4.77734375" style="2" customWidth="1"/>
    <col min="6" max="7" width="8.88671875" style="2"/>
    <col min="8" max="8" width="10.33203125" style="2" bestFit="1" customWidth="1"/>
    <col min="9" max="9" width="4.77734375" style="2" customWidth="1"/>
    <col min="10" max="11" width="8.88671875" style="2"/>
    <col min="12" max="12" width="9.33203125" style="2" bestFit="1" customWidth="1"/>
    <col min="13" max="13" width="4.77734375" style="2" customWidth="1"/>
    <col min="14" max="14" width="8.88671875" style="2"/>
    <col min="15" max="15" width="12.33203125" style="2" customWidth="1"/>
    <col min="16" max="16" width="10.21875" style="2" customWidth="1"/>
    <col min="17" max="17" width="4.77734375" style="2" customWidth="1"/>
    <col min="18" max="16384" width="8.88671875" style="2"/>
  </cols>
  <sheetData>
    <row r="1" spans="2:19" ht="15" customHeight="1" thickBot="1" x14ac:dyDescent="0.35"/>
    <row r="2" spans="2:19" ht="15" customHeight="1" thickBot="1" x14ac:dyDescent="0.35">
      <c r="B2" s="109" t="s">
        <v>477</v>
      </c>
      <c r="C2" s="111"/>
      <c r="D2" s="110"/>
      <c r="F2" s="109" t="s">
        <v>479</v>
      </c>
      <c r="G2" s="111"/>
      <c r="H2" s="110"/>
      <c r="J2" s="109" t="s">
        <v>411</v>
      </c>
      <c r="K2" s="111"/>
      <c r="L2" s="110"/>
      <c r="N2" s="109" t="s">
        <v>412</v>
      </c>
      <c r="O2" s="111"/>
      <c r="P2" s="110"/>
    </row>
    <row r="3" spans="2:19" ht="15" customHeight="1" x14ac:dyDescent="0.3">
      <c r="B3" s="23" t="s">
        <v>409</v>
      </c>
      <c r="D3" s="24">
        <f ca="1">D4-TODAY()</f>
        <v>735</v>
      </c>
      <c r="F3" s="23" t="s">
        <v>409</v>
      </c>
      <c r="H3" s="24">
        <f ca="1">H4-TODAY()</f>
        <v>124</v>
      </c>
      <c r="J3" s="23" t="s">
        <v>409</v>
      </c>
      <c r="L3" s="24">
        <f ca="1">L4-TODAY()</f>
        <v>461</v>
      </c>
      <c r="N3" s="81" t="s">
        <v>417</v>
      </c>
      <c r="O3" s="82"/>
      <c r="P3" s="83">
        <v>2</v>
      </c>
    </row>
    <row r="4" spans="2:19" ht="15" customHeight="1" thickBot="1" x14ac:dyDescent="0.35">
      <c r="B4" s="25" t="s">
        <v>408</v>
      </c>
      <c r="C4" s="26"/>
      <c r="D4" s="77">
        <f>EOMONTH(EDATE(INDEX(MasterTable[Date],MIN(MATCH("*TRUE*",MasterTable[Flight Review
(FAA)],0),MATCH("*TRUE*",MasterTable[Checkride
(FAA)],0),MATCH("*TRUE*",MasterTable[Checkride
(MIL)],0))),24),0)</f>
        <v>47057</v>
      </c>
      <c r="E4" s="31"/>
      <c r="F4" s="25" t="s">
        <v>408</v>
      </c>
      <c r="G4" s="26"/>
      <c r="H4" s="77" cm="1">
        <f t="array" ref="H4">EOMONTH(_xlfn.LET(
    _xlpm.dates,_xlfn._xlws.SORT(_xlfn.UNIQUE(_xlfn._xlws.FILTER(MasterTable[Date],MasterTable[Date]&lt;&gt;"")),,-1),
    _xlpm.apprTotals,_xlfn.SCAN(0,_xlpm.dates,_xlfn.LAMBDA(_xlpm.a,_xlpm.d,_xlpm.a+SUMIF(MasterTable[Date],_xlpm.d,MasterTable[APPR]))),
    _xlpm.holdTotals,_xlfn.SCAN(0,_xlpm.dates,_xlfn.LAMBDA(_xlpm.a,_xlpm.d,_xlpm.a+SUMIF(MasterTable[Date],_xlpm.d,MasterTable[Holds]))),
    _xlpm.qualifyingDate,IFERROR(INDEX(_xlpm.dates,_xlfn.XMATCH(1,(_xlpm.apprTotals&gt;=6)*(_xlpm.holdTotals&gt;=1))),0),
    _xlpm.ipcDate,IFERROR(MAX(_xlfn._xlws.FILTER(
        MasterTable[Date],
        ISNUMBER(SEARCH("TRUE",MasterTable[IPC 
(FAA)]&amp;""))
    )),0),
    MAX(_xlpm.qualifyingDate,_xlpm.ipcDate)
), 6)</f>
        <v>46446</v>
      </c>
      <c r="J4" s="25" t="s">
        <v>408</v>
      </c>
      <c r="K4" s="26"/>
      <c r="L4" s="79">
        <v>46783</v>
      </c>
      <c r="N4" s="23" t="s">
        <v>418</v>
      </c>
      <c r="P4" s="80">
        <v>45044</v>
      </c>
    </row>
    <row r="5" spans="2:19" ht="15" customHeight="1" thickBot="1" x14ac:dyDescent="0.35">
      <c r="N5" s="113" t="s">
        <v>556</v>
      </c>
      <c r="O5" s="114"/>
      <c r="P5" s="88" t="s">
        <v>557</v>
      </c>
    </row>
    <row r="6" spans="2:19" ht="15" customHeight="1" x14ac:dyDescent="0.3">
      <c r="B6" s="109" t="s">
        <v>413</v>
      </c>
      <c r="C6" s="111"/>
      <c r="D6" s="110"/>
      <c r="F6" s="109" t="s">
        <v>415</v>
      </c>
      <c r="G6" s="111"/>
      <c r="H6" s="110"/>
      <c r="J6" s="109" t="s">
        <v>414</v>
      </c>
      <c r="K6" s="111"/>
      <c r="L6" s="110"/>
      <c r="N6" s="23" t="s">
        <v>421</v>
      </c>
      <c r="P6" s="24">
        <f ca="1">P7-TODAY()</f>
        <v>-910</v>
      </c>
    </row>
    <row r="7" spans="2:19" ht="15" customHeight="1" x14ac:dyDescent="0.3">
      <c r="B7" s="23" t="s">
        <v>409</v>
      </c>
      <c r="D7" s="24">
        <f ca="1">D8-TODAY()</f>
        <v>-93</v>
      </c>
      <c r="F7" s="23" t="s">
        <v>409</v>
      </c>
      <c r="H7" s="24">
        <f ca="1">H8-TODAY()</f>
        <v>84</v>
      </c>
      <c r="J7" s="23" t="s">
        <v>409</v>
      </c>
      <c r="L7" s="24">
        <f ca="1">L8-TODAY()</f>
        <v>-793</v>
      </c>
      <c r="N7" s="23" t="s">
        <v>419</v>
      </c>
      <c r="P7" s="78">
        <f>IF(P5="Under 40",EOMONTH(EDATE(P4,12),0),EOMONTH(EDATE(P4,6),0))</f>
        <v>45412</v>
      </c>
    </row>
    <row r="8" spans="2:19" ht="15" customHeight="1" thickBot="1" x14ac:dyDescent="0.35">
      <c r="B8" s="25" t="s">
        <v>408</v>
      </c>
      <c r="C8" s="26"/>
      <c r="D8" s="77" cm="1">
        <f t="array" ref="D8">_xlfn.LET(
    _xlpm.dates,_xlfn._xlws.SORT(_xlfn.UNIQUE(_xlfn._xlws.FILTER(MasterTable[Date],MasterTable[Date]&lt;&gt;"")),,-1),
    _xlpm.singleEngine,_xlfn.XLOOKUP(
        MasterTable[Aircraft ID],
        AircraftTable[Aircraft ID],
        AircraftTable[aircraftClass (FAA)],
        ""
    ),
    _xlpm.totals,_xlfn.SCAN(
        0,
        _xlpm.dates,
        _xlfn.LAMBDA(_xlpm.a,_xlpm.d,
            _xlpm.a+SUMPRODUCT(
                (MasterTable[Date]=_xlpm.d)*
                (_xlpm.singleEngine="Airplane Single Engine Land")*
                MasterTable[Landings
Total]
            )
        )
    ),
    IFERROR(INDEX(_xlpm.dates,_xlfn.XMATCH(TRUE,_xlpm.totals&gt;=3)),"No 3 landings found")
) + 90</f>
        <v>46229</v>
      </c>
      <c r="F8" s="25" t="s">
        <v>408</v>
      </c>
      <c r="G8" s="26"/>
      <c r="H8" s="77" cm="1">
        <f t="array" ref="H8">_xlfn.LET(
    _xlpm.dates,_xlfn._xlws.SORT(_xlfn.UNIQUE(_xlfn._xlws.FILTER(MasterTable[Date],MasterTable[Date]&lt;&gt;"")),,-1),
    _xlpm.singleEngine,_xlfn.XLOOKUP(
        MasterTable[Aircraft ID],
        AircraftTable[Aircraft ID],
        AircraftTable[aircraftClass (FAA)],
        ""
    ),
    _xlpm.totals,_xlfn.SCAN(
        0,
        _xlpm.dates,
        _xlfn.LAMBDA(_xlpm.a,_xlpm.d,
            _xlpm.a+SUMPRODUCT(
                (MasterTable[Date]=_xlpm.d)*
                (_xlpm.singleEngine="Airplane Multi Engine Land")*
                MasterTable[Landings
Total]
            )
        )
    ),
    IFERROR(INDEX(_xlpm.dates,_xlfn.XMATCH(TRUE,_xlpm.totals&gt;=3)),"No 3 landings found")
) + 90</f>
        <v>46406</v>
      </c>
      <c r="J8" s="25" t="s">
        <v>408</v>
      </c>
      <c r="K8" s="26"/>
      <c r="L8" s="77" cm="1">
        <f t="array" ref="L8">_xlfn.LET(
    _xlpm.dates,_xlfn._xlws.SORT(_xlfn.UNIQUE(_xlfn._xlws.FILTER(MasterTable[Date],MasterTable[Date]&lt;&gt;"")),,-1),
    _xlpm.gearType,_xlfn.XLOOKUP(
        MasterTable[Aircraft ID],
        AircraftTable[Aircraft ID],
        AircraftTable[GearType],
        ""
    ),
    _xlpm.totals,_xlfn.SCAN(
        0,
        _xlpm.dates,
        _xlfn.LAMBDA(_xlpm.a,_xlpm.d,
            _xlpm.a+SUMPRODUCT(
                (MasterTable[Date]=_xlpm.d)*
                ISNUMBER(SEARCH("tailwheel",_xlpm.gearType))*
                MasterTable[Landings
Total]
            )
        )
    ),
    IFERROR(INDEX(_xlpm.dates,_xlfn.XMATCH(TRUE,_xlpm.totals&gt;=3)),"No 3 landings found")
)</f>
        <v>45529</v>
      </c>
      <c r="N8" s="23" t="s">
        <v>422</v>
      </c>
      <c r="P8" s="24">
        <f ca="1">P9-TODAY()</f>
        <v>-910</v>
      </c>
    </row>
    <row r="9" spans="2:19" ht="15" customHeight="1" thickBot="1" x14ac:dyDescent="0.35">
      <c r="N9" s="23" t="s">
        <v>420</v>
      </c>
      <c r="P9" s="78">
        <f>EOMONTH(EDATE(P4,12),0)</f>
        <v>45412</v>
      </c>
    </row>
    <row r="10" spans="2:19" ht="15" customHeight="1" x14ac:dyDescent="0.3">
      <c r="B10" s="109" t="s">
        <v>478</v>
      </c>
      <c r="C10" s="111"/>
      <c r="D10" s="110"/>
      <c r="F10" s="109" t="s">
        <v>416</v>
      </c>
      <c r="G10" s="111"/>
      <c r="H10" s="110"/>
      <c r="J10" s="112"/>
      <c r="K10" s="112"/>
      <c r="L10" s="112"/>
      <c r="N10" s="23" t="s">
        <v>423</v>
      </c>
      <c r="P10" s="24">
        <f ca="1">P11-TODAY()</f>
        <v>551</v>
      </c>
    </row>
    <row r="11" spans="2:19" ht="15" customHeight="1" thickBot="1" x14ac:dyDescent="0.35">
      <c r="B11" s="23" t="s">
        <v>409</v>
      </c>
      <c r="D11" s="24">
        <f ca="1">D12-TODAY()</f>
        <v>-175</v>
      </c>
      <c r="F11" s="23" t="s">
        <v>409</v>
      </c>
      <c r="H11" s="24">
        <f ca="1">H12-TODAY()</f>
        <v>27</v>
      </c>
      <c r="J11" s="112"/>
      <c r="K11" s="112"/>
      <c r="L11" s="112"/>
      <c r="N11" s="25" t="s">
        <v>424</v>
      </c>
      <c r="O11" s="26"/>
      <c r="P11" s="77">
        <f>IF(P5="Under 40",EOMONTH(EDATE(P4,60),0),EOMONTH(EDATE(P4,24),0))</f>
        <v>46873</v>
      </c>
    </row>
    <row r="12" spans="2:19" ht="15" customHeight="1" thickBot="1" x14ac:dyDescent="0.35">
      <c r="B12" s="25" t="s">
        <v>408</v>
      </c>
      <c r="C12" s="26"/>
      <c r="D12" s="77" cm="1">
        <f t="array" ref="D12">_xlfn.LET(
    _xlpm.dates,_xlfn._xlws.SORT(_xlfn.UNIQUE(_xlfn._xlws.FILTER(MasterTable[Date],MasterTable[Date]&lt;&gt;"")),,-1),
    _xlpm.singleEngine,_xlfn.XLOOKUP(
        MasterTable[Aircraft ID],
        AircraftTable[Aircraft ID],
        AircraftTable[aircraftClass (FAA)],
        ""
    ),
    _xlpm.totals,_xlfn.SCAN(
        0,
        _xlpm.dates,
        _xlfn.LAMBDA(_xlpm.a,_xlpm.d,
            _xlpm.a+SUMPRODUCT(
                (MasterTable[Date]=_xlpm.d)*
                (_xlpm.singleEngine="Airplane Single Engine Land")*
                MasterTable[Landings
Night]
            )
        )
    ),
    IFERROR(INDEX(_xlpm.dates,_xlfn.XMATCH(TRUE,_xlpm.totals&gt;=3)),"No 3 landings found")
) + 90</f>
        <v>46147</v>
      </c>
      <c r="F12" s="25" t="s">
        <v>408</v>
      </c>
      <c r="G12" s="26"/>
      <c r="H12" s="77" cm="1">
        <f t="array" ref="H12">_xlfn.LET(
    _xlpm.dates,_xlfn._xlws.SORT(_xlfn.UNIQUE(_xlfn._xlws.FILTER(MasterTable[Date],MasterTable[Date]&lt;&gt;"")),,-1),
    _xlpm.singleEngine,_xlfn.XLOOKUP(
        MasterTable[Aircraft ID],
        AircraftTable[Aircraft ID],
        AircraftTable[aircraftClass (FAA)],
        ""
    ),
    _xlpm.totals,_xlfn.SCAN(
        0,
        _xlpm.dates,
        _xlfn.LAMBDA(_xlpm.a,_xlpm.d,
            _xlpm.a+SUMPRODUCT(
                (MasterTable[Date]=_xlpm.d)*
                (_xlpm.singleEngine="Airplane Multi Engine Land")*
                MasterTable[Landings
Night]
            )
        )
    ),
    IFERROR(INDEX(_xlpm.dates,_xlfn.XMATCH(TRUE,_xlpm.totals&gt;=3)),"No 3 landings found")
) + 90</f>
        <v>46349</v>
      </c>
    </row>
    <row r="13" spans="2:19" ht="15" thickBot="1" x14ac:dyDescent="0.35"/>
    <row r="14" spans="2:19" x14ac:dyDescent="0.3">
      <c r="R14" s="109" t="s">
        <v>457</v>
      </c>
      <c r="S14" s="110"/>
    </row>
    <row r="15" spans="2:19" x14ac:dyDescent="0.3">
      <c r="R15" s="43" t="s">
        <v>458</v>
      </c>
      <c r="S15" s="44">
        <f ca="1">SUMIFS(MasterTable[Total
Time],MasterTable[Date],"&gt;="&amp;TODAY()-30,MasterTable[Date],"&lt;="&amp;TODAY())</f>
        <v>12.799999999999999</v>
      </c>
    </row>
    <row r="16" spans="2:19" x14ac:dyDescent="0.3">
      <c r="B16" s="36"/>
      <c r="R16" s="45" t="s">
        <v>459</v>
      </c>
      <c r="S16" s="46">
        <f ca="1">SUMIFS(MasterTable[Total
Time],MasterTable[Date],"&gt;="&amp;TODAY()-90,MasterTable[Date],"&lt;="&amp;TODAY())</f>
        <v>62.700000000000031</v>
      </c>
    </row>
    <row r="17" spans="2:19" x14ac:dyDescent="0.3">
      <c r="R17" s="45" t="s">
        <v>460</v>
      </c>
      <c r="S17" s="46">
        <f ca="1">SUMIFS(MasterTable[Total
Time],MasterTable[Date],"&gt;="&amp;TODAY()-183,MasterTable[Date],"&lt;="&amp;TODAY())</f>
        <v>83.700000000000045</v>
      </c>
    </row>
    <row r="18" spans="2:19" x14ac:dyDescent="0.3">
      <c r="R18" s="45" t="s">
        <v>461</v>
      </c>
      <c r="S18" s="46">
        <f ca="1">SUMIFS(MasterTable[Total
Time],MasterTable[Date],"&gt;="&amp;TODAY()-365,MasterTable[Date],"&lt;="&amp;TODAY())</f>
        <v>187.39999999999989</v>
      </c>
    </row>
    <row r="19" spans="2:19" ht="15" thickBot="1" x14ac:dyDescent="0.35">
      <c r="B19" s="41"/>
      <c r="R19" s="47" t="s">
        <v>462</v>
      </c>
      <c r="S19" s="48">
        <f ca="1">SUMIFS(MasterTable[Total
Time],MasterTable[Date],"&gt;="&amp;TODAY()-730,MasterTable[Date],"&lt;="&amp;TODAY())</f>
        <v>194.39999999999992</v>
      </c>
    </row>
    <row r="33" spans="2:3" x14ac:dyDescent="0.3">
      <c r="B33" s="42">
        <f ca="1">EOMONTH(TODAY(),-24)+1</f>
        <v>45597</v>
      </c>
      <c r="C33" s="32">
        <f ca="1">SUMIFS(MasterTable[Total
Time],MasterTable[Date],"&gt;="&amp;B33,MasterTable[Date],"&lt;"&amp;EDATE(B33,1))</f>
        <v>0</v>
      </c>
    </row>
    <row r="34" spans="2:3" x14ac:dyDescent="0.3">
      <c r="B34" s="42">
        <f ca="1">EDATE(B33,1)</f>
        <v>45627</v>
      </c>
      <c r="C34" s="32">
        <f ca="1">SUMIFS(MasterTable[Total
Time],MasterTable[Date],"&gt;="&amp;B34,MasterTable[Date],"&lt;"&amp;EDATE(B34,1))</f>
        <v>0</v>
      </c>
    </row>
    <row r="35" spans="2:3" x14ac:dyDescent="0.3">
      <c r="B35" s="42">
        <f t="shared" ref="B35:B56" ca="1" si="0">EDATE(B34,1)</f>
        <v>45658</v>
      </c>
      <c r="C35" s="32">
        <f ca="1">SUMIFS(MasterTable[Total
Time],MasterTable[Date],"&gt;="&amp;B35,MasterTable[Date],"&lt;"&amp;EDATE(B35,1))</f>
        <v>0</v>
      </c>
    </row>
    <row r="36" spans="2:3" x14ac:dyDescent="0.3">
      <c r="B36" s="42">
        <f t="shared" ca="1" si="0"/>
        <v>45689</v>
      </c>
      <c r="C36" s="32">
        <f ca="1">SUMIFS(MasterTable[Total
Time],MasterTable[Date],"&gt;="&amp;B36,MasterTable[Date],"&lt;"&amp;EDATE(B36,1))</f>
        <v>0</v>
      </c>
    </row>
    <row r="37" spans="2:3" x14ac:dyDescent="0.3">
      <c r="B37" s="42">
        <f t="shared" ca="1" si="0"/>
        <v>45717</v>
      </c>
      <c r="C37" s="32">
        <f ca="1">SUMIFS(MasterTable[Total
Time],MasterTable[Date],"&gt;="&amp;B37,MasterTable[Date],"&lt;"&amp;EDATE(B37,1))</f>
        <v>5</v>
      </c>
    </row>
    <row r="38" spans="2:3" x14ac:dyDescent="0.3">
      <c r="B38" s="42">
        <f t="shared" ca="1" si="0"/>
        <v>45748</v>
      </c>
      <c r="C38" s="32">
        <f ca="1">SUMIFS(MasterTable[Total
Time],MasterTable[Date],"&gt;="&amp;B38,MasterTable[Date],"&lt;"&amp;EDATE(B38,1))</f>
        <v>0</v>
      </c>
    </row>
    <row r="39" spans="2:3" x14ac:dyDescent="0.3">
      <c r="B39" s="42">
        <f t="shared" ca="1" si="0"/>
        <v>45778</v>
      </c>
      <c r="C39" s="32">
        <f ca="1">SUMIFS(MasterTable[Total
Time],MasterTable[Date],"&gt;="&amp;B39,MasterTable[Date],"&lt;"&amp;EDATE(B39,1))</f>
        <v>0</v>
      </c>
    </row>
    <row r="40" spans="2:3" x14ac:dyDescent="0.3">
      <c r="B40" s="42">
        <f t="shared" ca="1" si="0"/>
        <v>45809</v>
      </c>
      <c r="C40" s="32">
        <f ca="1">SUMIFS(MasterTable[Total
Time],MasterTable[Date],"&gt;="&amp;B40,MasterTable[Date],"&lt;"&amp;EDATE(B40,1))</f>
        <v>2</v>
      </c>
    </row>
    <row r="41" spans="2:3" x14ac:dyDescent="0.3">
      <c r="B41" s="42">
        <f t="shared" ca="1" si="0"/>
        <v>45839</v>
      </c>
      <c r="C41" s="32">
        <f ca="1">SUMIFS(MasterTable[Total
Time],MasterTable[Date],"&gt;="&amp;B41,MasterTable[Date],"&lt;"&amp;EDATE(B41,1))</f>
        <v>0</v>
      </c>
    </row>
    <row r="42" spans="2:3" x14ac:dyDescent="0.3">
      <c r="B42" s="42">
        <f t="shared" ca="1" si="0"/>
        <v>45870</v>
      </c>
      <c r="C42" s="32">
        <f ca="1">SUMIFS(MasterTable[Total
Time],MasterTable[Date],"&gt;="&amp;B42,MasterTable[Date],"&lt;"&amp;EDATE(B42,1))</f>
        <v>0</v>
      </c>
    </row>
    <row r="43" spans="2:3" x14ac:dyDescent="0.3">
      <c r="B43" s="42">
        <f t="shared" ca="1" si="0"/>
        <v>45901</v>
      </c>
      <c r="C43" s="32">
        <f ca="1">SUMIFS(MasterTable[Total
Time],MasterTable[Date],"&gt;="&amp;B43,MasterTable[Date],"&lt;"&amp;EDATE(B43,1))</f>
        <v>0</v>
      </c>
    </row>
    <row r="44" spans="2:3" x14ac:dyDescent="0.3">
      <c r="B44" s="42">
        <f t="shared" ca="1" si="0"/>
        <v>45931</v>
      </c>
      <c r="C44" s="32">
        <f ca="1">SUMIFS(MasterTable[Total
Time],MasterTable[Date],"&gt;="&amp;B44,MasterTable[Date],"&lt;"&amp;EDATE(B44,1))</f>
        <v>0</v>
      </c>
    </row>
    <row r="45" spans="2:3" x14ac:dyDescent="0.3">
      <c r="B45" s="42">
        <f t="shared" ca="1" si="0"/>
        <v>45962</v>
      </c>
      <c r="C45" s="32">
        <f ca="1">SUMIFS(MasterTable[Total
Time],MasterTable[Date],"&gt;="&amp;B45,MasterTable[Date],"&lt;"&amp;EDATE(B45,1))</f>
        <v>0</v>
      </c>
    </row>
    <row r="46" spans="2:3" x14ac:dyDescent="0.3">
      <c r="B46" s="42">
        <f t="shared" ca="1" si="0"/>
        <v>45992</v>
      </c>
      <c r="C46" s="32">
        <f ca="1">SUMIFS(MasterTable[Total
Time],MasterTable[Date],"&gt;="&amp;B46,MasterTable[Date],"&lt;"&amp;EDATE(B46,1))</f>
        <v>15.2</v>
      </c>
    </row>
    <row r="47" spans="2:3" x14ac:dyDescent="0.3">
      <c r="B47" s="42">
        <f t="shared" ca="1" si="0"/>
        <v>46023</v>
      </c>
      <c r="C47" s="32">
        <f ca="1">SUMIFS(MasterTable[Total
Time],MasterTable[Date],"&gt;="&amp;B47,MasterTable[Date],"&lt;"&amp;EDATE(B47,1))</f>
        <v>15.6</v>
      </c>
    </row>
    <row r="48" spans="2:3" x14ac:dyDescent="0.3">
      <c r="B48" s="42">
        <f t="shared" ca="1" si="0"/>
        <v>46054</v>
      </c>
      <c r="C48" s="32">
        <f ca="1">SUMIFS(MasterTable[Total
Time],MasterTable[Date],"&gt;="&amp;B48,MasterTable[Date],"&lt;"&amp;EDATE(B48,1))</f>
        <v>25.5</v>
      </c>
    </row>
    <row r="49" spans="2:3" x14ac:dyDescent="0.3">
      <c r="B49" s="42">
        <f ca="1">EDATE(B48,1)</f>
        <v>46082</v>
      </c>
      <c r="C49" s="32">
        <f ca="1">SUMIFS(MasterTable[Total
Time],MasterTable[Date],"&gt;="&amp;B49,MasterTable[Date],"&lt;"&amp;EDATE(B49,1))</f>
        <v>24.799999999999997</v>
      </c>
    </row>
    <row r="50" spans="2:3" x14ac:dyDescent="0.3">
      <c r="B50" s="42">
        <f t="shared" ca="1" si="0"/>
        <v>46113</v>
      </c>
      <c r="C50" s="32">
        <f ca="1">SUMIFS(MasterTable[Total
Time],MasterTable[Date],"&gt;="&amp;B50,MasterTable[Date],"&lt;"&amp;EDATE(B50,1))</f>
        <v>25.8</v>
      </c>
    </row>
    <row r="51" spans="2:3" x14ac:dyDescent="0.3">
      <c r="B51" s="42">
        <f t="shared" ca="1" si="0"/>
        <v>46143</v>
      </c>
      <c r="C51" s="32">
        <f ca="1">SUMIFS(MasterTable[Total
Time],MasterTable[Date],"&gt;="&amp;B51,MasterTable[Date],"&lt;"&amp;EDATE(B51,1))</f>
        <v>0</v>
      </c>
    </row>
    <row r="52" spans="2:3" x14ac:dyDescent="0.3">
      <c r="B52" s="42">
        <f t="shared" ca="1" si="0"/>
        <v>46174</v>
      </c>
      <c r="C52" s="32">
        <f ca="1">SUMIFS(MasterTable[Total
Time],MasterTable[Date],"&gt;="&amp;B52,MasterTable[Date],"&lt;"&amp;EDATE(B52,1))</f>
        <v>4</v>
      </c>
    </row>
    <row r="53" spans="2:3" x14ac:dyDescent="0.3">
      <c r="B53" s="42">
        <f t="shared" ca="1" si="0"/>
        <v>46204</v>
      </c>
      <c r="C53" s="32">
        <f ca="1">SUMIFS(MasterTable[Total
Time],MasterTable[Date],"&gt;="&amp;B53,MasterTable[Date],"&lt;"&amp;EDATE(B53,1))</f>
        <v>17</v>
      </c>
    </row>
    <row r="54" spans="2:3" x14ac:dyDescent="0.3">
      <c r="B54" s="42">
        <f t="shared" ca="1" si="0"/>
        <v>46235</v>
      </c>
      <c r="C54" s="32">
        <f ca="1">SUMIFS(MasterTable[Total
Time],MasterTable[Date],"&gt;="&amp;B54,MasterTable[Date],"&lt;"&amp;EDATE(B54,1))</f>
        <v>20.999999999999996</v>
      </c>
    </row>
    <row r="55" spans="2:3" x14ac:dyDescent="0.3">
      <c r="B55" s="42">
        <f t="shared" ca="1" si="0"/>
        <v>46266</v>
      </c>
      <c r="C55" s="32">
        <f ca="1">SUMIFS(MasterTable[Total
Time],MasterTable[Date],"&gt;="&amp;B55,MasterTable[Date],"&lt;"&amp;EDATE(B55,1))</f>
        <v>29.099999999999994</v>
      </c>
    </row>
    <row r="56" spans="2:3" x14ac:dyDescent="0.3">
      <c r="B56" s="42">
        <f t="shared" ca="1" si="0"/>
        <v>46296</v>
      </c>
      <c r="C56" s="32">
        <f ca="1">SUMIFS(MasterTable[Total
Time],MasterTable[Date],"&gt;="&amp;B56,MasterTable[Date],"&lt;"&amp;EDATE(B56,1))</f>
        <v>9.4</v>
      </c>
    </row>
  </sheetData>
  <sheetProtection algorithmName="SHA-512" hashValue="XlDtpN9VCyaEuzVSQGE29aelj/po8yZj4UYUrYR8k0uuR9DQkccDpAAFaqSRtmBbzj1bUXn7u1Tb2Bq37mouVA==" saltValue="r+7rC0bBWYBpWhJWzNHpRw==" spinCount="100000" sheet="1" objects="1" scenarios="1" selectLockedCells="1"/>
  <mergeCells count="13">
    <mergeCell ref="R14:S14"/>
    <mergeCell ref="N2:P2"/>
    <mergeCell ref="B6:D6"/>
    <mergeCell ref="J6:L6"/>
    <mergeCell ref="F6:H6"/>
    <mergeCell ref="B10:D10"/>
    <mergeCell ref="F10:H10"/>
    <mergeCell ref="B2:D2"/>
    <mergeCell ref="F2:H2"/>
    <mergeCell ref="J2:L2"/>
    <mergeCell ref="J10:L10"/>
    <mergeCell ref="J11:L11"/>
    <mergeCell ref="N5:O5"/>
  </mergeCells>
  <conditionalFormatting sqref="D3">
    <cfRule type="cellIs" dxfId="17" priority="17" operator="greaterThan">
      <formula>0</formula>
    </cfRule>
    <cfRule type="cellIs" dxfId="16" priority="18" operator="lessThan">
      <formula>0</formula>
    </cfRule>
  </conditionalFormatting>
  <conditionalFormatting sqref="H3">
    <cfRule type="cellIs" dxfId="15" priority="15" operator="greaterThan">
      <formula>0</formula>
    </cfRule>
    <cfRule type="cellIs" dxfId="14" priority="16" operator="lessThan">
      <formula>0</formula>
    </cfRule>
  </conditionalFormatting>
  <conditionalFormatting sqref="L3">
    <cfRule type="cellIs" dxfId="13" priority="13" operator="greaterThan">
      <formula>0</formula>
    </cfRule>
    <cfRule type="cellIs" dxfId="12" priority="14" operator="lessThan">
      <formula>0</formula>
    </cfRule>
  </conditionalFormatting>
  <conditionalFormatting sqref="D7">
    <cfRule type="cellIs" dxfId="11" priority="9" operator="greaterThan">
      <formula>0</formula>
    </cfRule>
    <cfRule type="cellIs" dxfId="10" priority="10" operator="lessThan">
      <formula>0</formula>
    </cfRule>
  </conditionalFormatting>
  <conditionalFormatting sqref="L7">
    <cfRule type="cellIs" dxfId="9" priority="7" operator="greaterThan">
      <formula>0</formula>
    </cfRule>
    <cfRule type="cellIs" dxfId="8" priority="8" operator="lessThan">
      <formula>0</formula>
    </cfRule>
  </conditionalFormatting>
  <conditionalFormatting sqref="H7">
    <cfRule type="cellIs" dxfId="7" priority="5" operator="greaterThan">
      <formula>0</formula>
    </cfRule>
    <cfRule type="cellIs" dxfId="6" priority="6" operator="lessThan">
      <formula>0</formula>
    </cfRule>
  </conditionalFormatting>
  <conditionalFormatting sqref="D11">
    <cfRule type="cellIs" dxfId="5" priority="3" operator="greaterThan">
      <formula>0</formula>
    </cfRule>
    <cfRule type="cellIs" dxfId="4" priority="4" operator="lessThan">
      <formula>0</formula>
    </cfRule>
  </conditionalFormatting>
  <conditionalFormatting sqref="H11">
    <cfRule type="cellIs" dxfId="3" priority="1" operator="greaterThan">
      <formula>0</formula>
    </cfRule>
    <cfRule type="cellIs" dxfId="2" priority="2" operator="lessThan">
      <formula>0</formula>
    </cfRule>
  </conditionalFormatting>
  <conditionalFormatting sqref="P6 P8 P10">
    <cfRule type="cellIs" dxfId="1" priority="11" operator="greaterThan">
      <formula>0</formula>
    </cfRule>
    <cfRule type="cellIs" dxfId="0" priority="12" operator="lessThan">
      <formula>0</formula>
    </cfRule>
  </conditionalFormatting>
  <dataValidations count="1">
    <dataValidation type="list" allowBlank="1" showInputMessage="1" showErrorMessage="1" sqref="P5" xr:uid="{00527E12-F444-41B8-8B3B-FC56B9C97F3D}">
      <formula1>"Under 40, Over 40"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DD01-E5E2-45D3-884E-E6EFD9C5BCDB}">
  <sheetPr codeName="Sheet2">
    <tabColor theme="3" tint="0.249977111117893"/>
  </sheetPr>
  <dimension ref="A1:AL65"/>
  <sheetViews>
    <sheetView zoomScale="85" zoomScaleNormal="85" workbookViewId="0">
      <selection activeCell="AO7" sqref="AO7"/>
    </sheetView>
  </sheetViews>
  <sheetFormatPr defaultRowHeight="14.4" x14ac:dyDescent="0.3"/>
  <cols>
    <col min="1" max="1" width="11.21875" style="8" bestFit="1" customWidth="1"/>
    <col min="2" max="2" width="11.44140625" style="8" bestFit="1" customWidth="1"/>
    <col min="3" max="3" width="6.88671875" style="8" bestFit="1" customWidth="1"/>
    <col min="4" max="4" width="17.5546875" style="8" bestFit="1" customWidth="1"/>
    <col min="5" max="5" width="24.21875" style="8" bestFit="1" customWidth="1"/>
    <col min="6" max="6" width="18.109375" style="8" bestFit="1" customWidth="1"/>
    <col min="7" max="7" width="12.5546875" style="8" bestFit="1" customWidth="1"/>
    <col min="8" max="8" width="25.21875" style="8" bestFit="1" customWidth="1"/>
    <col min="9" max="9" width="15.44140625" style="8" customWidth="1"/>
    <col min="10" max="10" width="10.44140625" style="8" customWidth="1"/>
    <col min="11" max="11" width="21.88671875" style="8" customWidth="1"/>
    <col min="12" max="12" width="17.5546875" style="8" customWidth="1"/>
    <col min="13" max="13" width="7.44140625" style="33" hidden="1" customWidth="1"/>
    <col min="14" max="16" width="8.88671875" style="34" hidden="1" customWidth="1"/>
    <col min="17" max="38" width="8.88671875" style="33" hidden="1" customWidth="1"/>
    <col min="39" max="16384" width="8.88671875" style="8"/>
  </cols>
  <sheetData>
    <row r="1" spans="1:38" x14ac:dyDescent="0.3">
      <c r="A1" s="8" t="s">
        <v>391</v>
      </c>
      <c r="B1" s="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s="8" t="s">
        <v>381</v>
      </c>
      <c r="J1" s="8" t="s">
        <v>7</v>
      </c>
      <c r="K1" s="8" t="s">
        <v>8</v>
      </c>
      <c r="L1" s="8" t="s">
        <v>9</v>
      </c>
      <c r="M1" s="33" t="s">
        <v>427</v>
      </c>
      <c r="N1" s="34" t="s">
        <v>426</v>
      </c>
      <c r="O1" s="34" t="s">
        <v>184</v>
      </c>
      <c r="P1" s="34" t="s">
        <v>428</v>
      </c>
      <c r="Q1" s="33" t="s">
        <v>185</v>
      </c>
      <c r="R1" s="33" t="s">
        <v>187</v>
      </c>
      <c r="S1" s="33" t="s">
        <v>186</v>
      </c>
      <c r="T1" s="33" t="s">
        <v>429</v>
      </c>
      <c r="U1" s="33" t="s">
        <v>430</v>
      </c>
      <c r="V1" s="33" t="s">
        <v>441</v>
      </c>
      <c r="W1" s="33" t="s">
        <v>442</v>
      </c>
      <c r="X1" s="33" t="s">
        <v>432</v>
      </c>
      <c r="Y1" s="33" t="s">
        <v>440</v>
      </c>
      <c r="Z1" s="33" t="s">
        <v>380</v>
      </c>
      <c r="AA1" s="33" t="s">
        <v>438</v>
      </c>
      <c r="AB1" s="33" t="s">
        <v>439</v>
      </c>
      <c r="AC1" s="33" t="s">
        <v>443</v>
      </c>
      <c r="AD1" s="35" t="s">
        <v>188</v>
      </c>
      <c r="AE1" s="33" t="s">
        <v>405</v>
      </c>
      <c r="AF1" s="35" t="s">
        <v>382</v>
      </c>
      <c r="AG1" s="35" t="s">
        <v>383</v>
      </c>
      <c r="AH1" s="35" t="s">
        <v>384</v>
      </c>
      <c r="AI1" s="35" t="s">
        <v>385</v>
      </c>
      <c r="AJ1" s="35" t="s">
        <v>386</v>
      </c>
      <c r="AK1" s="35" t="s">
        <v>387</v>
      </c>
      <c r="AL1" s="35" t="s">
        <v>388</v>
      </c>
    </row>
    <row r="2" spans="1:38" x14ac:dyDescent="0.3">
      <c r="A2" s="8" t="s">
        <v>10</v>
      </c>
      <c r="B2" s="8" t="s">
        <v>11</v>
      </c>
      <c r="C2" s="8">
        <v>1981</v>
      </c>
      <c r="D2" s="8" t="s">
        <v>12</v>
      </c>
      <c r="E2" s="8">
        <v>172</v>
      </c>
      <c r="F2" s="8" t="s">
        <v>548</v>
      </c>
      <c r="G2" s="8" t="s">
        <v>13</v>
      </c>
      <c r="H2" s="8" t="s">
        <v>521</v>
      </c>
      <c r="M2" s="33">
        <f>COUNTIF(MasterTable[Aircraft ID],Aircraft!A:A)</f>
        <v>1</v>
      </c>
      <c r="N2" s="34">
        <f>SUMIF(MasterTable[Aircraft ID],Aircraft!A:A,MasterTable[Total
Time])</f>
        <v>1.5</v>
      </c>
      <c r="O2" s="34">
        <f>SUMIF(MasterTable[Aircraft ID],Aircraft!A:A,MasterTable[PIC])</f>
        <v>1.5</v>
      </c>
      <c r="P2" s="34">
        <f>SUMIF(MasterTable[Aircraft ID],Aircraft!A:A,MasterTable[PRI 
(Mil)])</f>
        <v>0</v>
      </c>
      <c r="Q2" s="33">
        <f>SUMIF(MasterTable[Aircraft ID],Aircraft!A:A,MasterTable[SIC])</f>
        <v>0</v>
      </c>
      <c r="R2" s="33">
        <f>SUMIF(MasterTable[Aircraft ID],Aircraft!A:A,MasterTable[Solo])</f>
        <v>0</v>
      </c>
      <c r="S2" s="33">
        <f>SUMIF(MasterTable[Aircraft ID],Aircraft!A:A,MasterTable[Night])</f>
        <v>0</v>
      </c>
      <c r="T2" s="33">
        <f>SUMIF(MasterTable[Aircraft ID],Aircraft!A:A,MasterTable[Dual
Given])</f>
        <v>0</v>
      </c>
      <c r="U2" s="33">
        <f>SUMIF(MasterTable[Aircraft ID],Aircraft!A:A,MasterTable[INST
(Mil)])</f>
        <v>0</v>
      </c>
      <c r="V2" s="33">
        <f>SUMIF(MasterTable[Aircraft ID],Aircraft!A:A,MasterTable[Actual
Instrument])</f>
        <v>0.2</v>
      </c>
      <c r="W2" s="33">
        <f>SUMIF(MasterTable[Aircraft ID],Aircraft!A:A,MasterTable[Simulated
Instrument])</f>
        <v>1</v>
      </c>
      <c r="X2" s="33">
        <f>SUMIF(MasterTable[Aircraft ID],Aircraft!A:A,MasterTable[Cross
Country])</f>
        <v>0</v>
      </c>
      <c r="Y2" s="33">
        <f>SUMIF(MasterTable[Aircraft ID],Aircraft!A:A,MasterTable[Dual
Received])</f>
        <v>1.5</v>
      </c>
      <c r="Z2" s="33">
        <f>SUMIF(MasterTable[Aircraft ID],Aircraft!A:A,MasterTable[Formation])</f>
        <v>0</v>
      </c>
      <c r="AA2" s="33">
        <f>SUMIF(MasterTable[Aircraft ID],Aircraft!A:A,MasterTable[Landings
Day])</f>
        <v>1</v>
      </c>
      <c r="AB2" s="33">
        <f>SUMIF(MasterTable[Aircraft ID],Aircraft!A:A,MasterTable[Landings
Night])</f>
        <v>0</v>
      </c>
      <c r="AC2" s="33">
        <f>SUMIF(MasterTable[Aircraft ID],Aircraft!A:A,MasterTable[Landings
Total])</f>
        <v>1</v>
      </c>
      <c r="AD2" s="33">
        <f>SUMIF(MasterTable[Aircraft ID],Aircraft!A:A,MasterTable[Holds])</f>
        <v>0</v>
      </c>
      <c r="AE2" s="33">
        <f>SUMIF(MasterTable[Aircraft ID],Aircraft!$A:$A,MasterTable[APPR])</f>
        <v>2</v>
      </c>
      <c r="AF2" s="33">
        <f>SUMIF(MasterTable[Aircraft ID],Aircraft!$A:$A,MasterTable[ILS])</f>
        <v>0</v>
      </c>
      <c r="AG2" s="33">
        <f>SUMIF(MasterTable[Aircraft ID],Aircraft!$A:$A,MasterTable[LOC])</f>
        <v>0</v>
      </c>
      <c r="AH2" s="33">
        <f>SUMIF(MasterTable[Aircraft ID],Aircraft!$A:$A,MasterTable[VOR/
TCN])</f>
        <v>1</v>
      </c>
      <c r="AI2" s="33">
        <f>SUMIF(MasterTable[Aircraft ID],Aircraft!$A:$A,MasterTable[RNAV])</f>
        <v>1</v>
      </c>
      <c r="AJ2" s="33">
        <f>SUMIF(MasterTable[Aircraft ID],Aircraft!$A:$A,MasterTable[ASR])</f>
        <v>0</v>
      </c>
      <c r="AK2" s="33">
        <f>SUMIF(MasterTable[Aircraft ID],Aircraft!$A:$A,MasterTable[PAR])</f>
        <v>0</v>
      </c>
      <c r="AL2" s="33">
        <f>SUMIF(MasterTable[Aircraft ID],Aircraft!$A:$A,MasterTable[CIRCLE])</f>
        <v>0</v>
      </c>
    </row>
    <row r="3" spans="1:38" x14ac:dyDescent="0.3">
      <c r="A3" s="8" t="s">
        <v>14</v>
      </c>
      <c r="B3" s="8" t="s">
        <v>15</v>
      </c>
      <c r="D3" s="8" t="s">
        <v>16</v>
      </c>
      <c r="E3" s="8" t="s">
        <v>15</v>
      </c>
      <c r="F3" s="8" t="s">
        <v>552</v>
      </c>
      <c r="G3" s="8" t="s">
        <v>547</v>
      </c>
      <c r="H3" s="8" t="s">
        <v>465</v>
      </c>
      <c r="M3" s="33">
        <f>COUNTIF(MasterTable[Aircraft ID],Aircraft!A:A)</f>
        <v>2</v>
      </c>
      <c r="N3" s="34">
        <f>SUMIF(MasterTable[Aircraft ID],Aircraft!A:A,MasterTable[Total
Time])</f>
        <v>0.8</v>
      </c>
      <c r="O3" s="34">
        <f>SUMIF(MasterTable[Aircraft ID],Aircraft!A:A,MasterTable[PIC])</f>
        <v>0</v>
      </c>
      <c r="P3" s="34">
        <f>SUMIF(MasterTable[Aircraft ID],Aircraft!A:A,MasterTable[PRI 
(Mil)])</f>
        <v>0</v>
      </c>
      <c r="Q3" s="33">
        <f>SUMIF(MasterTable[Aircraft ID],Aircraft!A:A,MasterTable[SIC])</f>
        <v>0</v>
      </c>
      <c r="R3" s="33">
        <f>SUMIF(MasterTable[Aircraft ID],Aircraft!A:A,MasterTable[Solo])</f>
        <v>0</v>
      </c>
      <c r="S3" s="33">
        <f>SUMIF(MasterTable[Aircraft ID],Aircraft!A:A,MasterTable[Night])</f>
        <v>0</v>
      </c>
      <c r="T3" s="33">
        <f>SUMIF(MasterTable[Aircraft ID],Aircraft!A:A,MasterTable[Dual
Given])</f>
        <v>0</v>
      </c>
      <c r="U3" s="33">
        <f>SUMIF(MasterTable[Aircraft ID],Aircraft!A:A,MasterTable[INST
(Mil)])</f>
        <v>0</v>
      </c>
      <c r="V3" s="33">
        <f>SUMIF(MasterTable[Aircraft ID],Aircraft!A:A,MasterTable[Actual
Instrument])</f>
        <v>0</v>
      </c>
      <c r="W3" s="33">
        <f>SUMIF(MasterTable[Aircraft ID],Aircraft!A:A,MasterTable[Simulated
Instrument])</f>
        <v>0</v>
      </c>
      <c r="X3" s="33">
        <f>SUMIF(MasterTable[Aircraft ID],Aircraft!A:A,MasterTable[Cross
Country])</f>
        <v>0</v>
      </c>
      <c r="Y3" s="33">
        <f>SUMIF(MasterTable[Aircraft ID],Aircraft!A:A,MasterTable[Dual
Received])</f>
        <v>0.8</v>
      </c>
      <c r="Z3" s="33">
        <f>SUMIF(MasterTable[Aircraft ID],Aircraft!A:A,MasterTable[Formation])</f>
        <v>0</v>
      </c>
      <c r="AA3" s="33">
        <f>SUMIF(MasterTable[Aircraft ID],Aircraft!A:A,MasterTable[Landings
Day])</f>
        <v>2</v>
      </c>
      <c r="AB3" s="33">
        <f>SUMIF(MasterTable[Aircraft ID],Aircraft!A:A,MasterTable[Landings
Night])</f>
        <v>0</v>
      </c>
      <c r="AC3" s="33">
        <f>SUMIF(MasterTable[Aircraft ID],Aircraft!A:A,MasterTable[Landings
Total])</f>
        <v>2</v>
      </c>
      <c r="AD3" s="33">
        <f>SUMIF(MasterTable[Aircraft ID],Aircraft!A:A,MasterTable[Holds])</f>
        <v>0</v>
      </c>
      <c r="AE3" s="33">
        <f>SUMIF(MasterTable[Aircraft ID],Aircraft!$A:$A,Flights!AE:AE)</f>
        <v>0</v>
      </c>
      <c r="AF3" s="33">
        <f>SUMIF(MasterTable[Aircraft ID],Aircraft!$A:$A,MasterTable[ILS])</f>
        <v>0</v>
      </c>
      <c r="AG3" s="33">
        <f>SUMIF(MasterTable[Aircraft ID],Aircraft!$A:$A,MasterTable[LOC])</f>
        <v>0</v>
      </c>
      <c r="AH3" s="33">
        <f>SUMIF(MasterTable[Aircraft ID],Aircraft!$A:$A,MasterTable[VOR/
TCN])</f>
        <v>0</v>
      </c>
      <c r="AI3" s="33">
        <f>SUMIF(MasterTable[Aircraft ID],Aircraft!$A:$A,MasterTable[RNAV])</f>
        <v>0</v>
      </c>
      <c r="AJ3" s="33">
        <f>SUMIF(MasterTable[Aircraft ID],Aircraft!$A:$A,MasterTable[ASR])</f>
        <v>0</v>
      </c>
      <c r="AK3" s="33">
        <f>SUMIF(MasterTable[Aircraft ID],Aircraft!$A:$A,MasterTable[PAR])</f>
        <v>0</v>
      </c>
      <c r="AL3" s="33">
        <f>SUMIF(MasterTable[Aircraft ID],Aircraft!$A:$A,MasterTable[CIRCLE])</f>
        <v>0</v>
      </c>
    </row>
    <row r="4" spans="1:38" x14ac:dyDescent="0.3">
      <c r="A4" s="8" t="s">
        <v>17</v>
      </c>
      <c r="B4" s="8" t="s">
        <v>15</v>
      </c>
      <c r="D4" s="8" t="s">
        <v>16</v>
      </c>
      <c r="E4" s="8" t="s">
        <v>15</v>
      </c>
      <c r="F4" s="8" t="s">
        <v>552</v>
      </c>
      <c r="G4" s="8" t="s">
        <v>547</v>
      </c>
      <c r="H4" s="8" t="s">
        <v>465</v>
      </c>
      <c r="M4" s="33">
        <f>COUNTIF(MasterTable[Aircraft ID],Aircraft!A:A)</f>
        <v>3</v>
      </c>
      <c r="N4" s="34">
        <f>SUMIF(MasterTable[Aircraft ID],Aircraft!A:A,MasterTable[Total
Time])</f>
        <v>1.9</v>
      </c>
      <c r="O4" s="34">
        <f>SUMIF(MasterTable[Aircraft ID],Aircraft!A:A,MasterTable[PIC])</f>
        <v>0</v>
      </c>
      <c r="P4" s="34">
        <f>SUMIF(MasterTable[Aircraft ID],Aircraft!A:A,MasterTable[PRI 
(Mil)])</f>
        <v>0</v>
      </c>
      <c r="Q4" s="33">
        <f>SUMIF(MasterTable[Aircraft ID],Aircraft!A:A,MasterTable[SIC])</f>
        <v>0</v>
      </c>
      <c r="R4" s="33">
        <f>SUMIF(MasterTable[Aircraft ID],Aircraft!A:A,MasterTable[Solo])</f>
        <v>0</v>
      </c>
      <c r="S4" s="33">
        <f>SUMIF(MasterTable[Aircraft ID],Aircraft!A:A,MasterTable[Night])</f>
        <v>0</v>
      </c>
      <c r="T4" s="33">
        <f>SUMIF(MasterTable[Aircraft ID],Aircraft!A:A,MasterTable[Dual
Given])</f>
        <v>0</v>
      </c>
      <c r="U4" s="33">
        <f>SUMIF(MasterTable[Aircraft ID],Aircraft!A:A,MasterTable[INST
(Mil)])</f>
        <v>0</v>
      </c>
      <c r="V4" s="33">
        <f>SUMIF(MasterTable[Aircraft ID],Aircraft!A:A,MasterTable[Actual
Instrument])</f>
        <v>0</v>
      </c>
      <c r="W4" s="33">
        <f>SUMIF(MasterTable[Aircraft ID],Aircraft!A:A,MasterTable[Simulated
Instrument])</f>
        <v>0</v>
      </c>
      <c r="X4" s="33">
        <f>SUMIF(MasterTable[Aircraft ID],Aircraft!A:A,MasterTable[Cross
Country])</f>
        <v>0</v>
      </c>
      <c r="Y4" s="33">
        <f>SUMIF(MasterTable[Aircraft ID],Aircraft!A:A,MasterTable[Dual
Received])</f>
        <v>1.9</v>
      </c>
      <c r="Z4" s="33">
        <f>SUMIF(MasterTable[Aircraft ID],Aircraft!A:A,MasterTable[Formation])</f>
        <v>0</v>
      </c>
      <c r="AA4" s="33">
        <f>SUMIF(MasterTable[Aircraft ID],Aircraft!A:A,MasterTable[Landings
Day])</f>
        <v>3</v>
      </c>
      <c r="AB4" s="33">
        <f>SUMIF(MasterTable[Aircraft ID],Aircraft!A:A,MasterTable[Landings
Night])</f>
        <v>0</v>
      </c>
      <c r="AC4" s="33">
        <f>SUMIF(MasterTable[Aircraft ID],Aircraft!A:A,MasterTable[Landings
Total])</f>
        <v>3</v>
      </c>
      <c r="AD4" s="33">
        <f>SUMIF(MasterTable[Aircraft ID],Aircraft!A:A,MasterTable[Holds])</f>
        <v>0</v>
      </c>
      <c r="AE4" s="33">
        <f>SUMIF(MasterTable[Aircraft ID],Aircraft!$A:$A,Flights!AE:AE)</f>
        <v>1</v>
      </c>
      <c r="AF4" s="33">
        <f>SUMIF(MasterTable[Aircraft ID],Aircraft!$A:$A,MasterTable[ILS])</f>
        <v>0</v>
      </c>
      <c r="AG4" s="33">
        <f>SUMIF(MasterTable[Aircraft ID],Aircraft!$A:$A,MasterTable[LOC])</f>
        <v>0</v>
      </c>
      <c r="AH4" s="33">
        <f>SUMIF(MasterTable[Aircraft ID],Aircraft!$A:$A,MasterTable[VOR/
TCN])</f>
        <v>0</v>
      </c>
      <c r="AI4" s="33">
        <f>SUMIF(MasterTable[Aircraft ID],Aircraft!$A:$A,MasterTable[RNAV])</f>
        <v>0</v>
      </c>
      <c r="AJ4" s="33">
        <f>SUMIF(MasterTable[Aircraft ID],Aircraft!$A:$A,MasterTable[ASR])</f>
        <v>0</v>
      </c>
      <c r="AK4" s="33">
        <f>SUMIF(MasterTable[Aircraft ID],Aircraft!$A:$A,MasterTable[PAR])</f>
        <v>0</v>
      </c>
      <c r="AL4" s="33">
        <f>SUMIF(MasterTable[Aircraft ID],Aircraft!$A:$A,MasterTable[CIRCLE])</f>
        <v>0</v>
      </c>
    </row>
    <row r="5" spans="1:38" x14ac:dyDescent="0.3">
      <c r="A5" s="8" t="s">
        <v>18</v>
      </c>
      <c r="B5" s="8" t="s">
        <v>19</v>
      </c>
      <c r="D5" s="8" t="s">
        <v>12</v>
      </c>
      <c r="E5" s="8">
        <v>180</v>
      </c>
      <c r="F5" s="8" t="s">
        <v>548</v>
      </c>
      <c r="G5" s="8" t="s">
        <v>13</v>
      </c>
      <c r="H5" s="8" t="s">
        <v>521</v>
      </c>
      <c r="K5" s="8" t="b">
        <v>1</v>
      </c>
      <c r="M5" s="33">
        <f>COUNTIF(MasterTable[Aircraft ID],Aircraft!A:A)</f>
        <v>1</v>
      </c>
      <c r="N5" s="34">
        <f>SUMIF(MasterTable[Aircraft ID],Aircraft!A:A,MasterTable[Total
Time])</f>
        <v>1</v>
      </c>
      <c r="O5" s="34">
        <f>SUMIF(MasterTable[Aircraft ID],Aircraft!A:A,MasterTable[PIC])</f>
        <v>1</v>
      </c>
      <c r="P5" s="34">
        <f>SUMIF(MasterTable[Aircraft ID],Aircraft!A:A,MasterTable[PRI 
(Mil)])</f>
        <v>0</v>
      </c>
      <c r="Q5" s="33">
        <f>SUMIF(MasterTable[Aircraft ID],Aircraft!A:A,MasterTable[SIC])</f>
        <v>0</v>
      </c>
      <c r="R5" s="33">
        <f>SUMIF(MasterTable[Aircraft ID],Aircraft!A:A,MasterTable[Solo])</f>
        <v>0</v>
      </c>
      <c r="S5" s="33">
        <f>SUMIF(MasterTable[Aircraft ID],Aircraft!A:A,MasterTable[Night])</f>
        <v>0</v>
      </c>
      <c r="T5" s="33">
        <f>SUMIF(MasterTable[Aircraft ID],Aircraft!A:A,MasterTable[Dual
Given])</f>
        <v>0</v>
      </c>
      <c r="U5" s="33">
        <f>SUMIF(MasterTable[Aircraft ID],Aircraft!A:A,MasterTable[INST
(Mil)])</f>
        <v>0</v>
      </c>
      <c r="V5" s="33">
        <f>SUMIF(MasterTable[Aircraft ID],Aircraft!A:A,MasterTable[Actual
Instrument])</f>
        <v>0</v>
      </c>
      <c r="W5" s="33">
        <f>SUMIF(MasterTable[Aircraft ID],Aircraft!A:A,MasterTable[Simulated
Instrument])</f>
        <v>0</v>
      </c>
      <c r="X5" s="33">
        <f>SUMIF(MasterTable[Aircraft ID],Aircraft!A:A,MasterTable[Cross
Country])</f>
        <v>0</v>
      </c>
      <c r="Y5" s="33">
        <f>SUMIF(MasterTable[Aircraft ID],Aircraft!A:A,MasterTable[Dual
Received])</f>
        <v>0</v>
      </c>
      <c r="Z5" s="33">
        <f>SUMIF(MasterTable[Aircraft ID],Aircraft!A:A,MasterTable[Formation])</f>
        <v>0</v>
      </c>
      <c r="AA5" s="33">
        <f>SUMIF(MasterTable[Aircraft ID],Aircraft!A:A,MasterTable[Landings
Day])</f>
        <v>2</v>
      </c>
      <c r="AB5" s="33">
        <f>SUMIF(MasterTable[Aircraft ID],Aircraft!A:A,MasterTable[Landings
Night])</f>
        <v>0</v>
      </c>
      <c r="AC5" s="33">
        <f>SUMIF(MasterTable[Aircraft ID],Aircraft!A:A,MasterTable[Landings
Total])</f>
        <v>2</v>
      </c>
      <c r="AD5" s="33">
        <f>SUMIF(MasterTable[Aircraft ID],Aircraft!A:A,MasterTable[Holds])</f>
        <v>0</v>
      </c>
      <c r="AE5" s="33">
        <f>SUMIF(MasterTable[Aircraft ID],Aircraft!$A:$A,Flights!AE:AE)</f>
        <v>0</v>
      </c>
      <c r="AF5" s="33">
        <f>SUMIF(MasterTable[Aircraft ID],Aircraft!$A:$A,MasterTable[ILS])</f>
        <v>0</v>
      </c>
      <c r="AG5" s="33">
        <f>SUMIF(MasterTable[Aircraft ID],Aircraft!$A:$A,MasterTable[LOC])</f>
        <v>0</v>
      </c>
      <c r="AH5" s="33">
        <f>SUMIF(MasterTable[Aircraft ID],Aircraft!$A:$A,MasterTable[VOR/
TCN])</f>
        <v>0</v>
      </c>
      <c r="AI5" s="33">
        <f>SUMIF(MasterTable[Aircraft ID],Aircraft!$A:$A,MasterTable[RNAV])</f>
        <v>0</v>
      </c>
      <c r="AJ5" s="33">
        <f>SUMIF(MasterTable[Aircraft ID],Aircraft!$A:$A,MasterTable[ASR])</f>
        <v>0</v>
      </c>
      <c r="AK5" s="33">
        <f>SUMIF(MasterTable[Aircraft ID],Aircraft!$A:$A,MasterTable[PAR])</f>
        <v>0</v>
      </c>
      <c r="AL5" s="33">
        <f>SUMIF(MasterTable[Aircraft ID],Aircraft!$A:$A,MasterTable[CIRCLE])</f>
        <v>0</v>
      </c>
    </row>
    <row r="6" spans="1:38" x14ac:dyDescent="0.3">
      <c r="A6" s="8" t="s">
        <v>20</v>
      </c>
      <c r="B6" s="8" t="s">
        <v>21</v>
      </c>
      <c r="D6" s="8" t="s">
        <v>12</v>
      </c>
      <c r="E6" s="8">
        <v>177</v>
      </c>
      <c r="F6" s="8" t="s">
        <v>551</v>
      </c>
      <c r="G6" s="8" t="s">
        <v>13</v>
      </c>
      <c r="H6" s="8" t="s">
        <v>521</v>
      </c>
      <c r="I6" s="8" t="b">
        <v>1</v>
      </c>
      <c r="M6" s="33">
        <f>COUNTIF(MasterTable[Aircraft ID],Aircraft!A:A)</f>
        <v>9</v>
      </c>
      <c r="N6" s="34">
        <f>SUMIF(MasterTable[Aircraft ID],Aircraft!A:A,MasterTable[Total
Time])</f>
        <v>10.9</v>
      </c>
      <c r="O6" s="34">
        <f>SUMIF(MasterTable[Aircraft ID],Aircraft!A:A,MasterTable[PIC])</f>
        <v>10.9</v>
      </c>
      <c r="P6" s="34">
        <f>SUMIF(MasterTable[Aircraft ID],Aircraft!A:A,MasterTable[PRI 
(Mil)])</f>
        <v>0</v>
      </c>
      <c r="Q6" s="33">
        <f>SUMIF(MasterTable[Aircraft ID],Aircraft!A:A,MasterTable[SIC])</f>
        <v>0</v>
      </c>
      <c r="R6" s="33">
        <f>SUMIF(MasterTable[Aircraft ID],Aircraft!A:A,MasterTable[Solo])</f>
        <v>0</v>
      </c>
      <c r="S6" s="33">
        <f>SUMIF(MasterTable[Aircraft ID],Aircraft!A:A,MasterTable[Night])</f>
        <v>0</v>
      </c>
      <c r="T6" s="33">
        <f>SUMIF(MasterTable[Aircraft ID],Aircraft!A:A,MasterTable[Dual
Given])</f>
        <v>0</v>
      </c>
      <c r="U6" s="33">
        <f>SUMIF(MasterTable[Aircraft ID],Aircraft!A:A,MasterTable[INST
(Mil)])</f>
        <v>0</v>
      </c>
      <c r="V6" s="33">
        <f>SUMIF(MasterTable[Aircraft ID],Aircraft!A:A,MasterTable[Actual
Instrument])</f>
        <v>0</v>
      </c>
      <c r="W6" s="33">
        <f>SUMIF(MasterTable[Aircraft ID],Aircraft!A:A,MasterTable[Simulated
Instrument])</f>
        <v>0</v>
      </c>
      <c r="X6" s="33">
        <f>SUMIF(MasterTable[Aircraft ID],Aircraft!A:A,MasterTable[Cross
Country])</f>
        <v>3</v>
      </c>
      <c r="Y6" s="33">
        <f>SUMIF(MasterTable[Aircraft ID],Aircraft!A:A,MasterTable[Dual
Received])</f>
        <v>4.8</v>
      </c>
      <c r="Z6" s="33">
        <f>SUMIF(MasterTable[Aircraft ID],Aircraft!A:A,MasterTable[Formation])</f>
        <v>0</v>
      </c>
      <c r="AA6" s="33">
        <f>SUMIF(MasterTable[Aircraft ID],Aircraft!A:A,MasterTable[Landings
Day])</f>
        <v>34</v>
      </c>
      <c r="AB6" s="33">
        <f>SUMIF(MasterTable[Aircraft ID],Aircraft!A:A,MasterTable[Landings
Night])</f>
        <v>0</v>
      </c>
      <c r="AC6" s="33">
        <f>SUMIF(MasterTable[Aircraft ID],Aircraft!A:A,MasterTable[Landings
Total])</f>
        <v>34</v>
      </c>
      <c r="AD6" s="33">
        <f>SUMIF(MasterTable[Aircraft ID],Aircraft!A:A,MasterTable[Holds])</f>
        <v>0</v>
      </c>
      <c r="AE6" s="33">
        <f>SUMIF(MasterTable[Aircraft ID],Aircraft!$A:$A,Flights!AE:AE)</f>
        <v>2</v>
      </c>
      <c r="AF6" s="33">
        <f>SUMIF(MasterTable[Aircraft ID],Aircraft!$A:$A,MasterTable[ILS])</f>
        <v>0</v>
      </c>
      <c r="AG6" s="33">
        <f>SUMIF(MasterTable[Aircraft ID],Aircraft!$A:$A,MasterTable[LOC])</f>
        <v>0</v>
      </c>
      <c r="AH6" s="33">
        <f>SUMIF(MasterTable[Aircraft ID],Aircraft!$A:$A,MasterTable[VOR/
TCN])</f>
        <v>0</v>
      </c>
      <c r="AI6" s="33">
        <f>SUMIF(MasterTable[Aircraft ID],Aircraft!$A:$A,MasterTable[RNAV])</f>
        <v>0</v>
      </c>
      <c r="AJ6" s="33">
        <f>SUMIF(MasterTable[Aircraft ID],Aircraft!$A:$A,MasterTable[ASR])</f>
        <v>0</v>
      </c>
      <c r="AK6" s="33">
        <f>SUMIF(MasterTable[Aircraft ID],Aircraft!$A:$A,MasterTable[PAR])</f>
        <v>0</v>
      </c>
      <c r="AL6" s="33">
        <f>SUMIF(MasterTable[Aircraft ID],Aircraft!$A:$A,MasterTable[CIRCLE])</f>
        <v>0</v>
      </c>
    </row>
    <row r="7" spans="1:38" x14ac:dyDescent="0.3">
      <c r="A7" s="8" t="s">
        <v>22</v>
      </c>
      <c r="B7" s="8" t="s">
        <v>23</v>
      </c>
      <c r="D7" s="8" t="s">
        <v>24</v>
      </c>
      <c r="E7" s="8" t="s">
        <v>23</v>
      </c>
      <c r="F7" s="8" t="s">
        <v>548</v>
      </c>
      <c r="G7" s="8" t="s">
        <v>13</v>
      </c>
      <c r="H7" s="8" t="s">
        <v>521</v>
      </c>
      <c r="M7" s="33">
        <f>COUNTIF(MasterTable[Aircraft ID],Aircraft!A:A)</f>
        <v>1</v>
      </c>
      <c r="N7" s="34">
        <f>SUMIF(MasterTable[Aircraft ID],Aircraft!A:A,MasterTable[Total
Time])</f>
        <v>1.2</v>
      </c>
      <c r="O7" s="34">
        <f>SUMIF(MasterTable[Aircraft ID],Aircraft!A:A,MasterTable[PIC])</f>
        <v>1.2</v>
      </c>
      <c r="P7" s="34">
        <f>SUMIF(MasterTable[Aircraft ID],Aircraft!A:A,MasterTable[PRI 
(Mil)])</f>
        <v>0</v>
      </c>
      <c r="Q7" s="33">
        <f>SUMIF(MasterTable[Aircraft ID],Aircraft!A:A,MasterTable[SIC])</f>
        <v>0</v>
      </c>
      <c r="R7" s="33">
        <f>SUMIF(MasterTable[Aircraft ID],Aircraft!A:A,MasterTable[Solo])</f>
        <v>0</v>
      </c>
      <c r="S7" s="33">
        <f>SUMIF(MasterTable[Aircraft ID],Aircraft!A:A,MasterTable[Night])</f>
        <v>0</v>
      </c>
      <c r="T7" s="33">
        <f>SUMIF(MasterTable[Aircraft ID],Aircraft!A:A,MasterTable[Dual
Given])</f>
        <v>1.2</v>
      </c>
      <c r="U7" s="33">
        <f>SUMIF(MasterTable[Aircraft ID],Aircraft!A:A,MasterTable[INST
(Mil)])</f>
        <v>0</v>
      </c>
      <c r="V7" s="33">
        <f>SUMIF(MasterTable[Aircraft ID],Aircraft!A:A,MasterTable[Actual
Instrument])</f>
        <v>0</v>
      </c>
      <c r="W7" s="33">
        <f>SUMIF(MasterTable[Aircraft ID],Aircraft!A:A,MasterTable[Simulated
Instrument])</f>
        <v>0</v>
      </c>
      <c r="X7" s="33">
        <f>SUMIF(MasterTable[Aircraft ID],Aircraft!A:A,MasterTable[Cross
Country])</f>
        <v>0</v>
      </c>
      <c r="Y7" s="33">
        <f>SUMIF(MasterTable[Aircraft ID],Aircraft!A:A,MasterTable[Dual
Received])</f>
        <v>0</v>
      </c>
      <c r="Z7" s="33">
        <f>SUMIF(MasterTable[Aircraft ID],Aircraft!A:A,MasterTable[Formation])</f>
        <v>0</v>
      </c>
      <c r="AA7" s="33">
        <f>SUMIF(MasterTable[Aircraft ID],Aircraft!A:A,MasterTable[Landings
Day])</f>
        <v>1</v>
      </c>
      <c r="AB7" s="33">
        <f>SUMIF(MasterTable[Aircraft ID],Aircraft!A:A,MasterTable[Landings
Night])</f>
        <v>0</v>
      </c>
      <c r="AC7" s="33">
        <f>SUMIF(MasterTable[Aircraft ID],Aircraft!A:A,MasterTable[Landings
Total])</f>
        <v>1</v>
      </c>
      <c r="AD7" s="33">
        <f>SUMIF(MasterTable[Aircraft ID],Aircraft!A:A,MasterTable[Holds])</f>
        <v>0</v>
      </c>
      <c r="AE7" s="33">
        <f>SUMIF(MasterTable[Aircraft ID],Aircraft!$A:$A,Flights!AE:AE)</f>
        <v>1</v>
      </c>
      <c r="AF7" s="33">
        <f>SUMIF(MasterTable[Aircraft ID],Aircraft!$A:$A,MasterTable[ILS])</f>
        <v>0</v>
      </c>
      <c r="AG7" s="33">
        <f>SUMIF(MasterTable[Aircraft ID],Aircraft!$A:$A,MasterTable[LOC])</f>
        <v>0</v>
      </c>
      <c r="AH7" s="33">
        <f>SUMIF(MasterTable[Aircraft ID],Aircraft!$A:$A,MasterTable[VOR/
TCN])</f>
        <v>0</v>
      </c>
      <c r="AI7" s="33">
        <f>SUMIF(MasterTable[Aircraft ID],Aircraft!$A:$A,MasterTable[RNAV])</f>
        <v>0</v>
      </c>
      <c r="AJ7" s="33">
        <f>SUMIF(MasterTable[Aircraft ID],Aircraft!$A:$A,MasterTable[ASR])</f>
        <v>0</v>
      </c>
      <c r="AK7" s="33">
        <f>SUMIF(MasterTable[Aircraft ID],Aircraft!$A:$A,MasterTable[PAR])</f>
        <v>0</v>
      </c>
      <c r="AL7" s="33">
        <f>SUMIF(MasterTable[Aircraft ID],Aircraft!$A:$A,MasterTable[CIRCLE])</f>
        <v>0</v>
      </c>
    </row>
    <row r="8" spans="1:38" x14ac:dyDescent="0.3">
      <c r="A8" s="8" t="s">
        <v>25</v>
      </c>
      <c r="B8" s="8" t="s">
        <v>26</v>
      </c>
      <c r="D8" s="8" t="s">
        <v>27</v>
      </c>
      <c r="E8" s="8" t="s">
        <v>28</v>
      </c>
      <c r="F8" s="8" t="s">
        <v>548</v>
      </c>
      <c r="G8" s="8" t="s">
        <v>13</v>
      </c>
      <c r="H8" s="8" t="s">
        <v>518</v>
      </c>
      <c r="M8" s="33">
        <f>COUNTIF(MasterTable[Aircraft ID],Aircraft!A:A)</f>
        <v>1</v>
      </c>
      <c r="N8" s="34">
        <f>SUMIF(MasterTable[Aircraft ID],Aircraft!A:A,MasterTable[Total
Time])</f>
        <v>1</v>
      </c>
      <c r="O8" s="34">
        <f>SUMIF(MasterTable[Aircraft ID],Aircraft!A:A,MasterTable[PIC])</f>
        <v>0</v>
      </c>
      <c r="P8" s="34">
        <f>SUMIF(MasterTable[Aircraft ID],Aircraft!A:A,MasterTable[PRI 
(Mil)])</f>
        <v>0</v>
      </c>
      <c r="Q8" s="33">
        <f>SUMIF(MasterTable[Aircraft ID],Aircraft!A:A,MasterTable[SIC])</f>
        <v>0</v>
      </c>
      <c r="R8" s="33">
        <f>SUMIF(MasterTable[Aircraft ID],Aircraft!A:A,MasterTable[Solo])</f>
        <v>0</v>
      </c>
      <c r="S8" s="33">
        <f>SUMIF(MasterTable[Aircraft ID],Aircraft!A:A,MasterTable[Night])</f>
        <v>0</v>
      </c>
      <c r="T8" s="33">
        <f>SUMIF(MasterTable[Aircraft ID],Aircraft!A:A,MasterTable[Dual
Given])</f>
        <v>0</v>
      </c>
      <c r="U8" s="33">
        <f>SUMIF(MasterTable[Aircraft ID],Aircraft!A:A,MasterTable[INST
(Mil)])</f>
        <v>0</v>
      </c>
      <c r="V8" s="33">
        <f>SUMIF(MasterTable[Aircraft ID],Aircraft!A:A,MasterTable[Actual
Instrument])</f>
        <v>0</v>
      </c>
      <c r="W8" s="33">
        <f>SUMIF(MasterTable[Aircraft ID],Aircraft!A:A,MasterTable[Simulated
Instrument])</f>
        <v>0</v>
      </c>
      <c r="X8" s="33">
        <f>SUMIF(MasterTable[Aircraft ID],Aircraft!A:A,MasterTable[Cross
Country])</f>
        <v>0</v>
      </c>
      <c r="Y8" s="33">
        <f>SUMIF(MasterTable[Aircraft ID],Aircraft!A:A,MasterTable[Dual
Received])</f>
        <v>1</v>
      </c>
      <c r="Z8" s="33">
        <f>SUMIF(MasterTable[Aircraft ID],Aircraft!A:A,MasterTable[Formation])</f>
        <v>0</v>
      </c>
      <c r="AA8" s="33">
        <f>SUMIF(MasterTable[Aircraft ID],Aircraft!A:A,MasterTable[Landings
Day])</f>
        <v>1</v>
      </c>
      <c r="AB8" s="33">
        <f>SUMIF(MasterTable[Aircraft ID],Aircraft!A:A,MasterTable[Landings
Night])</f>
        <v>0</v>
      </c>
      <c r="AC8" s="33">
        <f>SUMIF(MasterTable[Aircraft ID],Aircraft!A:A,MasterTable[Landings
Total])</f>
        <v>1</v>
      </c>
      <c r="AD8" s="33">
        <f>SUMIF(MasterTable[Aircraft ID],Aircraft!A:A,MasterTable[Holds])</f>
        <v>0</v>
      </c>
      <c r="AE8" s="33">
        <f>SUMIF(MasterTable[Aircraft ID],Aircraft!$A:$A,Flights!AE:AE)</f>
        <v>0</v>
      </c>
      <c r="AF8" s="33">
        <f>SUMIF(MasterTable[Aircraft ID],Aircraft!$A:$A,MasterTable[ILS])</f>
        <v>0</v>
      </c>
      <c r="AG8" s="33">
        <f>SUMIF(MasterTable[Aircraft ID],Aircraft!$A:$A,MasterTable[LOC])</f>
        <v>0</v>
      </c>
      <c r="AH8" s="33">
        <f>SUMIF(MasterTable[Aircraft ID],Aircraft!$A:$A,MasterTable[VOR/
TCN])</f>
        <v>0</v>
      </c>
      <c r="AI8" s="33">
        <f>SUMIF(MasterTable[Aircraft ID],Aircraft!$A:$A,MasterTable[RNAV])</f>
        <v>0</v>
      </c>
      <c r="AJ8" s="33">
        <f>SUMIF(MasterTable[Aircraft ID],Aircraft!$A:$A,MasterTable[ASR])</f>
        <v>0</v>
      </c>
      <c r="AK8" s="33">
        <f>SUMIF(MasterTable[Aircraft ID],Aircraft!$A:$A,MasterTable[PAR])</f>
        <v>0</v>
      </c>
      <c r="AL8" s="33">
        <f>SUMIF(MasterTable[Aircraft ID],Aircraft!$A:$A,MasterTable[CIRCLE])</f>
        <v>0</v>
      </c>
    </row>
    <row r="9" spans="1:38" x14ac:dyDescent="0.3">
      <c r="A9" s="8" t="s">
        <v>29</v>
      </c>
      <c r="B9" s="8" t="s">
        <v>30</v>
      </c>
      <c r="D9" s="8" t="s">
        <v>12</v>
      </c>
      <c r="E9" s="8">
        <v>150</v>
      </c>
      <c r="F9" s="8" t="s">
        <v>548</v>
      </c>
      <c r="G9" s="8" t="s">
        <v>13</v>
      </c>
      <c r="H9" s="8" t="s">
        <v>521</v>
      </c>
      <c r="M9" s="33">
        <f>COUNTIF(MasterTable[Aircraft ID],Aircraft!A:A)</f>
        <v>1</v>
      </c>
      <c r="N9" s="34">
        <f>SUMIF(MasterTable[Aircraft ID],Aircraft!A:A,MasterTable[Total
Time])</f>
        <v>1</v>
      </c>
      <c r="O9" s="34">
        <f>SUMIF(MasterTable[Aircraft ID],Aircraft!A:A,MasterTable[PIC])</f>
        <v>1</v>
      </c>
      <c r="P9" s="34">
        <f>SUMIF(MasterTable[Aircraft ID],Aircraft!A:A,MasterTable[PRI 
(Mil)])</f>
        <v>0</v>
      </c>
      <c r="Q9" s="33">
        <f>SUMIF(MasterTable[Aircraft ID],Aircraft!A:A,MasterTable[SIC])</f>
        <v>0</v>
      </c>
      <c r="R9" s="33">
        <f>SUMIF(MasterTable[Aircraft ID],Aircraft!A:A,MasterTable[Solo])</f>
        <v>0</v>
      </c>
      <c r="S9" s="33">
        <f>SUMIF(MasterTable[Aircraft ID],Aircraft!A:A,MasterTable[Night])</f>
        <v>0</v>
      </c>
      <c r="T9" s="33">
        <f>SUMIF(MasterTable[Aircraft ID],Aircraft!A:A,MasterTable[Dual
Given])</f>
        <v>0</v>
      </c>
      <c r="U9" s="33">
        <f>SUMIF(MasterTable[Aircraft ID],Aircraft!A:A,MasterTable[INST
(Mil)])</f>
        <v>0</v>
      </c>
      <c r="V9" s="33">
        <f>SUMIF(MasterTable[Aircraft ID],Aircraft!A:A,MasterTable[Actual
Instrument])</f>
        <v>0</v>
      </c>
      <c r="W9" s="33">
        <f>SUMIF(MasterTable[Aircraft ID],Aircraft!A:A,MasterTable[Simulated
Instrument])</f>
        <v>0</v>
      </c>
      <c r="X9" s="33">
        <f>SUMIF(MasterTable[Aircraft ID],Aircraft!A:A,MasterTable[Cross
Country])</f>
        <v>0</v>
      </c>
      <c r="Y9" s="33">
        <f>SUMIF(MasterTable[Aircraft ID],Aircraft!A:A,MasterTable[Dual
Received])</f>
        <v>1</v>
      </c>
      <c r="Z9" s="33">
        <f>SUMIF(MasterTable[Aircraft ID],Aircraft!A:A,MasterTable[Formation])</f>
        <v>0</v>
      </c>
      <c r="AA9" s="33">
        <f>SUMIF(MasterTable[Aircraft ID],Aircraft!A:A,MasterTable[Landings
Day])</f>
        <v>4</v>
      </c>
      <c r="AB9" s="33">
        <f>SUMIF(MasterTable[Aircraft ID],Aircraft!A:A,MasterTable[Landings
Night])</f>
        <v>0</v>
      </c>
      <c r="AC9" s="33">
        <f>SUMIF(MasterTable[Aircraft ID],Aircraft!A:A,MasterTable[Landings
Total])</f>
        <v>4</v>
      </c>
      <c r="AD9" s="33">
        <f>SUMIF(MasterTable[Aircraft ID],Aircraft!A:A,MasterTable[Holds])</f>
        <v>0</v>
      </c>
      <c r="AE9" s="33">
        <f>SUMIF(MasterTable[Aircraft ID],Aircraft!$A:$A,Flights!AE:AE)</f>
        <v>0</v>
      </c>
      <c r="AF9" s="33">
        <f>SUMIF(MasterTable[Aircraft ID],Aircraft!$A:$A,MasterTable[ILS])</f>
        <v>0</v>
      </c>
      <c r="AG9" s="33">
        <f>SUMIF(MasterTable[Aircraft ID],Aircraft!$A:$A,MasterTable[LOC])</f>
        <v>0</v>
      </c>
      <c r="AH9" s="33">
        <f>SUMIF(MasterTable[Aircraft ID],Aircraft!$A:$A,MasterTable[VOR/
TCN])</f>
        <v>0</v>
      </c>
      <c r="AI9" s="33">
        <f>SUMIF(MasterTable[Aircraft ID],Aircraft!$A:$A,MasterTable[RNAV])</f>
        <v>0</v>
      </c>
      <c r="AJ9" s="33">
        <f>SUMIF(MasterTable[Aircraft ID],Aircraft!$A:$A,MasterTable[ASR])</f>
        <v>0</v>
      </c>
      <c r="AK9" s="33">
        <f>SUMIF(MasterTable[Aircraft ID],Aircraft!$A:$A,MasterTable[PAR])</f>
        <v>0</v>
      </c>
      <c r="AL9" s="33">
        <f>SUMIF(MasterTable[Aircraft ID],Aircraft!$A:$A,MasterTable[CIRCLE])</f>
        <v>0</v>
      </c>
    </row>
    <row r="10" spans="1:38" x14ac:dyDescent="0.3">
      <c r="A10" s="8" t="s">
        <v>31</v>
      </c>
      <c r="B10" s="8" t="s">
        <v>11</v>
      </c>
      <c r="D10" s="8" t="s">
        <v>12</v>
      </c>
      <c r="E10" s="8" t="s">
        <v>32</v>
      </c>
      <c r="F10" s="8" t="s">
        <v>548</v>
      </c>
      <c r="G10" s="8" t="s">
        <v>13</v>
      </c>
      <c r="H10" s="8" t="s">
        <v>521</v>
      </c>
      <c r="M10" s="33">
        <f>COUNTIF(MasterTable[Aircraft ID],Aircraft!A:A)</f>
        <v>1</v>
      </c>
      <c r="N10" s="34">
        <f>SUMIF(MasterTable[Aircraft ID],Aircraft!A:A,MasterTable[Total
Time])</f>
        <v>1.8</v>
      </c>
      <c r="O10" s="34">
        <f>SUMIF(MasterTable[Aircraft ID],Aircraft!A:A,MasterTable[PIC])</f>
        <v>1.8</v>
      </c>
      <c r="P10" s="34">
        <f>SUMIF(MasterTable[Aircraft ID],Aircraft!A:A,MasterTable[PRI 
(Mil)])</f>
        <v>0</v>
      </c>
      <c r="Q10" s="33">
        <f>SUMIF(MasterTable[Aircraft ID],Aircraft!A:A,MasterTable[SIC])</f>
        <v>0</v>
      </c>
      <c r="R10" s="33">
        <f>SUMIF(MasterTable[Aircraft ID],Aircraft!A:A,MasterTable[Solo])</f>
        <v>0</v>
      </c>
      <c r="S10" s="33">
        <f>SUMIF(MasterTable[Aircraft ID],Aircraft!A:A,MasterTable[Night])</f>
        <v>0</v>
      </c>
      <c r="T10" s="33">
        <f>SUMIF(MasterTable[Aircraft ID],Aircraft!A:A,MasterTable[Dual
Given])</f>
        <v>0</v>
      </c>
      <c r="U10" s="33">
        <f>SUMIF(MasterTable[Aircraft ID],Aircraft!A:A,MasterTable[INST
(Mil)])</f>
        <v>0</v>
      </c>
      <c r="V10" s="33">
        <f>SUMIF(MasterTable[Aircraft ID],Aircraft!A:A,MasterTable[Actual
Instrument])</f>
        <v>0</v>
      </c>
      <c r="W10" s="33">
        <f>SUMIF(MasterTable[Aircraft ID],Aircraft!A:A,MasterTable[Simulated
Instrument])</f>
        <v>0</v>
      </c>
      <c r="X10" s="33">
        <f>SUMIF(MasterTable[Aircraft ID],Aircraft!A:A,MasterTable[Cross
Country])</f>
        <v>0</v>
      </c>
      <c r="Y10" s="33">
        <f>SUMIF(MasterTable[Aircraft ID],Aircraft!A:A,MasterTable[Dual
Received])</f>
        <v>0</v>
      </c>
      <c r="Z10" s="33">
        <f>SUMIF(MasterTable[Aircraft ID],Aircraft!A:A,MasterTable[Formation])</f>
        <v>0</v>
      </c>
      <c r="AA10" s="33">
        <f>SUMIF(MasterTable[Aircraft ID],Aircraft!A:A,MasterTable[Landings
Day])</f>
        <v>1</v>
      </c>
      <c r="AB10" s="33">
        <f>SUMIF(MasterTable[Aircraft ID],Aircraft!A:A,MasterTable[Landings
Night])</f>
        <v>0</v>
      </c>
      <c r="AC10" s="33">
        <f>SUMIF(MasterTable[Aircraft ID],Aircraft!A:A,MasterTable[Landings
Total])</f>
        <v>1</v>
      </c>
      <c r="AD10" s="33">
        <f>SUMIF(MasterTable[Aircraft ID],Aircraft!A:A,MasterTable[Holds])</f>
        <v>0</v>
      </c>
      <c r="AE10" s="33">
        <f>SUMIF(MasterTable[Aircraft ID],Aircraft!$A:$A,Flights!AE:AE)</f>
        <v>0</v>
      </c>
      <c r="AF10" s="33">
        <f>SUMIF(MasterTable[Aircraft ID],Aircraft!$A:$A,MasterTable[ILS])</f>
        <v>0</v>
      </c>
      <c r="AG10" s="33">
        <f>SUMIF(MasterTable[Aircraft ID],Aircraft!$A:$A,MasterTable[LOC])</f>
        <v>0</v>
      </c>
      <c r="AH10" s="33">
        <f>SUMIF(MasterTable[Aircraft ID],Aircraft!$A:$A,MasterTable[VOR/
TCN])</f>
        <v>0</v>
      </c>
      <c r="AI10" s="33">
        <f>SUMIF(MasterTable[Aircraft ID],Aircraft!$A:$A,MasterTable[RNAV])</f>
        <v>0</v>
      </c>
      <c r="AJ10" s="33">
        <f>SUMIF(MasterTable[Aircraft ID],Aircraft!$A:$A,MasterTable[ASR])</f>
        <v>0</v>
      </c>
      <c r="AK10" s="33">
        <f>SUMIF(MasterTable[Aircraft ID],Aircraft!$A:$A,MasterTable[PAR])</f>
        <v>0</v>
      </c>
      <c r="AL10" s="33">
        <f>SUMIF(MasterTable[Aircraft ID],Aircraft!$A:$A,MasterTable[CIRCLE])</f>
        <v>0</v>
      </c>
    </row>
    <row r="11" spans="1:38" x14ac:dyDescent="0.3">
      <c r="A11" s="8" t="s">
        <v>33</v>
      </c>
      <c r="B11" s="8" t="s">
        <v>34</v>
      </c>
      <c r="D11" s="8" t="s">
        <v>12</v>
      </c>
      <c r="E11" s="8">
        <v>560</v>
      </c>
      <c r="F11" s="8" t="s">
        <v>551</v>
      </c>
      <c r="G11" s="8" t="s">
        <v>35</v>
      </c>
      <c r="H11" s="8" t="s">
        <v>522</v>
      </c>
      <c r="K11" s="8" t="b">
        <v>1</v>
      </c>
      <c r="L11" s="8" t="b">
        <v>1</v>
      </c>
      <c r="M11" s="33">
        <f>COUNTIF(MasterTable[Aircraft ID],Aircraft!A:A)</f>
        <v>1</v>
      </c>
      <c r="N11" s="34">
        <f>SUMIF(MasterTable[Aircraft ID],Aircraft!A:A,MasterTable[Total
Time])</f>
        <v>0</v>
      </c>
      <c r="O11" s="34">
        <f>SUMIF(MasterTable[Aircraft ID],Aircraft!A:A,MasterTable[PIC])</f>
        <v>0</v>
      </c>
      <c r="P11" s="34">
        <f>SUMIF(MasterTable[Aircraft ID],Aircraft!A:A,MasterTable[PRI 
(Mil)])</f>
        <v>0</v>
      </c>
      <c r="Q11" s="33">
        <f>SUMIF(MasterTable[Aircraft ID],Aircraft!A:A,MasterTable[SIC])</f>
        <v>0</v>
      </c>
      <c r="R11" s="33">
        <f>SUMIF(MasterTable[Aircraft ID],Aircraft!A:A,MasterTable[Solo])</f>
        <v>0</v>
      </c>
      <c r="S11" s="33">
        <f>SUMIF(MasterTable[Aircraft ID],Aircraft!A:A,MasterTable[Night])</f>
        <v>0</v>
      </c>
      <c r="T11" s="33">
        <f>SUMIF(MasterTable[Aircraft ID],Aircraft!A:A,MasterTable[Dual
Given])</f>
        <v>0</v>
      </c>
      <c r="U11" s="33">
        <f>SUMIF(MasterTable[Aircraft ID],Aircraft!A:A,MasterTable[INST
(Mil)])</f>
        <v>0</v>
      </c>
      <c r="V11" s="33">
        <f>SUMIF(MasterTable[Aircraft ID],Aircraft!A:A,MasterTable[Actual
Instrument])</f>
        <v>0</v>
      </c>
      <c r="W11" s="33">
        <f>SUMIF(MasterTable[Aircraft ID],Aircraft!A:A,MasterTable[Simulated
Instrument])</f>
        <v>0</v>
      </c>
      <c r="X11" s="33">
        <f>SUMIF(MasterTable[Aircraft ID],Aircraft!A:A,MasterTable[Cross
Country])</f>
        <v>0</v>
      </c>
      <c r="Y11" s="33">
        <f>SUMIF(MasterTable[Aircraft ID],Aircraft!A:A,MasterTable[Dual
Received])</f>
        <v>0</v>
      </c>
      <c r="Z11" s="33">
        <f>SUMIF(MasterTable[Aircraft ID],Aircraft!A:A,MasterTable[Formation])</f>
        <v>0</v>
      </c>
      <c r="AA11" s="33">
        <f>SUMIF(MasterTable[Aircraft ID],Aircraft!A:A,MasterTable[Landings
Day])</f>
        <v>1</v>
      </c>
      <c r="AB11" s="33">
        <f>SUMIF(MasterTable[Aircraft ID],Aircraft!A:A,MasterTable[Landings
Night])</f>
        <v>0</v>
      </c>
      <c r="AC11" s="33">
        <f>SUMIF(MasterTable[Aircraft ID],Aircraft!A:A,MasterTable[Landings
Total])</f>
        <v>1</v>
      </c>
      <c r="AD11" s="33">
        <f>SUMIF(MasterTable[Aircraft ID],Aircraft!A:A,MasterTable[Holds])</f>
        <v>0</v>
      </c>
      <c r="AE11" s="33">
        <f>SUMIF(MasterTable[Aircraft ID],Aircraft!$A:$A,Flights!AE:AE)</f>
        <v>0</v>
      </c>
      <c r="AF11" s="33">
        <f>SUMIF(MasterTable[Aircraft ID],Aircraft!$A:$A,MasterTable[ILS])</f>
        <v>0</v>
      </c>
      <c r="AG11" s="33">
        <f>SUMIF(MasterTable[Aircraft ID],Aircraft!$A:$A,MasterTable[LOC])</f>
        <v>0</v>
      </c>
      <c r="AH11" s="33">
        <f>SUMIF(MasterTable[Aircraft ID],Aircraft!$A:$A,MasterTable[VOR/
TCN])</f>
        <v>0</v>
      </c>
      <c r="AI11" s="33">
        <f>SUMIF(MasterTable[Aircraft ID],Aircraft!$A:$A,MasterTable[RNAV])</f>
        <v>0</v>
      </c>
      <c r="AJ11" s="33">
        <f>SUMIF(MasterTable[Aircraft ID],Aircraft!$A:$A,MasterTable[ASR])</f>
        <v>0</v>
      </c>
      <c r="AK11" s="33">
        <f>SUMIF(MasterTable[Aircraft ID],Aircraft!$A:$A,MasterTable[PAR])</f>
        <v>0</v>
      </c>
      <c r="AL11" s="33">
        <f>SUMIF(MasterTable[Aircraft ID],Aircraft!$A:$A,MasterTable[CIRCLE])</f>
        <v>0</v>
      </c>
    </row>
    <row r="12" spans="1:38" x14ac:dyDescent="0.3">
      <c r="A12" s="8" t="s">
        <v>36</v>
      </c>
      <c r="B12" s="8" t="s">
        <v>21</v>
      </c>
      <c r="D12" s="8" t="s">
        <v>12</v>
      </c>
      <c r="E12" s="8">
        <v>177</v>
      </c>
      <c r="F12" s="8" t="s">
        <v>548</v>
      </c>
      <c r="G12" s="8" t="s">
        <v>13</v>
      </c>
      <c r="H12" s="8" t="s">
        <v>521</v>
      </c>
      <c r="M12" s="33">
        <f>COUNTIF(MasterTable[Aircraft ID],Aircraft!A:A)</f>
        <v>6</v>
      </c>
      <c r="N12" s="34">
        <f>SUMIF(MasterTable[Aircraft ID],Aircraft!A:A,MasterTable[Total
Time])</f>
        <v>11.900000000000002</v>
      </c>
      <c r="O12" s="34">
        <f>SUMIF(MasterTable[Aircraft ID],Aircraft!A:A,MasterTable[PIC])</f>
        <v>11.900000000000002</v>
      </c>
      <c r="P12" s="34">
        <f>SUMIF(MasterTable[Aircraft ID],Aircraft!A:A,MasterTable[PRI 
(Mil)])</f>
        <v>0</v>
      </c>
      <c r="Q12" s="33">
        <f>SUMIF(MasterTable[Aircraft ID],Aircraft!A:A,MasterTable[SIC])</f>
        <v>0</v>
      </c>
      <c r="R12" s="33">
        <f>SUMIF(MasterTable[Aircraft ID],Aircraft!A:A,MasterTable[Solo])</f>
        <v>0</v>
      </c>
      <c r="S12" s="33">
        <f>SUMIF(MasterTable[Aircraft ID],Aircraft!A:A,MasterTable[Night])</f>
        <v>1.1000000000000001</v>
      </c>
      <c r="T12" s="33">
        <f>SUMIF(MasterTable[Aircraft ID],Aircraft!A:A,MasterTable[Dual
Given])</f>
        <v>0</v>
      </c>
      <c r="U12" s="33">
        <f>SUMIF(MasterTable[Aircraft ID],Aircraft!A:A,MasterTable[INST
(Mil)])</f>
        <v>0</v>
      </c>
      <c r="V12" s="33">
        <f>SUMIF(MasterTable[Aircraft ID],Aircraft!A:A,MasterTable[Actual
Instrument])</f>
        <v>0.4</v>
      </c>
      <c r="W12" s="33">
        <f>SUMIF(MasterTable[Aircraft ID],Aircraft!A:A,MasterTable[Simulated
Instrument])</f>
        <v>3.4</v>
      </c>
      <c r="X12" s="33">
        <f>SUMIF(MasterTable[Aircraft ID],Aircraft!A:A,MasterTable[Cross
Country])</f>
        <v>7.9</v>
      </c>
      <c r="Y12" s="33">
        <f>SUMIF(MasterTable[Aircraft ID],Aircraft!A:A,MasterTable[Dual
Received])</f>
        <v>0</v>
      </c>
      <c r="Z12" s="33">
        <f>SUMIF(MasterTable[Aircraft ID],Aircraft!A:A,MasterTable[Formation])</f>
        <v>0</v>
      </c>
      <c r="AA12" s="33">
        <f>SUMIF(MasterTable[Aircraft ID],Aircraft!A:A,MasterTable[Landings
Day])</f>
        <v>9</v>
      </c>
      <c r="AB12" s="33">
        <f>SUMIF(MasterTable[Aircraft ID],Aircraft!A:A,MasterTable[Landings
Night])</f>
        <v>1</v>
      </c>
      <c r="AC12" s="33">
        <f>SUMIF(MasterTable[Aircraft ID],Aircraft!A:A,MasterTable[Landings
Total])</f>
        <v>10</v>
      </c>
      <c r="AD12" s="33">
        <f>SUMIF(MasterTable[Aircraft ID],Aircraft!A:A,MasterTable[Holds])</f>
        <v>2</v>
      </c>
      <c r="AE12" s="33">
        <f>SUMIF(MasterTable[Aircraft ID],Aircraft!$A:$A,Flights!AE:AE)</f>
        <v>1</v>
      </c>
      <c r="AF12" s="33">
        <f>SUMIF(MasterTable[Aircraft ID],Aircraft!$A:$A,MasterTable[ILS])</f>
        <v>7</v>
      </c>
      <c r="AG12" s="33">
        <f>SUMIF(MasterTable[Aircraft ID],Aircraft!$A:$A,MasterTable[LOC])</f>
        <v>1</v>
      </c>
      <c r="AH12" s="33">
        <f>SUMIF(MasterTable[Aircraft ID],Aircraft!$A:$A,MasterTable[VOR/
TCN])</f>
        <v>2</v>
      </c>
      <c r="AI12" s="33">
        <f>SUMIF(MasterTable[Aircraft ID],Aircraft!$A:$A,MasterTable[RNAV])</f>
        <v>4</v>
      </c>
      <c r="AJ12" s="33">
        <f>SUMIF(MasterTable[Aircraft ID],Aircraft!$A:$A,MasterTable[ASR])</f>
        <v>0</v>
      </c>
      <c r="AK12" s="33">
        <f>SUMIF(MasterTable[Aircraft ID],Aircraft!$A:$A,MasterTable[PAR])</f>
        <v>0</v>
      </c>
      <c r="AL12" s="33">
        <f>SUMIF(MasterTable[Aircraft ID],Aircraft!$A:$A,MasterTable[CIRCLE])</f>
        <v>0</v>
      </c>
    </row>
    <row r="13" spans="1:38" x14ac:dyDescent="0.3">
      <c r="A13" s="8" t="s">
        <v>37</v>
      </c>
      <c r="B13" s="8" t="s">
        <v>38</v>
      </c>
      <c r="D13" s="8" t="s">
        <v>12</v>
      </c>
      <c r="E13" s="8">
        <v>550</v>
      </c>
      <c r="F13" s="8" t="s">
        <v>551</v>
      </c>
      <c r="G13" s="8" t="s">
        <v>35</v>
      </c>
      <c r="H13" s="8" t="s">
        <v>522</v>
      </c>
      <c r="K13" s="8" t="b">
        <v>1</v>
      </c>
      <c r="L13" s="8" t="b">
        <v>1</v>
      </c>
      <c r="M13" s="33">
        <f>COUNTIF(MasterTable[Aircraft ID],Aircraft!A:A)</f>
        <v>47</v>
      </c>
      <c r="N13" s="34">
        <f>SUMIF(MasterTable[Aircraft ID],Aircraft!A:A,MasterTable[Total
Time])</f>
        <v>0</v>
      </c>
      <c r="O13" s="34">
        <f>SUMIF(MasterTable[Aircraft ID],Aircraft!A:A,MasterTable[PIC])</f>
        <v>0</v>
      </c>
      <c r="P13" s="34">
        <f>SUMIF(MasterTable[Aircraft ID],Aircraft!A:A,MasterTable[PRI 
(Mil)])</f>
        <v>0</v>
      </c>
      <c r="Q13" s="33">
        <f>SUMIF(MasterTable[Aircraft ID],Aircraft!A:A,MasterTable[SIC])</f>
        <v>0</v>
      </c>
      <c r="R13" s="33">
        <f>SUMIF(MasterTable[Aircraft ID],Aircraft!A:A,MasterTable[Solo])</f>
        <v>0</v>
      </c>
      <c r="S13" s="33">
        <f>SUMIF(MasterTable[Aircraft ID],Aircraft!A:A,MasterTable[Night])</f>
        <v>0</v>
      </c>
      <c r="T13" s="33">
        <f>SUMIF(MasterTable[Aircraft ID],Aircraft!A:A,MasterTable[Dual
Given])</f>
        <v>0</v>
      </c>
      <c r="U13" s="33">
        <f>SUMIF(MasterTable[Aircraft ID],Aircraft!A:A,MasterTable[INST
(Mil)])</f>
        <v>0</v>
      </c>
      <c r="V13" s="33">
        <f>SUMIF(MasterTable[Aircraft ID],Aircraft!A:A,MasterTable[Actual
Instrument])</f>
        <v>0</v>
      </c>
      <c r="W13" s="33">
        <f>SUMIF(MasterTable[Aircraft ID],Aircraft!A:A,MasterTable[Simulated
Instrument])</f>
        <v>0</v>
      </c>
      <c r="X13" s="33">
        <f>SUMIF(MasterTable[Aircraft ID],Aircraft!A:A,MasterTable[Cross
Country])</f>
        <v>0</v>
      </c>
      <c r="Y13" s="33">
        <f>SUMIF(MasterTable[Aircraft ID],Aircraft!A:A,MasterTable[Dual
Received])</f>
        <v>0</v>
      </c>
      <c r="Z13" s="33">
        <f>SUMIF(MasterTable[Aircraft ID],Aircraft!A:A,MasterTable[Formation])</f>
        <v>0</v>
      </c>
      <c r="AA13" s="33">
        <f>SUMIF(MasterTable[Aircraft ID],Aircraft!A:A,MasterTable[Landings
Day])</f>
        <v>70</v>
      </c>
      <c r="AB13" s="33">
        <f>SUMIF(MasterTable[Aircraft ID],Aircraft!A:A,MasterTable[Landings
Night])</f>
        <v>0</v>
      </c>
      <c r="AC13" s="33">
        <f>SUMIF(MasterTable[Aircraft ID],Aircraft!A:A,MasterTable[Landings
Total])</f>
        <v>70</v>
      </c>
      <c r="AD13" s="33">
        <f>SUMIF(MasterTable[Aircraft ID],Aircraft!A:A,MasterTable[Holds])</f>
        <v>0</v>
      </c>
      <c r="AE13" s="33">
        <f>SUMIF(MasterTable[Aircraft ID],Aircraft!$A:$A,Flights!AE:AE)</f>
        <v>1</v>
      </c>
      <c r="AF13" s="33">
        <f>SUMIF(MasterTable[Aircraft ID],Aircraft!$A:$A,MasterTable[ILS])</f>
        <v>0</v>
      </c>
      <c r="AG13" s="33">
        <f>SUMIF(MasterTable[Aircraft ID],Aircraft!$A:$A,MasterTable[LOC])</f>
        <v>0</v>
      </c>
      <c r="AH13" s="33">
        <f>SUMIF(MasterTable[Aircraft ID],Aircraft!$A:$A,MasterTable[VOR/
TCN])</f>
        <v>0</v>
      </c>
      <c r="AI13" s="33">
        <f>SUMIF(MasterTable[Aircraft ID],Aircraft!$A:$A,MasterTable[RNAV])</f>
        <v>1</v>
      </c>
      <c r="AJ13" s="33">
        <f>SUMIF(MasterTable[Aircraft ID],Aircraft!$A:$A,MasterTable[ASR])</f>
        <v>0</v>
      </c>
      <c r="AK13" s="33">
        <f>SUMIF(MasterTable[Aircraft ID],Aircraft!$A:$A,MasterTable[PAR])</f>
        <v>0</v>
      </c>
      <c r="AL13" s="33">
        <f>SUMIF(MasterTable[Aircraft ID],Aircraft!$A:$A,MasterTable[CIRCLE])</f>
        <v>0</v>
      </c>
    </row>
    <row r="14" spans="1:38" x14ac:dyDescent="0.3">
      <c r="A14" s="8" t="s">
        <v>39</v>
      </c>
      <c r="B14" s="8" t="s">
        <v>40</v>
      </c>
      <c r="C14" s="8">
        <v>1966</v>
      </c>
      <c r="D14" s="8" t="s">
        <v>12</v>
      </c>
      <c r="E14" s="8">
        <v>182</v>
      </c>
      <c r="F14" s="8" t="s">
        <v>548</v>
      </c>
      <c r="G14" s="8" t="s">
        <v>13</v>
      </c>
      <c r="H14" s="8" t="s">
        <v>521</v>
      </c>
      <c r="K14" s="8" t="b">
        <v>1</v>
      </c>
      <c r="M14" s="33">
        <f>COUNTIF(MasterTable[Aircraft ID],Aircraft!A:A)</f>
        <v>1</v>
      </c>
      <c r="N14" s="34">
        <f>SUMIF(MasterTable[Aircraft ID],Aircraft!A:A,MasterTable[Total
Time])</f>
        <v>0.8</v>
      </c>
      <c r="O14" s="34">
        <f>SUMIF(MasterTable[Aircraft ID],Aircraft!A:A,MasterTable[PIC])</f>
        <v>0.8</v>
      </c>
      <c r="P14" s="34">
        <f>SUMIF(MasterTable[Aircraft ID],Aircraft!A:A,MasterTable[PRI 
(Mil)])</f>
        <v>0</v>
      </c>
      <c r="Q14" s="33">
        <f>SUMIF(MasterTable[Aircraft ID],Aircraft!A:A,MasterTable[SIC])</f>
        <v>0</v>
      </c>
      <c r="R14" s="33">
        <f>SUMIF(MasterTable[Aircraft ID],Aircraft!A:A,MasterTable[Solo])</f>
        <v>0</v>
      </c>
      <c r="S14" s="33">
        <f>SUMIF(MasterTable[Aircraft ID],Aircraft!A:A,MasterTable[Night])</f>
        <v>0</v>
      </c>
      <c r="T14" s="33">
        <f>SUMIF(MasterTable[Aircraft ID],Aircraft!A:A,MasterTable[Dual
Given])</f>
        <v>0</v>
      </c>
      <c r="U14" s="33">
        <f>SUMIF(MasterTable[Aircraft ID],Aircraft!A:A,MasterTable[INST
(Mil)])</f>
        <v>0</v>
      </c>
      <c r="V14" s="33">
        <f>SUMIF(MasterTable[Aircraft ID],Aircraft!A:A,MasterTable[Actual
Instrument])</f>
        <v>0</v>
      </c>
      <c r="W14" s="33">
        <f>SUMIF(MasterTable[Aircraft ID],Aircraft!A:A,MasterTable[Simulated
Instrument])</f>
        <v>0</v>
      </c>
      <c r="X14" s="33">
        <f>SUMIF(MasterTable[Aircraft ID],Aircraft!A:A,MasterTable[Cross
Country])</f>
        <v>0</v>
      </c>
      <c r="Y14" s="33">
        <f>SUMIF(MasterTable[Aircraft ID],Aircraft!A:A,MasterTable[Dual
Received])</f>
        <v>0</v>
      </c>
      <c r="Z14" s="33">
        <f>SUMIF(MasterTable[Aircraft ID],Aircraft!A:A,MasterTable[Formation])</f>
        <v>0</v>
      </c>
      <c r="AA14" s="33">
        <f>SUMIF(MasterTable[Aircraft ID],Aircraft!A:A,MasterTable[Landings
Day])</f>
        <v>1</v>
      </c>
      <c r="AB14" s="33">
        <f>SUMIF(MasterTable[Aircraft ID],Aircraft!A:A,MasterTable[Landings
Night])</f>
        <v>0</v>
      </c>
      <c r="AC14" s="33">
        <f>SUMIF(MasterTable[Aircraft ID],Aircraft!A:A,MasterTable[Landings
Total])</f>
        <v>1</v>
      </c>
      <c r="AD14" s="33">
        <f>SUMIF(MasterTable[Aircraft ID],Aircraft!A:A,MasterTable[Holds])</f>
        <v>0</v>
      </c>
      <c r="AE14" s="33">
        <f>SUMIF(MasterTable[Aircraft ID],Aircraft!$A:$A,Flights!AE:AE)</f>
        <v>0</v>
      </c>
      <c r="AF14" s="33">
        <f>SUMIF(MasterTable[Aircraft ID],Aircraft!$A:$A,MasterTable[ILS])</f>
        <v>0</v>
      </c>
      <c r="AG14" s="33">
        <f>SUMIF(MasterTable[Aircraft ID],Aircraft!$A:$A,MasterTable[LOC])</f>
        <v>0</v>
      </c>
      <c r="AH14" s="33">
        <f>SUMIF(MasterTable[Aircraft ID],Aircraft!$A:$A,MasterTable[VOR/
TCN])</f>
        <v>0</v>
      </c>
      <c r="AI14" s="33">
        <f>SUMIF(MasterTable[Aircraft ID],Aircraft!$A:$A,MasterTable[RNAV])</f>
        <v>0</v>
      </c>
      <c r="AJ14" s="33">
        <f>SUMIF(MasterTable[Aircraft ID],Aircraft!$A:$A,MasterTable[ASR])</f>
        <v>0</v>
      </c>
      <c r="AK14" s="33">
        <f>SUMIF(MasterTable[Aircraft ID],Aircraft!$A:$A,MasterTable[PAR])</f>
        <v>0</v>
      </c>
      <c r="AL14" s="33">
        <f>SUMIF(MasterTable[Aircraft ID],Aircraft!$A:$A,MasterTable[CIRCLE])</f>
        <v>0</v>
      </c>
    </row>
    <row r="15" spans="1:38" x14ac:dyDescent="0.3">
      <c r="A15" s="8" t="s">
        <v>41</v>
      </c>
      <c r="B15" s="8" t="s">
        <v>11</v>
      </c>
      <c r="D15" s="8" t="s">
        <v>12</v>
      </c>
      <c r="E15" s="8">
        <v>172</v>
      </c>
      <c r="F15" s="8" t="s">
        <v>548</v>
      </c>
      <c r="G15" s="8" t="s">
        <v>13</v>
      </c>
      <c r="H15" s="8" t="s">
        <v>521</v>
      </c>
      <c r="M15" s="33">
        <f>COUNTIF(MasterTable[Aircraft ID],Aircraft!A:A)</f>
        <v>1</v>
      </c>
      <c r="N15" s="34">
        <f>SUMIF(MasterTable[Aircraft ID],Aircraft!A:A,MasterTable[Total
Time])</f>
        <v>0</v>
      </c>
      <c r="O15" s="34">
        <f>SUMIF(MasterTable[Aircraft ID],Aircraft!A:A,MasterTable[PIC])</f>
        <v>0</v>
      </c>
      <c r="P15" s="34">
        <f>SUMIF(MasterTable[Aircraft ID],Aircraft!A:A,MasterTable[PRI 
(Mil)])</f>
        <v>0</v>
      </c>
      <c r="Q15" s="33">
        <f>SUMIF(MasterTable[Aircraft ID],Aircraft!A:A,MasterTable[SIC])</f>
        <v>0</v>
      </c>
      <c r="R15" s="33">
        <f>SUMIF(MasterTable[Aircraft ID],Aircraft!A:A,MasterTable[Solo])</f>
        <v>0</v>
      </c>
      <c r="S15" s="33">
        <f>SUMIF(MasterTable[Aircraft ID],Aircraft!A:A,MasterTable[Night])</f>
        <v>0</v>
      </c>
      <c r="T15" s="33">
        <f>SUMIF(MasterTable[Aircraft ID],Aircraft!A:A,MasterTable[Dual
Given])</f>
        <v>0</v>
      </c>
      <c r="U15" s="33">
        <f>SUMIF(MasterTable[Aircraft ID],Aircraft!A:A,MasterTable[INST
(Mil)])</f>
        <v>0</v>
      </c>
      <c r="V15" s="33">
        <f>SUMIF(MasterTable[Aircraft ID],Aircraft!A:A,MasterTable[Actual
Instrument])</f>
        <v>0</v>
      </c>
      <c r="W15" s="33">
        <f>SUMIF(MasterTable[Aircraft ID],Aircraft!A:A,MasterTable[Simulated
Instrument])</f>
        <v>0</v>
      </c>
      <c r="X15" s="33">
        <f>SUMIF(MasterTable[Aircraft ID],Aircraft!A:A,MasterTable[Cross
Country])</f>
        <v>0</v>
      </c>
      <c r="Y15" s="33">
        <f>SUMIF(MasterTable[Aircraft ID],Aircraft!A:A,MasterTable[Dual
Received])</f>
        <v>0</v>
      </c>
      <c r="Z15" s="33">
        <f>SUMIF(MasterTable[Aircraft ID],Aircraft!A:A,MasterTable[Formation])</f>
        <v>0</v>
      </c>
      <c r="AA15" s="33">
        <f>SUMIF(MasterTable[Aircraft ID],Aircraft!A:A,MasterTable[Landings
Day])</f>
        <v>1</v>
      </c>
      <c r="AB15" s="33">
        <f>SUMIF(MasterTable[Aircraft ID],Aircraft!A:A,MasterTable[Landings
Night])</f>
        <v>0</v>
      </c>
      <c r="AC15" s="33">
        <f>SUMIF(MasterTable[Aircraft ID],Aircraft!A:A,MasterTable[Landings
Total])</f>
        <v>1</v>
      </c>
      <c r="AD15" s="33">
        <f>SUMIF(MasterTable[Aircraft ID],Aircraft!A:A,MasterTable[Holds])</f>
        <v>0</v>
      </c>
      <c r="AE15" s="33">
        <f>SUMIF(MasterTable[Aircraft ID],Aircraft!$A:$A,Flights!AE:AE)</f>
        <v>0</v>
      </c>
      <c r="AF15" s="33">
        <f>SUMIF(MasterTable[Aircraft ID],Aircraft!$A:$A,MasterTable[ILS])</f>
        <v>0</v>
      </c>
      <c r="AG15" s="33">
        <f>SUMIF(MasterTable[Aircraft ID],Aircraft!$A:$A,MasterTable[LOC])</f>
        <v>0</v>
      </c>
      <c r="AH15" s="33">
        <f>SUMIF(MasterTable[Aircraft ID],Aircraft!$A:$A,MasterTable[VOR/
TCN])</f>
        <v>0</v>
      </c>
      <c r="AI15" s="33">
        <f>SUMIF(MasterTable[Aircraft ID],Aircraft!$A:$A,MasterTable[RNAV])</f>
        <v>0</v>
      </c>
      <c r="AJ15" s="33">
        <f>SUMIF(MasterTable[Aircraft ID],Aircraft!$A:$A,MasterTable[ASR])</f>
        <v>0</v>
      </c>
      <c r="AK15" s="33">
        <f>SUMIF(MasterTable[Aircraft ID],Aircraft!$A:$A,MasterTable[PAR])</f>
        <v>0</v>
      </c>
      <c r="AL15" s="33">
        <f>SUMIF(MasterTable[Aircraft ID],Aircraft!$A:$A,MasterTable[CIRCLE])</f>
        <v>0</v>
      </c>
    </row>
    <row r="16" spans="1:38" x14ac:dyDescent="0.3">
      <c r="A16" s="8" t="s">
        <v>42</v>
      </c>
      <c r="B16" s="8" t="s">
        <v>43</v>
      </c>
      <c r="D16" s="8" t="s">
        <v>44</v>
      </c>
      <c r="E16" s="8" t="s">
        <v>45</v>
      </c>
      <c r="F16" s="8" t="s">
        <v>551</v>
      </c>
      <c r="G16" s="8" t="s">
        <v>46</v>
      </c>
      <c r="H16" s="8" t="s">
        <v>522</v>
      </c>
      <c r="L16" s="8" t="b">
        <v>1</v>
      </c>
      <c r="M16" s="33">
        <f>COUNTIF(MasterTable[Aircraft ID],Aircraft!A:A)</f>
        <v>3</v>
      </c>
      <c r="N16" s="34">
        <f>SUMIF(MasterTable[Aircraft ID],Aircraft!A:A,MasterTable[Total
Time])</f>
        <v>0</v>
      </c>
      <c r="O16" s="34">
        <f>SUMIF(MasterTable[Aircraft ID],Aircraft!A:A,MasterTable[PIC])</f>
        <v>0</v>
      </c>
      <c r="P16" s="34">
        <f>SUMIF(MasterTable[Aircraft ID],Aircraft!A:A,MasterTable[PRI 
(Mil)])</f>
        <v>0</v>
      </c>
      <c r="Q16" s="33">
        <f>SUMIF(MasterTable[Aircraft ID],Aircraft!A:A,MasterTable[SIC])</f>
        <v>0</v>
      </c>
      <c r="R16" s="33">
        <f>SUMIF(MasterTable[Aircraft ID],Aircraft!A:A,MasterTable[Solo])</f>
        <v>0</v>
      </c>
      <c r="S16" s="33">
        <f>SUMIF(MasterTable[Aircraft ID],Aircraft!A:A,MasterTable[Night])</f>
        <v>0</v>
      </c>
      <c r="T16" s="33">
        <f>SUMIF(MasterTable[Aircraft ID],Aircraft!A:A,MasterTable[Dual
Given])</f>
        <v>0</v>
      </c>
      <c r="U16" s="33">
        <f>SUMIF(MasterTable[Aircraft ID],Aircraft!A:A,MasterTable[INST
(Mil)])</f>
        <v>0</v>
      </c>
      <c r="V16" s="33">
        <f>SUMIF(MasterTable[Aircraft ID],Aircraft!A:A,MasterTable[Actual
Instrument])</f>
        <v>0</v>
      </c>
      <c r="W16" s="33">
        <f>SUMIF(MasterTable[Aircraft ID],Aircraft!A:A,MasterTable[Simulated
Instrument])</f>
        <v>0</v>
      </c>
      <c r="X16" s="33">
        <f>SUMIF(MasterTable[Aircraft ID],Aircraft!A:A,MasterTable[Cross
Country])</f>
        <v>0</v>
      </c>
      <c r="Y16" s="33">
        <f>SUMIF(MasterTable[Aircraft ID],Aircraft!A:A,MasterTable[Dual
Received])</f>
        <v>0</v>
      </c>
      <c r="Z16" s="33">
        <f>SUMIF(MasterTable[Aircraft ID],Aircraft!A:A,MasterTable[Formation])</f>
        <v>0</v>
      </c>
      <c r="AA16" s="33">
        <f>SUMIF(MasterTable[Aircraft ID],Aircraft!A:A,MasterTable[Landings
Day])</f>
        <v>4</v>
      </c>
      <c r="AB16" s="33">
        <f>SUMIF(MasterTable[Aircraft ID],Aircraft!A:A,MasterTable[Landings
Night])</f>
        <v>0</v>
      </c>
      <c r="AC16" s="33">
        <f>SUMIF(MasterTable[Aircraft ID],Aircraft!A:A,MasterTable[Landings
Total])</f>
        <v>4</v>
      </c>
      <c r="AD16" s="33">
        <f>SUMIF(MasterTable[Aircraft ID],Aircraft!A:A,MasterTable[Holds])</f>
        <v>0</v>
      </c>
      <c r="AE16" s="33">
        <f>SUMIF(MasterTable[Aircraft ID],Aircraft!$A:$A,Flights!AE:AE)</f>
        <v>0</v>
      </c>
      <c r="AF16" s="33">
        <f>SUMIF(MasterTable[Aircraft ID],Aircraft!$A:$A,MasterTable[ILS])</f>
        <v>0</v>
      </c>
      <c r="AG16" s="33">
        <f>SUMIF(MasterTable[Aircraft ID],Aircraft!$A:$A,MasterTable[LOC])</f>
        <v>0</v>
      </c>
      <c r="AH16" s="33">
        <f>SUMIF(MasterTable[Aircraft ID],Aircraft!$A:$A,MasterTable[VOR/
TCN])</f>
        <v>0</v>
      </c>
      <c r="AI16" s="33">
        <f>SUMIF(MasterTable[Aircraft ID],Aircraft!$A:$A,MasterTable[RNAV])</f>
        <v>0</v>
      </c>
      <c r="AJ16" s="33">
        <f>SUMIF(MasterTable[Aircraft ID],Aircraft!$A:$A,MasterTable[ASR])</f>
        <v>0</v>
      </c>
      <c r="AK16" s="33">
        <f>SUMIF(MasterTable[Aircraft ID],Aircraft!$A:$A,MasterTable[PAR])</f>
        <v>0</v>
      </c>
      <c r="AL16" s="33">
        <f>SUMIF(MasterTable[Aircraft ID],Aircraft!$A:$A,MasterTable[CIRCLE])</f>
        <v>0</v>
      </c>
    </row>
    <row r="17" spans="1:38" x14ac:dyDescent="0.3">
      <c r="A17" s="8" t="s">
        <v>47</v>
      </c>
      <c r="B17" s="8" t="s">
        <v>48</v>
      </c>
      <c r="D17" s="8" t="s">
        <v>44</v>
      </c>
      <c r="E17" s="8" t="s">
        <v>48</v>
      </c>
      <c r="F17" s="8" t="s">
        <v>551</v>
      </c>
      <c r="G17" s="8" t="s">
        <v>13</v>
      </c>
      <c r="H17" s="8" t="s">
        <v>521</v>
      </c>
      <c r="I17" s="8" t="b">
        <v>1</v>
      </c>
      <c r="M17" s="33">
        <f>COUNTIF(MasterTable[Aircraft ID],Aircraft!A:A)</f>
        <v>1</v>
      </c>
      <c r="N17" s="34">
        <f>SUMIF(MasterTable[Aircraft ID],Aircraft!A:A,MasterTable[Total
Time])</f>
        <v>0.5</v>
      </c>
      <c r="O17" s="34">
        <f>SUMIF(MasterTable[Aircraft ID],Aircraft!A:A,MasterTable[PIC])</f>
        <v>0</v>
      </c>
      <c r="P17" s="34">
        <f>SUMIF(MasterTable[Aircraft ID],Aircraft!A:A,MasterTable[PRI 
(Mil)])</f>
        <v>0</v>
      </c>
      <c r="Q17" s="33">
        <f>SUMIF(MasterTable[Aircraft ID],Aircraft!A:A,MasterTable[SIC])</f>
        <v>0</v>
      </c>
      <c r="R17" s="33">
        <f>SUMIF(MasterTable[Aircraft ID],Aircraft!A:A,MasterTable[Solo])</f>
        <v>0</v>
      </c>
      <c r="S17" s="33">
        <f>SUMIF(MasterTable[Aircraft ID],Aircraft!A:A,MasterTable[Night])</f>
        <v>0</v>
      </c>
      <c r="T17" s="33">
        <f>SUMIF(MasterTable[Aircraft ID],Aircraft!A:A,MasterTable[Dual
Given])</f>
        <v>0</v>
      </c>
      <c r="U17" s="33">
        <f>SUMIF(MasterTable[Aircraft ID],Aircraft!A:A,MasterTable[INST
(Mil)])</f>
        <v>0</v>
      </c>
      <c r="V17" s="33">
        <f>SUMIF(MasterTable[Aircraft ID],Aircraft!A:A,MasterTable[Actual
Instrument])</f>
        <v>0</v>
      </c>
      <c r="W17" s="33">
        <f>SUMIF(MasterTable[Aircraft ID],Aircraft!A:A,MasterTable[Simulated
Instrument])</f>
        <v>0</v>
      </c>
      <c r="X17" s="33">
        <f>SUMIF(MasterTable[Aircraft ID],Aircraft!A:A,MasterTable[Cross
Country])</f>
        <v>0</v>
      </c>
      <c r="Y17" s="33">
        <f>SUMIF(MasterTable[Aircraft ID],Aircraft!A:A,MasterTable[Dual
Received])</f>
        <v>0.5</v>
      </c>
      <c r="Z17" s="33">
        <f>SUMIF(MasterTable[Aircraft ID],Aircraft!A:A,MasterTable[Formation])</f>
        <v>0</v>
      </c>
      <c r="AA17" s="33">
        <f>SUMIF(MasterTable[Aircraft ID],Aircraft!A:A,MasterTable[Landings
Day])</f>
        <v>2</v>
      </c>
      <c r="AB17" s="33">
        <f>SUMIF(MasterTable[Aircraft ID],Aircraft!A:A,MasterTable[Landings
Night])</f>
        <v>0</v>
      </c>
      <c r="AC17" s="33">
        <f>SUMIF(MasterTable[Aircraft ID],Aircraft!A:A,MasterTable[Landings
Total])</f>
        <v>2</v>
      </c>
      <c r="AD17" s="33">
        <f>SUMIF(MasterTable[Aircraft ID],Aircraft!A:A,MasterTable[Holds])</f>
        <v>0</v>
      </c>
      <c r="AE17" s="33">
        <f>SUMIF(MasterTable[Aircraft ID],Aircraft!$A:$A,Flights!AE:AE)</f>
        <v>0</v>
      </c>
      <c r="AF17" s="33">
        <f>SUMIF(MasterTable[Aircraft ID],Aircraft!$A:$A,MasterTable[ILS])</f>
        <v>0</v>
      </c>
      <c r="AG17" s="33">
        <f>SUMIF(MasterTable[Aircraft ID],Aircraft!$A:$A,MasterTable[LOC])</f>
        <v>0</v>
      </c>
      <c r="AH17" s="33">
        <f>SUMIF(MasterTable[Aircraft ID],Aircraft!$A:$A,MasterTable[VOR/
TCN])</f>
        <v>0</v>
      </c>
      <c r="AI17" s="33">
        <f>SUMIF(MasterTable[Aircraft ID],Aircraft!$A:$A,MasterTable[RNAV])</f>
        <v>0</v>
      </c>
      <c r="AJ17" s="33">
        <f>SUMIF(MasterTable[Aircraft ID],Aircraft!$A:$A,MasterTable[ASR])</f>
        <v>0</v>
      </c>
      <c r="AK17" s="33">
        <f>SUMIF(MasterTable[Aircraft ID],Aircraft!$A:$A,MasterTable[PAR])</f>
        <v>0</v>
      </c>
      <c r="AL17" s="33">
        <f>SUMIF(MasterTable[Aircraft ID],Aircraft!$A:$A,MasterTable[CIRCLE])</f>
        <v>0</v>
      </c>
    </row>
    <row r="18" spans="1:38" x14ac:dyDescent="0.3">
      <c r="A18" s="8" t="s">
        <v>49</v>
      </c>
      <c r="B18" s="8" t="s">
        <v>11</v>
      </c>
      <c r="D18" s="8" t="s">
        <v>12</v>
      </c>
      <c r="E18" s="8">
        <v>172</v>
      </c>
      <c r="F18" s="8" t="s">
        <v>548</v>
      </c>
      <c r="G18" s="8" t="s">
        <v>13</v>
      </c>
      <c r="H18" s="8" t="s">
        <v>521</v>
      </c>
      <c r="M18" s="33">
        <f>COUNTIF(MasterTable[Aircraft ID],Aircraft!A:A)</f>
        <v>13</v>
      </c>
      <c r="N18" s="34">
        <f>SUMIF(MasterTable[Aircraft ID],Aircraft!A:A,MasterTable[Total
Time])</f>
        <v>15.600000000000001</v>
      </c>
      <c r="O18" s="34">
        <f>SUMIF(MasterTable[Aircraft ID],Aircraft!A:A,MasterTable[PIC])</f>
        <v>13.100000000000001</v>
      </c>
      <c r="P18" s="34">
        <f>SUMIF(MasterTable[Aircraft ID],Aircraft!A:A,MasterTable[PRI 
(Mil)])</f>
        <v>0</v>
      </c>
      <c r="Q18" s="33">
        <f>SUMIF(MasterTable[Aircraft ID],Aircraft!A:A,MasterTable[SIC])</f>
        <v>0</v>
      </c>
      <c r="R18" s="33">
        <f>SUMIF(MasterTable[Aircraft ID],Aircraft!A:A,MasterTable[Solo])</f>
        <v>0</v>
      </c>
      <c r="S18" s="33">
        <f>SUMIF(MasterTable[Aircraft ID],Aircraft!A:A,MasterTable[Night])</f>
        <v>1.6</v>
      </c>
      <c r="T18" s="33">
        <f>SUMIF(MasterTable[Aircraft ID],Aircraft!A:A,MasterTable[Dual
Given])</f>
        <v>0</v>
      </c>
      <c r="U18" s="33">
        <f>SUMIF(MasterTable[Aircraft ID],Aircraft!A:A,MasterTable[INST
(Mil)])</f>
        <v>0</v>
      </c>
      <c r="V18" s="33">
        <f>SUMIF(MasterTable[Aircraft ID],Aircraft!A:A,MasterTable[Actual
Instrument])</f>
        <v>1.3</v>
      </c>
      <c r="W18" s="33">
        <f>SUMIF(MasterTable[Aircraft ID],Aircraft!A:A,MasterTable[Simulated
Instrument])</f>
        <v>12.599999999999998</v>
      </c>
      <c r="X18" s="33">
        <f>SUMIF(MasterTable[Aircraft ID],Aircraft!A:A,MasterTable[Cross
Country])</f>
        <v>0</v>
      </c>
      <c r="Y18" s="33">
        <f>SUMIF(MasterTable[Aircraft ID],Aircraft!A:A,MasterTable[Dual
Received])</f>
        <v>8.5</v>
      </c>
      <c r="Z18" s="33">
        <f>SUMIF(MasterTable[Aircraft ID],Aircraft!A:A,MasterTable[Formation])</f>
        <v>0</v>
      </c>
      <c r="AA18" s="33">
        <f>SUMIF(MasterTable[Aircraft ID],Aircraft!A:A,MasterTable[Landings
Day])</f>
        <v>14</v>
      </c>
      <c r="AB18" s="33">
        <f>SUMIF(MasterTable[Aircraft ID],Aircraft!A:A,MasterTable[Landings
Night])</f>
        <v>1</v>
      </c>
      <c r="AC18" s="33">
        <f>SUMIF(MasterTable[Aircraft ID],Aircraft!A:A,MasterTable[Landings
Total])</f>
        <v>15</v>
      </c>
      <c r="AD18" s="33">
        <f>SUMIF(MasterTable[Aircraft ID],Aircraft!A:A,MasterTable[Holds])</f>
        <v>2</v>
      </c>
      <c r="AE18" s="33">
        <f>SUMIF(MasterTable[Aircraft ID],Aircraft!$A:$A,Flights!AE:AE)</f>
        <v>20</v>
      </c>
      <c r="AF18" s="33">
        <f>SUMIF(MasterTable[Aircraft ID],Aircraft!$A:$A,MasterTable[ILS])</f>
        <v>9</v>
      </c>
      <c r="AG18" s="33">
        <f>SUMIF(MasterTable[Aircraft ID],Aircraft!$A:$A,MasterTable[LOC])</f>
        <v>0</v>
      </c>
      <c r="AH18" s="33">
        <f>SUMIF(MasterTable[Aircraft ID],Aircraft!$A:$A,MasterTable[VOR/
TCN])</f>
        <v>6</v>
      </c>
      <c r="AI18" s="33">
        <f>SUMIF(MasterTable[Aircraft ID],Aircraft!$A:$A,MasterTable[RNAV])</f>
        <v>14</v>
      </c>
      <c r="AJ18" s="33">
        <f>SUMIF(MasterTable[Aircraft ID],Aircraft!$A:$A,MasterTable[ASR])</f>
        <v>0</v>
      </c>
      <c r="AK18" s="33">
        <f>SUMIF(MasterTable[Aircraft ID],Aircraft!$A:$A,MasterTable[PAR])</f>
        <v>0</v>
      </c>
      <c r="AL18" s="33">
        <f>SUMIF(MasterTable[Aircraft ID],Aircraft!$A:$A,MasterTable[CIRCLE])</f>
        <v>1</v>
      </c>
    </row>
    <row r="19" spans="1:38" x14ac:dyDescent="0.3">
      <c r="A19" s="8" t="s">
        <v>50</v>
      </c>
      <c r="B19" s="8" t="s">
        <v>38</v>
      </c>
      <c r="D19" s="8" t="s">
        <v>12</v>
      </c>
      <c r="E19" s="8">
        <v>550</v>
      </c>
      <c r="F19" s="8" t="s">
        <v>551</v>
      </c>
      <c r="G19" s="8" t="s">
        <v>35</v>
      </c>
      <c r="H19" s="8" t="s">
        <v>522</v>
      </c>
      <c r="L19" s="8" t="b">
        <v>1</v>
      </c>
      <c r="M19" s="33">
        <f>COUNTIF(MasterTable[Aircraft ID],Aircraft!A:A)</f>
        <v>21</v>
      </c>
      <c r="N19" s="34">
        <f>SUMIF(MasterTable[Aircraft ID],Aircraft!A:A,MasterTable[Total
Time])</f>
        <v>45.800000000000011</v>
      </c>
      <c r="O19" s="34">
        <f>SUMIF(MasterTable[Aircraft ID],Aircraft!A:A,MasterTable[PIC])</f>
        <v>0</v>
      </c>
      <c r="P19" s="34">
        <f>SUMIF(MasterTable[Aircraft ID],Aircraft!A:A,MasterTable[PRI 
(Mil)])</f>
        <v>0</v>
      </c>
      <c r="Q19" s="33">
        <f>SUMIF(MasterTable[Aircraft ID],Aircraft!A:A,MasterTable[SIC])</f>
        <v>44.300000000000011</v>
      </c>
      <c r="R19" s="33">
        <f>SUMIF(MasterTable[Aircraft ID],Aircraft!A:A,MasterTable[Solo])</f>
        <v>0</v>
      </c>
      <c r="S19" s="33">
        <f>SUMIF(MasterTable[Aircraft ID],Aircraft!A:A,MasterTable[Night])</f>
        <v>3.6000000000000005</v>
      </c>
      <c r="T19" s="33">
        <f>SUMIF(MasterTable[Aircraft ID],Aircraft!A:A,MasterTable[Dual
Given])</f>
        <v>0</v>
      </c>
      <c r="U19" s="33">
        <f>SUMIF(MasterTable[Aircraft ID],Aircraft!A:A,MasterTable[INST
(Mil)])</f>
        <v>0</v>
      </c>
      <c r="V19" s="33">
        <f>SUMIF(MasterTable[Aircraft ID],Aircraft!A:A,MasterTable[Actual
Instrument])</f>
        <v>7.7</v>
      </c>
      <c r="W19" s="33">
        <f>SUMIF(MasterTable[Aircraft ID],Aircraft!A:A,MasterTable[Simulated
Instrument])</f>
        <v>2</v>
      </c>
      <c r="X19" s="33">
        <f>SUMIF(MasterTable[Aircraft ID],Aircraft!A:A,MasterTable[Cross
Country])</f>
        <v>18</v>
      </c>
      <c r="Y19" s="33">
        <f>SUMIF(MasterTable[Aircraft ID],Aircraft!A:A,MasterTable[Dual
Received])</f>
        <v>15.3</v>
      </c>
      <c r="Z19" s="33">
        <f>SUMIF(MasterTable[Aircraft ID],Aircraft!A:A,MasterTable[Formation])</f>
        <v>0</v>
      </c>
      <c r="AA19" s="33">
        <f>SUMIF(MasterTable[Aircraft ID],Aircraft!A:A,MasterTable[Landings
Day])</f>
        <v>34</v>
      </c>
      <c r="AB19" s="33">
        <f>SUMIF(MasterTable[Aircraft ID],Aircraft!A:A,MasterTable[Landings
Night])</f>
        <v>2</v>
      </c>
      <c r="AC19" s="33">
        <f>SUMIF(MasterTable[Aircraft ID],Aircraft!A:A,MasterTable[Landings
Total])</f>
        <v>36</v>
      </c>
      <c r="AD19" s="33">
        <f>SUMIF(MasterTable[Aircraft ID],Aircraft!A:A,MasterTable[Holds])</f>
        <v>0</v>
      </c>
      <c r="AE19" s="33">
        <f>SUMIF(MasterTable[Aircraft ID],Aircraft!$A:$A,Flights!AE:AE)</f>
        <v>2</v>
      </c>
      <c r="AF19" s="33">
        <f>SUMIF(MasterTable[Aircraft ID],Aircraft!$A:$A,MasterTable[ILS])</f>
        <v>4</v>
      </c>
      <c r="AG19" s="33">
        <f>SUMIF(MasterTable[Aircraft ID],Aircraft!$A:$A,MasterTable[LOC])</f>
        <v>0</v>
      </c>
      <c r="AH19" s="33">
        <f>SUMIF(MasterTable[Aircraft ID],Aircraft!$A:$A,MasterTable[VOR/
TCN])</f>
        <v>0</v>
      </c>
      <c r="AI19" s="33">
        <f>SUMIF(MasterTable[Aircraft ID],Aircraft!$A:$A,MasterTable[RNAV])</f>
        <v>6</v>
      </c>
      <c r="AJ19" s="33">
        <f>SUMIF(MasterTable[Aircraft ID],Aircraft!$A:$A,MasterTable[ASR])</f>
        <v>0</v>
      </c>
      <c r="AK19" s="33">
        <f>SUMIF(MasterTable[Aircraft ID],Aircraft!$A:$A,MasterTable[PAR])</f>
        <v>1</v>
      </c>
      <c r="AL19" s="33">
        <f>SUMIF(MasterTable[Aircraft ID],Aircraft!$A:$A,MasterTable[CIRCLE])</f>
        <v>4</v>
      </c>
    </row>
    <row r="20" spans="1:38" x14ac:dyDescent="0.3">
      <c r="A20" s="8" t="s">
        <v>51</v>
      </c>
      <c r="B20" s="8" t="s">
        <v>11</v>
      </c>
      <c r="D20" s="8" t="s">
        <v>12</v>
      </c>
      <c r="E20" s="8">
        <v>172</v>
      </c>
      <c r="F20" s="8" t="s">
        <v>548</v>
      </c>
      <c r="G20" s="8" t="s">
        <v>13</v>
      </c>
      <c r="H20" s="8" t="s">
        <v>521</v>
      </c>
      <c r="M20" s="33">
        <f>COUNTIF(MasterTable[Aircraft ID],Aircraft!A:A)</f>
        <v>1</v>
      </c>
      <c r="N20" s="34">
        <f>SUMIF(MasterTable[Aircraft ID],Aircraft!A:A,MasterTable[Total
Time])</f>
        <v>0.6</v>
      </c>
      <c r="O20" s="34">
        <f>SUMIF(MasterTable[Aircraft ID],Aircraft!A:A,MasterTable[PIC])</f>
        <v>0</v>
      </c>
      <c r="P20" s="34">
        <f>SUMIF(MasterTable[Aircraft ID],Aircraft!A:A,MasterTable[PRI 
(Mil)])</f>
        <v>0</v>
      </c>
      <c r="Q20" s="33">
        <f>SUMIF(MasterTable[Aircraft ID],Aircraft!A:A,MasterTable[SIC])</f>
        <v>0</v>
      </c>
      <c r="R20" s="33">
        <f>SUMIF(MasterTable[Aircraft ID],Aircraft!A:A,MasterTable[Solo])</f>
        <v>0</v>
      </c>
      <c r="S20" s="33">
        <f>SUMIF(MasterTable[Aircraft ID],Aircraft!A:A,MasterTable[Night])</f>
        <v>0</v>
      </c>
      <c r="T20" s="33">
        <f>SUMIF(MasterTable[Aircraft ID],Aircraft!A:A,MasterTable[Dual
Given])</f>
        <v>0</v>
      </c>
      <c r="U20" s="33">
        <f>SUMIF(MasterTable[Aircraft ID],Aircraft!A:A,MasterTable[INST
(Mil)])</f>
        <v>0</v>
      </c>
      <c r="V20" s="33">
        <f>SUMIF(MasterTable[Aircraft ID],Aircraft!A:A,MasterTable[Actual
Instrument])</f>
        <v>0</v>
      </c>
      <c r="W20" s="33">
        <f>SUMIF(MasterTable[Aircraft ID],Aircraft!A:A,MasterTable[Simulated
Instrument])</f>
        <v>0</v>
      </c>
      <c r="X20" s="33">
        <f>SUMIF(MasterTable[Aircraft ID],Aircraft!A:A,MasterTable[Cross
Country])</f>
        <v>0</v>
      </c>
      <c r="Y20" s="33">
        <f>SUMIF(MasterTable[Aircraft ID],Aircraft!A:A,MasterTable[Dual
Received])</f>
        <v>0.6</v>
      </c>
      <c r="Z20" s="33">
        <f>SUMIF(MasterTable[Aircraft ID],Aircraft!A:A,MasterTable[Formation])</f>
        <v>0</v>
      </c>
      <c r="AA20" s="33">
        <f>SUMIF(MasterTable[Aircraft ID],Aircraft!A:A,MasterTable[Landings
Day])</f>
        <v>2</v>
      </c>
      <c r="AB20" s="33">
        <f>SUMIF(MasterTable[Aircraft ID],Aircraft!A:A,MasterTable[Landings
Night])</f>
        <v>0</v>
      </c>
      <c r="AC20" s="33">
        <f>SUMIF(MasterTable[Aircraft ID],Aircraft!A:A,MasterTable[Landings
Total])</f>
        <v>2</v>
      </c>
      <c r="AD20" s="33">
        <f>SUMIF(MasterTable[Aircraft ID],Aircraft!A:A,MasterTable[Holds])</f>
        <v>0</v>
      </c>
      <c r="AE20" s="33">
        <f>SUMIF(MasterTable[Aircraft ID],Aircraft!$A:$A,Flights!AE:AE)</f>
        <v>0</v>
      </c>
      <c r="AF20" s="33">
        <f>SUMIF(MasterTable[Aircraft ID],Aircraft!$A:$A,MasterTable[ILS])</f>
        <v>0</v>
      </c>
      <c r="AG20" s="33">
        <f>SUMIF(MasterTable[Aircraft ID],Aircraft!$A:$A,MasterTable[LOC])</f>
        <v>0</v>
      </c>
      <c r="AH20" s="33">
        <f>SUMIF(MasterTable[Aircraft ID],Aircraft!$A:$A,MasterTable[VOR/
TCN])</f>
        <v>0</v>
      </c>
      <c r="AI20" s="33">
        <f>SUMIF(MasterTable[Aircraft ID],Aircraft!$A:$A,MasterTable[RNAV])</f>
        <v>0</v>
      </c>
      <c r="AJ20" s="33">
        <f>SUMIF(MasterTable[Aircraft ID],Aircraft!$A:$A,MasterTable[ASR])</f>
        <v>0</v>
      </c>
      <c r="AK20" s="33">
        <f>SUMIF(MasterTable[Aircraft ID],Aircraft!$A:$A,MasterTable[PAR])</f>
        <v>0</v>
      </c>
      <c r="AL20" s="33">
        <f>SUMIF(MasterTable[Aircraft ID],Aircraft!$A:$A,MasterTable[CIRCLE])</f>
        <v>0</v>
      </c>
    </row>
    <row r="21" spans="1:38" x14ac:dyDescent="0.3">
      <c r="A21" s="8" t="s">
        <v>52</v>
      </c>
      <c r="B21" s="8" t="s">
        <v>11</v>
      </c>
      <c r="D21" s="8" t="s">
        <v>12</v>
      </c>
      <c r="E21" s="8">
        <v>172</v>
      </c>
      <c r="F21" s="8" t="s">
        <v>548</v>
      </c>
      <c r="G21" s="8" t="s">
        <v>13</v>
      </c>
      <c r="H21" s="8" t="s">
        <v>521</v>
      </c>
      <c r="M21" s="33">
        <f>COUNTIF(MasterTable[Aircraft ID],Aircraft!A:A)</f>
        <v>13</v>
      </c>
      <c r="N21" s="34">
        <f>SUMIF(MasterTable[Aircraft ID],Aircraft!A:A,MasterTable[Total
Time])</f>
        <v>15.600000000000001</v>
      </c>
      <c r="O21" s="34">
        <f>SUMIF(MasterTable[Aircraft ID],Aircraft!A:A,MasterTable[PIC])</f>
        <v>11.5</v>
      </c>
      <c r="P21" s="34">
        <f>SUMIF(MasterTable[Aircraft ID],Aircraft!A:A,MasterTable[PRI 
(Mil)])</f>
        <v>0</v>
      </c>
      <c r="Q21" s="33">
        <f>SUMIF(MasterTable[Aircraft ID],Aircraft!A:A,MasterTable[SIC])</f>
        <v>0</v>
      </c>
      <c r="R21" s="33">
        <f>SUMIF(MasterTable[Aircraft ID],Aircraft!A:A,MasterTable[Solo])</f>
        <v>0</v>
      </c>
      <c r="S21" s="33">
        <f>SUMIF(MasterTable[Aircraft ID],Aircraft!A:A,MasterTable[Night])</f>
        <v>1.5</v>
      </c>
      <c r="T21" s="33">
        <f>SUMIF(MasterTable[Aircraft ID],Aircraft!A:A,MasterTable[Dual
Given])</f>
        <v>0</v>
      </c>
      <c r="U21" s="33">
        <f>SUMIF(MasterTable[Aircraft ID],Aircraft!A:A,MasterTable[INST
(Mil)])</f>
        <v>0</v>
      </c>
      <c r="V21" s="33">
        <f>SUMIF(MasterTable[Aircraft ID],Aircraft!A:A,MasterTable[Actual
Instrument])</f>
        <v>0.5</v>
      </c>
      <c r="W21" s="33">
        <f>SUMIF(MasterTable[Aircraft ID],Aircraft!A:A,MasterTable[Simulated
Instrument])</f>
        <v>6.9</v>
      </c>
      <c r="X21" s="33">
        <f>SUMIF(MasterTable[Aircraft ID],Aircraft!A:A,MasterTable[Cross
Country])</f>
        <v>0</v>
      </c>
      <c r="Y21" s="33">
        <f>SUMIF(MasterTable[Aircraft ID],Aircraft!A:A,MasterTable[Dual
Received])</f>
        <v>8.0000000000000018</v>
      </c>
      <c r="Z21" s="33">
        <f>SUMIF(MasterTable[Aircraft ID],Aircraft!A:A,MasterTable[Formation])</f>
        <v>0</v>
      </c>
      <c r="AA21" s="33">
        <f>SUMIF(MasterTable[Aircraft ID],Aircraft!A:A,MasterTable[Landings
Day])</f>
        <v>10</v>
      </c>
      <c r="AB21" s="33">
        <f>SUMIF(MasterTable[Aircraft ID],Aircraft!A:A,MasterTable[Landings
Night])</f>
        <v>5</v>
      </c>
      <c r="AC21" s="33">
        <f>SUMIF(MasterTable[Aircraft ID],Aircraft!A:A,MasterTable[Landings
Total])</f>
        <v>15</v>
      </c>
      <c r="AD21" s="33">
        <f>SUMIF(MasterTable[Aircraft ID],Aircraft!A:A,MasterTable[Holds])</f>
        <v>1</v>
      </c>
      <c r="AE21" s="33">
        <f>SUMIF(MasterTable[Aircraft ID],Aircraft!$A:$A,Flights!AE:AE)</f>
        <v>17</v>
      </c>
      <c r="AF21" s="33">
        <f>SUMIF(MasterTable[Aircraft ID],Aircraft!$A:$A,MasterTable[ILS])</f>
        <v>7</v>
      </c>
      <c r="AG21" s="33">
        <f>SUMIF(MasterTable[Aircraft ID],Aircraft!$A:$A,MasterTable[LOC])</f>
        <v>0</v>
      </c>
      <c r="AH21" s="33">
        <f>SUMIF(MasterTable[Aircraft ID],Aircraft!$A:$A,MasterTable[VOR/
TCN])</f>
        <v>4</v>
      </c>
      <c r="AI21" s="33">
        <f>SUMIF(MasterTable[Aircraft ID],Aircraft!$A:$A,MasterTable[RNAV])</f>
        <v>0</v>
      </c>
      <c r="AJ21" s="33">
        <f>SUMIF(MasterTable[Aircraft ID],Aircraft!$A:$A,MasterTable[ASR])</f>
        <v>0</v>
      </c>
      <c r="AK21" s="33">
        <f>SUMIF(MasterTable[Aircraft ID],Aircraft!$A:$A,MasterTable[PAR])</f>
        <v>0</v>
      </c>
      <c r="AL21" s="33">
        <f>SUMIF(MasterTable[Aircraft ID],Aircraft!$A:$A,MasterTable[CIRCLE])</f>
        <v>1</v>
      </c>
    </row>
    <row r="22" spans="1:38" x14ac:dyDescent="0.3">
      <c r="A22" s="8" t="s">
        <v>53</v>
      </c>
      <c r="B22" s="8" t="s">
        <v>54</v>
      </c>
      <c r="D22" s="8" t="s">
        <v>55</v>
      </c>
      <c r="E22" s="8">
        <v>300</v>
      </c>
      <c r="F22" s="8" t="s">
        <v>549</v>
      </c>
      <c r="G22" s="8" t="s">
        <v>13</v>
      </c>
      <c r="H22" s="8" t="s">
        <v>521</v>
      </c>
      <c r="K22" s="8" t="b">
        <v>1</v>
      </c>
      <c r="M22" s="33">
        <f>COUNTIF(MasterTable[Aircraft ID],Aircraft!A:A)</f>
        <v>3</v>
      </c>
      <c r="N22" s="34">
        <f>SUMIF(MasterTable[Aircraft ID],Aircraft!A:A,MasterTable[Total
Time])</f>
        <v>1.8</v>
      </c>
      <c r="O22" s="34">
        <f>SUMIF(MasterTable[Aircraft ID],Aircraft!A:A,MasterTable[PIC])</f>
        <v>0</v>
      </c>
      <c r="P22" s="34">
        <f>SUMIF(MasterTable[Aircraft ID],Aircraft!A:A,MasterTable[PRI 
(Mil)])</f>
        <v>0</v>
      </c>
      <c r="Q22" s="33">
        <f>SUMIF(MasterTable[Aircraft ID],Aircraft!A:A,MasterTable[SIC])</f>
        <v>0</v>
      </c>
      <c r="R22" s="33">
        <f>SUMIF(MasterTable[Aircraft ID],Aircraft!A:A,MasterTable[Solo])</f>
        <v>0</v>
      </c>
      <c r="S22" s="33">
        <f>SUMIF(MasterTable[Aircraft ID],Aircraft!A:A,MasterTable[Night])</f>
        <v>0</v>
      </c>
      <c r="T22" s="33">
        <f>SUMIF(MasterTable[Aircraft ID],Aircraft!A:A,MasterTable[Dual
Given])</f>
        <v>0</v>
      </c>
      <c r="U22" s="33">
        <f>SUMIF(MasterTable[Aircraft ID],Aircraft!A:A,MasterTable[INST
(Mil)])</f>
        <v>0</v>
      </c>
      <c r="V22" s="33">
        <f>SUMIF(MasterTable[Aircraft ID],Aircraft!A:A,MasterTable[Actual
Instrument])</f>
        <v>0</v>
      </c>
      <c r="W22" s="33">
        <f>SUMIF(MasterTable[Aircraft ID],Aircraft!A:A,MasterTable[Simulated
Instrument])</f>
        <v>0</v>
      </c>
      <c r="X22" s="33">
        <f>SUMIF(MasterTable[Aircraft ID],Aircraft!A:A,MasterTable[Cross
Country])</f>
        <v>0</v>
      </c>
      <c r="Y22" s="33">
        <f>SUMIF(MasterTable[Aircraft ID],Aircraft!A:A,MasterTable[Dual
Received])</f>
        <v>1.8</v>
      </c>
      <c r="Z22" s="33">
        <f>SUMIF(MasterTable[Aircraft ID],Aircraft!A:A,MasterTable[Formation])</f>
        <v>0</v>
      </c>
      <c r="AA22" s="33">
        <f>SUMIF(MasterTable[Aircraft ID],Aircraft!A:A,MasterTable[Landings
Day])</f>
        <v>3</v>
      </c>
      <c r="AB22" s="33">
        <f>SUMIF(MasterTable[Aircraft ID],Aircraft!A:A,MasterTable[Landings
Night])</f>
        <v>0</v>
      </c>
      <c r="AC22" s="33">
        <f>SUMIF(MasterTable[Aircraft ID],Aircraft!A:A,MasterTable[Landings
Total])</f>
        <v>3</v>
      </c>
      <c r="AD22" s="33">
        <f>SUMIF(MasterTable[Aircraft ID],Aircraft!A:A,MasterTable[Holds])</f>
        <v>0</v>
      </c>
      <c r="AE22" s="33">
        <f>SUMIF(MasterTable[Aircraft ID],Aircraft!$A:$A,Flights!AE:AE)</f>
        <v>0</v>
      </c>
      <c r="AF22" s="33">
        <f>SUMIF(MasterTable[Aircraft ID],Aircraft!$A:$A,MasterTable[ILS])</f>
        <v>0</v>
      </c>
      <c r="AG22" s="33">
        <f>SUMIF(MasterTable[Aircraft ID],Aircraft!$A:$A,MasterTable[LOC])</f>
        <v>0</v>
      </c>
      <c r="AH22" s="33">
        <f>SUMIF(MasterTable[Aircraft ID],Aircraft!$A:$A,MasterTable[VOR/
TCN])</f>
        <v>0</v>
      </c>
      <c r="AI22" s="33">
        <f>SUMIF(MasterTable[Aircraft ID],Aircraft!$A:$A,MasterTable[RNAV])</f>
        <v>0</v>
      </c>
      <c r="AJ22" s="33">
        <f>SUMIF(MasterTable[Aircraft ID],Aircraft!$A:$A,MasterTable[ASR])</f>
        <v>0</v>
      </c>
      <c r="AK22" s="33">
        <f>SUMIF(MasterTable[Aircraft ID],Aircraft!$A:$A,MasterTable[PAR])</f>
        <v>0</v>
      </c>
      <c r="AL22" s="33">
        <f>SUMIF(MasterTable[Aircraft ID],Aircraft!$A:$A,MasterTable[CIRCLE])</f>
        <v>0</v>
      </c>
    </row>
    <row r="23" spans="1:38" x14ac:dyDescent="0.3">
      <c r="A23" s="8" t="s">
        <v>56</v>
      </c>
      <c r="B23" s="8" t="s">
        <v>57</v>
      </c>
      <c r="D23" s="8" t="s">
        <v>58</v>
      </c>
      <c r="E23" s="8" t="s">
        <v>59</v>
      </c>
      <c r="F23" s="8" t="s">
        <v>548</v>
      </c>
      <c r="G23" s="8" t="s">
        <v>13</v>
      </c>
      <c r="H23" s="8" t="s">
        <v>521</v>
      </c>
      <c r="M23" s="33">
        <f>COUNTIF(MasterTable[Aircraft ID],Aircraft!A:A)</f>
        <v>4</v>
      </c>
      <c r="N23" s="34">
        <f>SUMIF(MasterTable[Aircraft ID],Aircraft!A:A,MasterTable[Total
Time])</f>
        <v>4.5</v>
      </c>
      <c r="O23" s="34">
        <f>SUMIF(MasterTable[Aircraft ID],Aircraft!A:A,MasterTable[PIC])</f>
        <v>4.5</v>
      </c>
      <c r="P23" s="34">
        <f>SUMIF(MasterTable[Aircraft ID],Aircraft!A:A,MasterTable[PRI 
(Mil)])</f>
        <v>0</v>
      </c>
      <c r="Q23" s="33">
        <f>SUMIF(MasterTable[Aircraft ID],Aircraft!A:A,MasterTable[SIC])</f>
        <v>0</v>
      </c>
      <c r="R23" s="33">
        <f>SUMIF(MasterTable[Aircraft ID],Aircraft!A:A,MasterTable[Solo])</f>
        <v>0</v>
      </c>
      <c r="S23" s="33">
        <f>SUMIF(MasterTable[Aircraft ID],Aircraft!A:A,MasterTable[Night])</f>
        <v>0</v>
      </c>
      <c r="T23" s="33">
        <f>SUMIF(MasterTable[Aircraft ID],Aircraft!A:A,MasterTable[Dual
Given])</f>
        <v>0</v>
      </c>
      <c r="U23" s="33">
        <f>SUMIF(MasterTable[Aircraft ID],Aircraft!A:A,MasterTable[INST
(Mil)])</f>
        <v>0</v>
      </c>
      <c r="V23" s="33">
        <f>SUMIF(MasterTable[Aircraft ID],Aircraft!A:A,MasterTable[Actual
Instrument])</f>
        <v>0</v>
      </c>
      <c r="W23" s="33">
        <f>SUMIF(MasterTable[Aircraft ID],Aircraft!A:A,MasterTable[Simulated
Instrument])</f>
        <v>0</v>
      </c>
      <c r="X23" s="33">
        <f>SUMIF(MasterTable[Aircraft ID],Aircraft!A:A,MasterTable[Cross
Country])</f>
        <v>0</v>
      </c>
      <c r="Y23" s="33">
        <f>SUMIF(MasterTable[Aircraft ID],Aircraft!A:A,MasterTable[Dual
Received])</f>
        <v>0</v>
      </c>
      <c r="Z23" s="33">
        <f>SUMIF(MasterTable[Aircraft ID],Aircraft!A:A,MasterTable[Formation])</f>
        <v>0</v>
      </c>
      <c r="AA23" s="33">
        <f>SUMIF(MasterTable[Aircraft ID],Aircraft!A:A,MasterTable[Landings
Day])</f>
        <v>12</v>
      </c>
      <c r="AB23" s="33">
        <f>SUMIF(MasterTable[Aircraft ID],Aircraft!A:A,MasterTable[Landings
Night])</f>
        <v>0</v>
      </c>
      <c r="AC23" s="33">
        <f>SUMIF(MasterTable[Aircraft ID],Aircraft!A:A,MasterTable[Landings
Total])</f>
        <v>12</v>
      </c>
      <c r="AD23" s="33">
        <f>SUMIF(MasterTable[Aircraft ID],Aircraft!A:A,MasterTable[Holds])</f>
        <v>0</v>
      </c>
      <c r="AE23" s="33">
        <f>SUMIF(MasterTable[Aircraft ID],Aircraft!$A:$A,Flights!AE:AE)</f>
        <v>0</v>
      </c>
      <c r="AF23" s="33">
        <f>SUMIF(MasterTable[Aircraft ID],Aircraft!$A:$A,MasterTable[ILS])</f>
        <v>0</v>
      </c>
      <c r="AG23" s="33">
        <f>SUMIF(MasterTable[Aircraft ID],Aircraft!$A:$A,MasterTable[LOC])</f>
        <v>0</v>
      </c>
      <c r="AH23" s="33">
        <f>SUMIF(MasterTable[Aircraft ID],Aircraft!$A:$A,MasterTable[VOR/
TCN])</f>
        <v>0</v>
      </c>
      <c r="AI23" s="33">
        <f>SUMIF(MasterTable[Aircraft ID],Aircraft!$A:$A,MasterTable[RNAV])</f>
        <v>0</v>
      </c>
      <c r="AJ23" s="33">
        <f>SUMIF(MasterTable[Aircraft ID],Aircraft!$A:$A,MasterTable[ASR])</f>
        <v>0</v>
      </c>
      <c r="AK23" s="33">
        <f>SUMIF(MasterTable[Aircraft ID],Aircraft!$A:$A,MasterTable[PAR])</f>
        <v>0</v>
      </c>
      <c r="AL23" s="33">
        <f>SUMIF(MasterTable[Aircraft ID],Aircraft!$A:$A,MasterTable[CIRCLE])</f>
        <v>0</v>
      </c>
    </row>
    <row r="24" spans="1:38" x14ac:dyDescent="0.3">
      <c r="A24" s="8" t="s">
        <v>60</v>
      </c>
      <c r="B24" s="8" t="s">
        <v>61</v>
      </c>
      <c r="D24" s="8" t="s">
        <v>12</v>
      </c>
      <c r="E24" s="8">
        <v>152</v>
      </c>
      <c r="F24" s="8" t="s">
        <v>548</v>
      </c>
      <c r="G24" s="8" t="s">
        <v>13</v>
      </c>
      <c r="H24" s="8" t="s">
        <v>521</v>
      </c>
      <c r="M24" s="33">
        <f>COUNTIF(MasterTable[Aircraft ID],Aircraft!A:A)</f>
        <v>85</v>
      </c>
      <c r="N24" s="34">
        <f>SUMIF(MasterTable[Aircraft ID],Aircraft!A:A,MasterTable[Total
Time])</f>
        <v>98</v>
      </c>
      <c r="O24" s="34">
        <f>SUMIF(MasterTable[Aircraft ID],Aircraft!A:A,MasterTable[PIC])</f>
        <v>98</v>
      </c>
      <c r="P24" s="34">
        <f>SUMIF(MasterTable[Aircraft ID],Aircraft!A:A,MasterTable[PRI 
(Mil)])</f>
        <v>0</v>
      </c>
      <c r="Q24" s="33">
        <f>SUMIF(MasterTable[Aircraft ID],Aircraft!A:A,MasterTable[SIC])</f>
        <v>0</v>
      </c>
      <c r="R24" s="33">
        <f>SUMIF(MasterTable[Aircraft ID],Aircraft!A:A,MasterTable[Solo])</f>
        <v>0</v>
      </c>
      <c r="S24" s="33">
        <f>SUMIF(MasterTable[Aircraft ID],Aircraft!A:A,MasterTable[Night])</f>
        <v>1.3</v>
      </c>
      <c r="T24" s="33">
        <f>SUMIF(MasterTable[Aircraft ID],Aircraft!A:A,MasterTable[Dual
Given])</f>
        <v>98</v>
      </c>
      <c r="U24" s="33">
        <f>SUMIF(MasterTable[Aircraft ID],Aircraft!A:A,MasterTable[INST
(Mil)])</f>
        <v>0</v>
      </c>
      <c r="V24" s="33">
        <f>SUMIF(MasterTable[Aircraft ID],Aircraft!A:A,MasterTable[Actual
Instrument])</f>
        <v>0</v>
      </c>
      <c r="W24" s="33">
        <f>SUMIF(MasterTable[Aircraft ID],Aircraft!A:A,MasterTable[Simulated
Instrument])</f>
        <v>0</v>
      </c>
      <c r="X24" s="33">
        <f>SUMIF(MasterTable[Aircraft ID],Aircraft!A:A,MasterTable[Cross
Country])</f>
        <v>8.6</v>
      </c>
      <c r="Y24" s="33">
        <f>SUMIF(MasterTable[Aircraft ID],Aircraft!A:A,MasterTable[Dual
Received])</f>
        <v>0</v>
      </c>
      <c r="Z24" s="33">
        <f>SUMIF(MasterTable[Aircraft ID],Aircraft!A:A,MasterTable[Formation])</f>
        <v>0</v>
      </c>
      <c r="AA24" s="33">
        <f>SUMIF(MasterTable[Aircraft ID],Aircraft!A:A,MasterTable[Landings
Day])</f>
        <v>248</v>
      </c>
      <c r="AB24" s="33">
        <f>SUMIF(MasterTable[Aircraft ID],Aircraft!A:A,MasterTable[Landings
Night])</f>
        <v>9</v>
      </c>
      <c r="AC24" s="33">
        <f>SUMIF(MasterTable[Aircraft ID],Aircraft!A:A,MasterTable[Landings
Total])</f>
        <v>257</v>
      </c>
      <c r="AD24" s="33">
        <f>SUMIF(MasterTable[Aircraft ID],Aircraft!A:A,MasterTable[Holds])</f>
        <v>0</v>
      </c>
      <c r="AE24" s="33">
        <f>SUMIF(MasterTable[Aircraft ID],Aircraft!$A:$A,Flights!AE:AE)</f>
        <v>3</v>
      </c>
      <c r="AF24" s="33">
        <f>SUMIF(MasterTable[Aircraft ID],Aircraft!$A:$A,MasterTable[ILS])</f>
        <v>0</v>
      </c>
      <c r="AG24" s="33">
        <f>SUMIF(MasterTable[Aircraft ID],Aircraft!$A:$A,MasterTable[LOC])</f>
        <v>0</v>
      </c>
      <c r="AH24" s="33">
        <f>SUMIF(MasterTable[Aircraft ID],Aircraft!$A:$A,MasterTable[VOR/
TCN])</f>
        <v>0</v>
      </c>
      <c r="AI24" s="33">
        <f>SUMIF(MasterTable[Aircraft ID],Aircraft!$A:$A,MasterTable[RNAV])</f>
        <v>0</v>
      </c>
      <c r="AJ24" s="33">
        <f>SUMIF(MasterTable[Aircraft ID],Aircraft!$A:$A,MasterTable[ASR])</f>
        <v>0</v>
      </c>
      <c r="AK24" s="33">
        <f>SUMIF(MasterTable[Aircraft ID],Aircraft!$A:$A,MasterTable[PAR])</f>
        <v>0</v>
      </c>
      <c r="AL24" s="33">
        <f>SUMIF(MasterTable[Aircraft ID],Aircraft!$A:$A,MasterTable[CIRCLE])</f>
        <v>0</v>
      </c>
    </row>
    <row r="25" spans="1:38" x14ac:dyDescent="0.3">
      <c r="A25" s="8" t="s">
        <v>62</v>
      </c>
      <c r="B25" s="8" t="s">
        <v>63</v>
      </c>
      <c r="D25" s="8" t="s">
        <v>44</v>
      </c>
      <c r="E25" s="8">
        <v>90</v>
      </c>
      <c r="F25" s="8" t="s">
        <v>551</v>
      </c>
      <c r="G25" s="8" t="s">
        <v>46</v>
      </c>
      <c r="H25" s="8" t="s">
        <v>522</v>
      </c>
      <c r="I25" s="8" t="b">
        <v>1</v>
      </c>
      <c r="K25" s="8" t="b">
        <v>1</v>
      </c>
      <c r="L25" s="8" t="b">
        <v>1</v>
      </c>
      <c r="M25" s="33">
        <f>COUNTIF(MasterTable[Aircraft ID],Aircraft!A:A)</f>
        <v>4</v>
      </c>
      <c r="N25" s="34">
        <f>SUMIF(MasterTable[Aircraft ID],Aircraft!A:A,MasterTable[Total
Time])</f>
        <v>10.199999999999999</v>
      </c>
      <c r="O25" s="34">
        <f>SUMIF(MasterTable[Aircraft ID],Aircraft!A:A,MasterTable[PIC])</f>
        <v>10.199999999999999</v>
      </c>
      <c r="P25" s="34">
        <f>SUMIF(MasterTable[Aircraft ID],Aircraft!A:A,MasterTable[PRI 
(Mil)])</f>
        <v>0</v>
      </c>
      <c r="Q25" s="33">
        <f>SUMIF(MasterTable[Aircraft ID],Aircraft!A:A,MasterTable[SIC])</f>
        <v>0</v>
      </c>
      <c r="R25" s="33">
        <f>SUMIF(MasterTable[Aircraft ID],Aircraft!A:A,MasterTable[Solo])</f>
        <v>0</v>
      </c>
      <c r="S25" s="33">
        <f>SUMIF(MasterTable[Aircraft ID],Aircraft!A:A,MasterTable[Night])</f>
        <v>0.5</v>
      </c>
      <c r="T25" s="33">
        <f>SUMIF(MasterTable[Aircraft ID],Aircraft!A:A,MasterTable[Dual
Given])</f>
        <v>0</v>
      </c>
      <c r="U25" s="33">
        <f>SUMIF(MasterTable[Aircraft ID],Aircraft!A:A,MasterTable[INST
(Mil)])</f>
        <v>0</v>
      </c>
      <c r="V25" s="33">
        <f>SUMIF(MasterTable[Aircraft ID],Aircraft!A:A,MasterTable[Actual
Instrument])</f>
        <v>4.5999999999999996</v>
      </c>
      <c r="W25" s="33">
        <f>SUMIF(MasterTable[Aircraft ID],Aircraft!A:A,MasterTable[Simulated
Instrument])</f>
        <v>0.3</v>
      </c>
      <c r="X25" s="33">
        <f>SUMIF(MasterTable[Aircraft ID],Aircraft!A:A,MasterTable[Cross
Country])</f>
        <v>10.199999999999999</v>
      </c>
      <c r="Y25" s="33">
        <f>SUMIF(MasterTable[Aircraft ID],Aircraft!A:A,MasterTable[Dual
Received])</f>
        <v>0</v>
      </c>
      <c r="Z25" s="33">
        <f>SUMIF(MasterTable[Aircraft ID],Aircraft!A:A,MasterTable[Formation])</f>
        <v>0</v>
      </c>
      <c r="AA25" s="33">
        <f>SUMIF(MasterTable[Aircraft ID],Aircraft!A:A,MasterTable[Landings
Day])</f>
        <v>3</v>
      </c>
      <c r="AB25" s="33">
        <f>SUMIF(MasterTable[Aircraft ID],Aircraft!A:A,MasterTable[Landings
Night])</f>
        <v>1</v>
      </c>
      <c r="AC25" s="33">
        <f>SUMIF(MasterTable[Aircraft ID],Aircraft!A:A,MasterTable[Landings
Total])</f>
        <v>4</v>
      </c>
      <c r="AD25" s="33">
        <f>SUMIF(MasterTable[Aircraft ID],Aircraft!A:A,MasterTable[Holds])</f>
        <v>0</v>
      </c>
      <c r="AE25" s="33">
        <f>SUMIF(MasterTable[Aircraft ID],Aircraft!$A:$A,Flights!AE:AE)</f>
        <v>1</v>
      </c>
      <c r="AF25" s="33">
        <f>SUMIF(MasterTable[Aircraft ID],Aircraft!$A:$A,MasterTable[ILS])</f>
        <v>1</v>
      </c>
      <c r="AG25" s="33">
        <f>SUMIF(MasterTable[Aircraft ID],Aircraft!$A:$A,MasterTable[LOC])</f>
        <v>1</v>
      </c>
      <c r="AH25" s="33">
        <f>SUMIF(MasterTable[Aircraft ID],Aircraft!$A:$A,MasterTable[VOR/
TCN])</f>
        <v>1</v>
      </c>
      <c r="AI25" s="33">
        <f>SUMIF(MasterTable[Aircraft ID],Aircraft!$A:$A,MasterTable[RNAV])</f>
        <v>0</v>
      </c>
      <c r="AJ25" s="33">
        <f>SUMIF(MasterTable[Aircraft ID],Aircraft!$A:$A,MasterTable[ASR])</f>
        <v>0</v>
      </c>
      <c r="AK25" s="33">
        <f>SUMIF(MasterTable[Aircraft ID],Aircraft!$A:$A,MasterTable[PAR])</f>
        <v>0</v>
      </c>
      <c r="AL25" s="33">
        <f>SUMIF(MasterTable[Aircraft ID],Aircraft!$A:$A,MasterTable[CIRCLE])</f>
        <v>1</v>
      </c>
    </row>
    <row r="26" spans="1:38" x14ac:dyDescent="0.3">
      <c r="A26" s="8" t="s">
        <v>64</v>
      </c>
      <c r="B26" s="8" t="s">
        <v>65</v>
      </c>
      <c r="D26" s="8" t="s">
        <v>66</v>
      </c>
      <c r="E26" s="8" t="s">
        <v>67</v>
      </c>
      <c r="F26" s="8" t="s">
        <v>548</v>
      </c>
      <c r="G26" s="8" t="s">
        <v>13</v>
      </c>
      <c r="H26" s="8" t="s">
        <v>521</v>
      </c>
      <c r="M26" s="33">
        <f>COUNTIF(MasterTable[Aircraft ID],Aircraft!A:A)</f>
        <v>19</v>
      </c>
      <c r="N26" s="34">
        <f>SUMIF(MasterTable[Aircraft ID],Aircraft!A:A,MasterTable[Total
Time])</f>
        <v>17.399999999999999</v>
      </c>
      <c r="O26" s="34">
        <f>SUMIF(MasterTable[Aircraft ID],Aircraft!A:A,MasterTable[PIC])</f>
        <v>17.399999999999999</v>
      </c>
      <c r="P26" s="34">
        <f>SUMIF(MasterTable[Aircraft ID],Aircraft!A:A,MasterTable[PRI 
(Mil)])</f>
        <v>0</v>
      </c>
      <c r="Q26" s="33">
        <f>SUMIF(MasterTable[Aircraft ID],Aircraft!A:A,MasterTable[SIC])</f>
        <v>0</v>
      </c>
      <c r="R26" s="33">
        <f>SUMIF(MasterTable[Aircraft ID],Aircraft!A:A,MasterTable[Solo])</f>
        <v>0</v>
      </c>
      <c r="S26" s="33">
        <f>SUMIF(MasterTable[Aircraft ID],Aircraft!A:A,MasterTable[Night])</f>
        <v>0</v>
      </c>
      <c r="T26" s="33">
        <f>SUMIF(MasterTable[Aircraft ID],Aircraft!A:A,MasterTable[Dual
Given])</f>
        <v>16.899999999999999</v>
      </c>
      <c r="U26" s="33">
        <f>SUMIF(MasterTable[Aircraft ID],Aircraft!A:A,MasterTable[INST
(Mil)])</f>
        <v>0</v>
      </c>
      <c r="V26" s="33">
        <f>SUMIF(MasterTable[Aircraft ID],Aircraft!A:A,MasterTable[Actual
Instrument])</f>
        <v>0</v>
      </c>
      <c r="W26" s="33">
        <f>SUMIF(MasterTable[Aircraft ID],Aircraft!A:A,MasterTable[Simulated
Instrument])</f>
        <v>0</v>
      </c>
      <c r="X26" s="33">
        <f>SUMIF(MasterTable[Aircraft ID],Aircraft!A:A,MasterTable[Cross
Country])</f>
        <v>0</v>
      </c>
      <c r="Y26" s="33">
        <f>SUMIF(MasterTable[Aircraft ID],Aircraft!A:A,MasterTable[Dual
Received])</f>
        <v>0</v>
      </c>
      <c r="Z26" s="33">
        <f>SUMIF(MasterTable[Aircraft ID],Aircraft!A:A,MasterTable[Formation])</f>
        <v>0</v>
      </c>
      <c r="AA26" s="33">
        <f>SUMIF(MasterTable[Aircraft ID],Aircraft!A:A,MasterTable[Landings
Day])</f>
        <v>31</v>
      </c>
      <c r="AB26" s="33">
        <f>SUMIF(MasterTable[Aircraft ID],Aircraft!A:A,MasterTable[Landings
Night])</f>
        <v>0</v>
      </c>
      <c r="AC26" s="33">
        <f>SUMIF(MasterTable[Aircraft ID],Aircraft!A:A,MasterTable[Landings
Total])</f>
        <v>31</v>
      </c>
      <c r="AD26" s="33">
        <f>SUMIF(MasterTable[Aircraft ID],Aircraft!A:A,MasterTable[Holds])</f>
        <v>0</v>
      </c>
      <c r="AE26" s="33">
        <f>SUMIF(MasterTable[Aircraft ID],Aircraft!$A:$A,Flights!AE:AE)</f>
        <v>0</v>
      </c>
      <c r="AF26" s="33">
        <f>SUMIF(MasterTable[Aircraft ID],Aircraft!$A:$A,MasterTable[ILS])</f>
        <v>0</v>
      </c>
      <c r="AG26" s="33">
        <f>SUMIF(MasterTable[Aircraft ID],Aircraft!$A:$A,MasterTable[LOC])</f>
        <v>0</v>
      </c>
      <c r="AH26" s="33">
        <f>SUMIF(MasterTable[Aircraft ID],Aircraft!$A:$A,MasterTable[VOR/
TCN])</f>
        <v>0</v>
      </c>
      <c r="AI26" s="33">
        <f>SUMIF(MasterTable[Aircraft ID],Aircraft!$A:$A,MasterTable[RNAV])</f>
        <v>0</v>
      </c>
      <c r="AJ26" s="33">
        <f>SUMIF(MasterTable[Aircraft ID],Aircraft!$A:$A,MasterTable[ASR])</f>
        <v>0</v>
      </c>
      <c r="AK26" s="33">
        <f>SUMIF(MasterTable[Aircraft ID],Aircraft!$A:$A,MasterTable[PAR])</f>
        <v>0</v>
      </c>
      <c r="AL26" s="33">
        <f>SUMIF(MasterTable[Aircraft ID],Aircraft!$A:$A,MasterTable[CIRCLE])</f>
        <v>0</v>
      </c>
    </row>
    <row r="27" spans="1:38" x14ac:dyDescent="0.3">
      <c r="A27" s="8" t="s">
        <v>68</v>
      </c>
      <c r="B27" s="8" t="s">
        <v>69</v>
      </c>
      <c r="D27" s="8" t="s">
        <v>70</v>
      </c>
      <c r="E27" s="8" t="s">
        <v>71</v>
      </c>
      <c r="F27" s="8" t="s">
        <v>551</v>
      </c>
      <c r="G27" s="8" t="s">
        <v>13</v>
      </c>
      <c r="H27" s="8" t="s">
        <v>522</v>
      </c>
      <c r="I27" s="8" t="b">
        <v>1</v>
      </c>
      <c r="M27" s="33">
        <f>COUNTIF(MasterTable[Aircraft ID],Aircraft!A:A)</f>
        <v>12</v>
      </c>
      <c r="N27" s="34">
        <f>SUMIF(MasterTable[Aircraft ID],Aircraft!A:A,MasterTable[Total
Time])</f>
        <v>21.799999999999997</v>
      </c>
      <c r="O27" s="34">
        <f>SUMIF(MasterTable[Aircraft ID],Aircraft!A:A,MasterTable[PIC])</f>
        <v>9.9</v>
      </c>
      <c r="P27" s="34">
        <f>SUMIF(MasterTable[Aircraft ID],Aircraft!A:A,MasterTable[PRI 
(Mil)])</f>
        <v>0</v>
      </c>
      <c r="Q27" s="33">
        <f>SUMIF(MasterTable[Aircraft ID],Aircraft!A:A,MasterTable[SIC])</f>
        <v>0</v>
      </c>
      <c r="R27" s="33">
        <f>SUMIF(MasterTable[Aircraft ID],Aircraft!A:A,MasterTable[Solo])</f>
        <v>0</v>
      </c>
      <c r="S27" s="33">
        <f>SUMIF(MasterTable[Aircraft ID],Aircraft!A:A,MasterTable[Night])</f>
        <v>3.2</v>
      </c>
      <c r="T27" s="33">
        <f>SUMIF(MasterTable[Aircraft ID],Aircraft!A:A,MasterTable[Dual
Given])</f>
        <v>0</v>
      </c>
      <c r="U27" s="33">
        <f>SUMIF(MasterTable[Aircraft ID],Aircraft!A:A,MasterTable[INST
(Mil)])</f>
        <v>0</v>
      </c>
      <c r="V27" s="33">
        <f>SUMIF(MasterTable[Aircraft ID],Aircraft!A:A,MasterTable[Actual
Instrument])</f>
        <v>0</v>
      </c>
      <c r="W27" s="33">
        <f>SUMIF(MasterTable[Aircraft ID],Aircraft!A:A,MasterTable[Simulated
Instrument])</f>
        <v>3.9999999999999996</v>
      </c>
      <c r="X27" s="33">
        <f>SUMIF(MasterTable[Aircraft ID],Aircraft!A:A,MasterTable[Cross
Country])</f>
        <v>3.2</v>
      </c>
      <c r="Y27" s="33">
        <f>SUMIF(MasterTable[Aircraft ID],Aircraft!A:A,MasterTable[Dual
Received])</f>
        <v>17.500000000000004</v>
      </c>
      <c r="Z27" s="33">
        <f>SUMIF(MasterTable[Aircraft ID],Aircraft!A:A,MasterTable[Formation])</f>
        <v>0</v>
      </c>
      <c r="AA27" s="33">
        <f>SUMIF(MasterTable[Aircraft ID],Aircraft!A:A,MasterTable[Landings
Day])</f>
        <v>34</v>
      </c>
      <c r="AB27" s="33">
        <f>SUMIF(MasterTable[Aircraft ID],Aircraft!A:A,MasterTable[Landings
Night])</f>
        <v>10</v>
      </c>
      <c r="AC27" s="33">
        <f>SUMIF(MasterTable[Aircraft ID],Aircraft!A:A,MasterTable[Landings
Total])</f>
        <v>44</v>
      </c>
      <c r="AD27" s="33">
        <f>SUMIF(MasterTable[Aircraft ID],Aircraft!A:A,MasterTable[Holds])</f>
        <v>1</v>
      </c>
      <c r="AE27" s="33">
        <f>SUMIF(MasterTable[Aircraft ID],Aircraft!$A:$A,Flights!AE:AE)</f>
        <v>3</v>
      </c>
      <c r="AF27" s="33">
        <f>SUMIF(MasterTable[Aircraft ID],Aircraft!$A:$A,MasterTable[ILS])</f>
        <v>3</v>
      </c>
      <c r="AG27" s="33">
        <f>SUMIF(MasterTable[Aircraft ID],Aircraft!$A:$A,MasterTable[LOC])</f>
        <v>0</v>
      </c>
      <c r="AH27" s="33">
        <f>SUMIF(MasterTable[Aircraft ID],Aircraft!$A:$A,MasterTable[VOR/
TCN])</f>
        <v>1</v>
      </c>
      <c r="AI27" s="33">
        <f>SUMIF(MasterTable[Aircraft ID],Aircraft!$A:$A,MasterTable[RNAV])</f>
        <v>3</v>
      </c>
      <c r="AJ27" s="33">
        <f>SUMIF(MasterTable[Aircraft ID],Aircraft!$A:$A,MasterTable[ASR])</f>
        <v>0</v>
      </c>
      <c r="AK27" s="33">
        <f>SUMIF(MasterTable[Aircraft ID],Aircraft!$A:$A,MasterTable[PAR])</f>
        <v>0</v>
      </c>
      <c r="AL27" s="33">
        <f>SUMIF(MasterTable[Aircraft ID],Aircraft!$A:$A,MasterTable[CIRCLE])</f>
        <v>1</v>
      </c>
    </row>
    <row r="28" spans="1:38" x14ac:dyDescent="0.3">
      <c r="A28" s="8" t="s">
        <v>72</v>
      </c>
      <c r="B28" s="8" t="s">
        <v>73</v>
      </c>
      <c r="D28" s="8" t="s">
        <v>44</v>
      </c>
      <c r="E28" s="8" t="s">
        <v>74</v>
      </c>
      <c r="F28" s="8" t="s">
        <v>551</v>
      </c>
      <c r="G28" s="8" t="s">
        <v>13</v>
      </c>
      <c r="H28" s="8" t="s">
        <v>522</v>
      </c>
      <c r="I28" s="8" t="b">
        <v>1</v>
      </c>
      <c r="K28" s="8" t="b">
        <v>1</v>
      </c>
      <c r="M28" s="33">
        <f>COUNTIF(MasterTable[Aircraft ID],Aircraft!A:A)</f>
        <v>31</v>
      </c>
      <c r="N28" s="34">
        <f>SUMIF(MasterTable[Aircraft ID],Aircraft!A:A,MasterTable[Total
Time])</f>
        <v>45.3</v>
      </c>
      <c r="O28" s="34">
        <f>SUMIF(MasterTable[Aircraft ID],Aircraft!A:A,MasterTable[PIC])</f>
        <v>45.3</v>
      </c>
      <c r="P28" s="34">
        <f>SUMIF(MasterTable[Aircraft ID],Aircraft!A:A,MasterTable[PRI 
(Mil)])</f>
        <v>0</v>
      </c>
      <c r="Q28" s="33">
        <f>SUMIF(MasterTable[Aircraft ID],Aircraft!A:A,MasterTable[SIC])</f>
        <v>0</v>
      </c>
      <c r="R28" s="33">
        <f>SUMIF(MasterTable[Aircraft ID],Aircraft!A:A,MasterTable[Solo])</f>
        <v>0</v>
      </c>
      <c r="S28" s="33">
        <f>SUMIF(MasterTable[Aircraft ID],Aircraft!A:A,MasterTable[Night])</f>
        <v>5.3</v>
      </c>
      <c r="T28" s="33">
        <f>SUMIF(MasterTable[Aircraft ID],Aircraft!A:A,MasterTable[Dual
Given])</f>
        <v>0</v>
      </c>
      <c r="U28" s="33">
        <f>SUMIF(MasterTable[Aircraft ID],Aircraft!A:A,MasterTable[INST
(Mil)])</f>
        <v>0</v>
      </c>
      <c r="V28" s="33">
        <f>SUMIF(MasterTable[Aircraft ID],Aircraft!A:A,MasterTable[Actual
Instrument])</f>
        <v>1.6</v>
      </c>
      <c r="W28" s="33">
        <f>SUMIF(MasterTable[Aircraft ID],Aircraft!A:A,MasterTable[Simulated
Instrument])</f>
        <v>4</v>
      </c>
      <c r="X28" s="33">
        <f>SUMIF(MasterTable[Aircraft ID],Aircraft!A:A,MasterTable[Cross
Country])</f>
        <v>37.9</v>
      </c>
      <c r="Y28" s="33">
        <f>SUMIF(MasterTable[Aircraft ID],Aircraft!A:A,MasterTable[Dual
Received])</f>
        <v>0</v>
      </c>
      <c r="Z28" s="33">
        <f>SUMIF(MasterTable[Aircraft ID],Aircraft!A:A,MasterTable[Formation])</f>
        <v>0</v>
      </c>
      <c r="AA28" s="33">
        <f>SUMIF(MasterTable[Aircraft ID],Aircraft!A:A,MasterTable[Landings
Day])</f>
        <v>57</v>
      </c>
      <c r="AB28" s="33">
        <f>SUMIF(MasterTable[Aircraft ID],Aircraft!A:A,MasterTable[Landings
Night])</f>
        <v>8</v>
      </c>
      <c r="AC28" s="33">
        <f>SUMIF(MasterTable[Aircraft ID],Aircraft!A:A,MasterTable[Landings
Total])</f>
        <v>65</v>
      </c>
      <c r="AD28" s="33">
        <f>SUMIF(MasterTable[Aircraft ID],Aircraft!A:A,MasterTable[Holds])</f>
        <v>9</v>
      </c>
      <c r="AE28" s="33">
        <f>SUMIF(MasterTable[Aircraft ID],Aircraft!$A:$A,Flights!AE:AE)</f>
        <v>7</v>
      </c>
      <c r="AF28" s="33">
        <f>SUMIF(MasterTable[Aircraft ID],Aircraft!$A:$A,MasterTable[ILS])</f>
        <v>11</v>
      </c>
      <c r="AG28" s="33">
        <f>SUMIF(MasterTable[Aircraft ID],Aircraft!$A:$A,MasterTable[LOC])</f>
        <v>1</v>
      </c>
      <c r="AH28" s="33">
        <f>SUMIF(MasterTable[Aircraft ID],Aircraft!$A:$A,MasterTable[VOR/
TCN])</f>
        <v>1</v>
      </c>
      <c r="AI28" s="33">
        <f>SUMIF(MasterTable[Aircraft ID],Aircraft!$A:$A,MasterTable[RNAV])</f>
        <v>14</v>
      </c>
      <c r="AJ28" s="33">
        <f>SUMIF(MasterTable[Aircraft ID],Aircraft!$A:$A,MasterTable[ASR])</f>
        <v>0</v>
      </c>
      <c r="AK28" s="33">
        <f>SUMIF(MasterTable[Aircraft ID],Aircraft!$A:$A,MasterTable[PAR])</f>
        <v>0</v>
      </c>
      <c r="AL28" s="33">
        <f>SUMIF(MasterTable[Aircraft ID],Aircraft!$A:$A,MasterTable[CIRCLE])</f>
        <v>0</v>
      </c>
    </row>
    <row r="29" spans="1:38" x14ac:dyDescent="0.3">
      <c r="A29" s="8" t="s">
        <v>75</v>
      </c>
      <c r="B29" s="8" t="s">
        <v>11</v>
      </c>
      <c r="D29" s="8" t="s">
        <v>12</v>
      </c>
      <c r="E29" s="8">
        <v>172</v>
      </c>
      <c r="F29" s="8" t="s">
        <v>548</v>
      </c>
      <c r="G29" s="8" t="s">
        <v>13</v>
      </c>
      <c r="H29" s="8" t="s">
        <v>521</v>
      </c>
      <c r="M29" s="33">
        <f>COUNTIF(MasterTable[Aircraft ID],Aircraft!A:A)</f>
        <v>133</v>
      </c>
      <c r="N29" s="34">
        <f>SUMIF(MasterTable[Aircraft ID],Aircraft!A:A,MasterTable[Total
Time])</f>
        <v>163.59999999999991</v>
      </c>
      <c r="O29" s="34">
        <f>SUMIF(MasterTable[Aircraft ID],Aircraft!A:A,MasterTable[PIC])</f>
        <v>163.59999999999991</v>
      </c>
      <c r="P29" s="34">
        <f>SUMIF(MasterTable[Aircraft ID],Aircraft!A:A,MasterTable[PRI 
(Mil)])</f>
        <v>0</v>
      </c>
      <c r="Q29" s="33">
        <f>SUMIF(MasterTable[Aircraft ID],Aircraft!A:A,MasterTable[SIC])</f>
        <v>0</v>
      </c>
      <c r="R29" s="33">
        <f>SUMIF(MasterTable[Aircraft ID],Aircraft!A:A,MasterTable[Solo])</f>
        <v>0</v>
      </c>
      <c r="S29" s="33">
        <f>SUMIF(MasterTable[Aircraft ID],Aircraft!A:A,MasterTable[Night])</f>
        <v>12.9</v>
      </c>
      <c r="T29" s="33">
        <f>SUMIF(MasterTable[Aircraft ID],Aircraft!A:A,MasterTable[Dual
Given])</f>
        <v>158.79999999999993</v>
      </c>
      <c r="U29" s="33">
        <f>SUMIF(MasterTable[Aircraft ID],Aircraft!A:A,MasterTable[INST
(Mil)])</f>
        <v>0</v>
      </c>
      <c r="V29" s="33">
        <f>SUMIF(MasterTable[Aircraft ID],Aircraft!A:A,MasterTable[Actual
Instrument])</f>
        <v>0</v>
      </c>
      <c r="W29" s="33">
        <f>SUMIF(MasterTable[Aircraft ID],Aircraft!A:A,MasterTable[Simulated
Instrument])</f>
        <v>0</v>
      </c>
      <c r="X29" s="33">
        <f>SUMIF(MasterTable[Aircraft ID],Aircraft!A:A,MasterTable[Cross
Country])</f>
        <v>29.499999999999996</v>
      </c>
      <c r="Y29" s="33">
        <f>SUMIF(MasterTable[Aircraft ID],Aircraft!A:A,MasterTable[Dual
Received])</f>
        <v>0</v>
      </c>
      <c r="Z29" s="33">
        <f>SUMIF(MasterTable[Aircraft ID],Aircraft!A:A,MasterTable[Formation])</f>
        <v>0.6</v>
      </c>
      <c r="AA29" s="33">
        <f>SUMIF(MasterTable[Aircraft ID],Aircraft!A:A,MasterTable[Landings
Day])</f>
        <v>395</v>
      </c>
      <c r="AB29" s="33">
        <f>SUMIF(MasterTable[Aircraft ID],Aircraft!A:A,MasterTable[Landings
Night])</f>
        <v>23</v>
      </c>
      <c r="AC29" s="33">
        <f>SUMIF(MasterTable[Aircraft ID],Aircraft!A:A,MasterTable[Landings
Total])</f>
        <v>418</v>
      </c>
      <c r="AD29" s="33">
        <f>SUMIF(MasterTable[Aircraft ID],Aircraft!A:A,MasterTable[Holds])</f>
        <v>0</v>
      </c>
      <c r="AE29" s="33">
        <f>SUMIF(MasterTable[Aircraft ID],Aircraft!$A:$A,Flights!AE:AE)</f>
        <v>12</v>
      </c>
      <c r="AF29" s="33">
        <f>SUMIF(MasterTable[Aircraft ID],Aircraft!$A:$A,MasterTable[ILS])</f>
        <v>0</v>
      </c>
      <c r="AG29" s="33">
        <f>SUMIF(MasterTable[Aircraft ID],Aircraft!$A:$A,MasterTable[LOC])</f>
        <v>0</v>
      </c>
      <c r="AH29" s="33">
        <f>SUMIF(MasterTable[Aircraft ID],Aircraft!$A:$A,MasterTable[VOR/
TCN])</f>
        <v>0</v>
      </c>
      <c r="AI29" s="33">
        <f>SUMIF(MasterTable[Aircraft ID],Aircraft!$A:$A,MasterTable[RNAV])</f>
        <v>0</v>
      </c>
      <c r="AJ29" s="33">
        <f>SUMIF(MasterTable[Aircraft ID],Aircraft!$A:$A,MasterTable[ASR])</f>
        <v>0</v>
      </c>
      <c r="AK29" s="33">
        <f>SUMIF(MasterTable[Aircraft ID],Aircraft!$A:$A,MasterTable[PAR])</f>
        <v>0</v>
      </c>
      <c r="AL29" s="33">
        <f>SUMIF(MasterTable[Aircraft ID],Aircraft!$A:$A,MasterTable[CIRCLE])</f>
        <v>0</v>
      </c>
    </row>
    <row r="30" spans="1:38" x14ac:dyDescent="0.3">
      <c r="A30" s="8" t="s">
        <v>76</v>
      </c>
      <c r="B30" s="8" t="s">
        <v>65</v>
      </c>
      <c r="D30" s="8" t="s">
        <v>66</v>
      </c>
      <c r="E30" s="8" t="s">
        <v>77</v>
      </c>
      <c r="F30" s="8" t="s">
        <v>548</v>
      </c>
      <c r="G30" s="8" t="s">
        <v>13</v>
      </c>
      <c r="H30" s="8" t="s">
        <v>521</v>
      </c>
      <c r="M30" s="33">
        <f>COUNTIF(MasterTable[Aircraft ID],Aircraft!A:A)</f>
        <v>1</v>
      </c>
      <c r="N30" s="34">
        <f>SUMIF(MasterTable[Aircraft ID],Aircraft!A:A,MasterTable[Total
Time])</f>
        <v>0.5</v>
      </c>
      <c r="O30" s="34">
        <f>SUMIF(MasterTable[Aircraft ID],Aircraft!A:A,MasterTable[PIC])</f>
        <v>0.5</v>
      </c>
      <c r="P30" s="34">
        <f>SUMIF(MasterTable[Aircraft ID],Aircraft!A:A,MasterTable[PRI 
(Mil)])</f>
        <v>0</v>
      </c>
      <c r="Q30" s="33">
        <f>SUMIF(MasterTable[Aircraft ID],Aircraft!A:A,MasterTable[SIC])</f>
        <v>0</v>
      </c>
      <c r="R30" s="33">
        <f>SUMIF(MasterTable[Aircraft ID],Aircraft!A:A,MasterTable[Solo])</f>
        <v>0</v>
      </c>
      <c r="S30" s="33">
        <f>SUMIF(MasterTable[Aircraft ID],Aircraft!A:A,MasterTable[Night])</f>
        <v>0</v>
      </c>
      <c r="T30" s="33">
        <f>SUMIF(MasterTable[Aircraft ID],Aircraft!A:A,MasterTable[Dual
Given])</f>
        <v>0</v>
      </c>
      <c r="U30" s="33">
        <f>SUMIF(MasterTable[Aircraft ID],Aircraft!A:A,MasterTable[INST
(Mil)])</f>
        <v>0</v>
      </c>
      <c r="V30" s="33">
        <f>SUMIF(MasterTable[Aircraft ID],Aircraft!A:A,MasterTable[Actual
Instrument])</f>
        <v>0</v>
      </c>
      <c r="W30" s="33">
        <f>SUMIF(MasterTable[Aircraft ID],Aircraft!A:A,MasterTable[Simulated
Instrument])</f>
        <v>0</v>
      </c>
      <c r="X30" s="33">
        <f>SUMIF(MasterTable[Aircraft ID],Aircraft!A:A,MasterTable[Cross
Country])</f>
        <v>0</v>
      </c>
      <c r="Y30" s="33">
        <f>SUMIF(MasterTable[Aircraft ID],Aircraft!A:A,MasterTable[Dual
Received])</f>
        <v>0</v>
      </c>
      <c r="Z30" s="33">
        <f>SUMIF(MasterTable[Aircraft ID],Aircraft!A:A,MasterTable[Formation])</f>
        <v>0</v>
      </c>
      <c r="AA30" s="33">
        <f>SUMIF(MasterTable[Aircraft ID],Aircraft!A:A,MasterTable[Landings
Day])</f>
        <v>1</v>
      </c>
      <c r="AB30" s="33">
        <f>SUMIF(MasterTable[Aircraft ID],Aircraft!A:A,MasterTable[Landings
Night])</f>
        <v>0</v>
      </c>
      <c r="AC30" s="33">
        <f>SUMIF(MasterTable[Aircraft ID],Aircraft!A:A,MasterTable[Landings
Total])</f>
        <v>1</v>
      </c>
      <c r="AD30" s="33">
        <f>SUMIF(MasterTable[Aircraft ID],Aircraft!A:A,MasterTable[Holds])</f>
        <v>0</v>
      </c>
      <c r="AE30" s="33">
        <f>SUMIF(MasterTable[Aircraft ID],Aircraft!$A:$A,Flights!AE:AE)</f>
        <v>0</v>
      </c>
      <c r="AF30" s="33">
        <f>SUMIF(MasterTable[Aircraft ID],Aircraft!$A:$A,MasterTable[ILS])</f>
        <v>0</v>
      </c>
      <c r="AG30" s="33">
        <f>SUMIF(MasterTable[Aircraft ID],Aircraft!$A:$A,MasterTable[LOC])</f>
        <v>0</v>
      </c>
      <c r="AH30" s="33">
        <f>SUMIF(MasterTable[Aircraft ID],Aircraft!$A:$A,MasterTable[VOR/
TCN])</f>
        <v>0</v>
      </c>
      <c r="AI30" s="33">
        <f>SUMIF(MasterTable[Aircraft ID],Aircraft!$A:$A,MasterTable[RNAV])</f>
        <v>0</v>
      </c>
      <c r="AJ30" s="33">
        <f>SUMIF(MasterTable[Aircraft ID],Aircraft!$A:$A,MasterTable[ASR])</f>
        <v>0</v>
      </c>
      <c r="AK30" s="33">
        <f>SUMIF(MasterTable[Aircraft ID],Aircraft!$A:$A,MasterTable[PAR])</f>
        <v>0</v>
      </c>
      <c r="AL30" s="33">
        <f>SUMIF(MasterTable[Aircraft ID],Aircraft!$A:$A,MasterTable[CIRCLE])</f>
        <v>0</v>
      </c>
    </row>
    <row r="31" spans="1:38" x14ac:dyDescent="0.3">
      <c r="A31" s="8" t="s">
        <v>78</v>
      </c>
      <c r="B31" s="8" t="s">
        <v>38</v>
      </c>
      <c r="D31" s="8" t="s">
        <v>79</v>
      </c>
      <c r="E31" s="8" t="s">
        <v>80</v>
      </c>
      <c r="F31" s="8" t="s">
        <v>551</v>
      </c>
      <c r="G31" s="8" t="s">
        <v>35</v>
      </c>
      <c r="H31" s="8" t="s">
        <v>522</v>
      </c>
      <c r="L31" s="8" t="b">
        <v>1</v>
      </c>
      <c r="M31" s="33">
        <f>COUNTIF(MasterTable[Aircraft ID],Aircraft!A:A)</f>
        <v>0</v>
      </c>
      <c r="N31" s="34">
        <f>SUMIF(MasterTable[Aircraft ID],Aircraft!A:A,MasterTable[Total
Time])</f>
        <v>0</v>
      </c>
      <c r="O31" s="34">
        <f>SUMIF(MasterTable[Aircraft ID],Aircraft!A:A,MasterTable[PIC])</f>
        <v>0</v>
      </c>
      <c r="P31" s="34">
        <f>SUMIF(MasterTable[Aircraft ID],Aircraft!A:A,MasterTable[PRI 
(Mil)])</f>
        <v>0</v>
      </c>
      <c r="Q31" s="33">
        <f>SUMIF(MasterTable[Aircraft ID],Aircraft!A:A,MasterTable[SIC])</f>
        <v>0</v>
      </c>
      <c r="R31" s="33">
        <f>SUMIF(MasterTable[Aircraft ID],Aircraft!A:A,MasterTable[Solo])</f>
        <v>0</v>
      </c>
      <c r="S31" s="33">
        <f>SUMIF(MasterTable[Aircraft ID],Aircraft!A:A,MasterTable[Night])</f>
        <v>0</v>
      </c>
      <c r="T31" s="33">
        <f>SUMIF(MasterTable[Aircraft ID],Aircraft!A:A,MasterTable[Dual
Given])</f>
        <v>0</v>
      </c>
      <c r="U31" s="33">
        <f>SUMIF(MasterTable[Aircraft ID],Aircraft!A:A,MasterTable[INST
(Mil)])</f>
        <v>0</v>
      </c>
      <c r="V31" s="33">
        <f>SUMIF(MasterTable[Aircraft ID],Aircraft!A:A,MasterTable[Actual
Instrument])</f>
        <v>0</v>
      </c>
      <c r="W31" s="33">
        <f>SUMIF(MasterTable[Aircraft ID],Aircraft!A:A,MasterTable[Simulated
Instrument])</f>
        <v>0</v>
      </c>
      <c r="X31" s="33">
        <f>SUMIF(MasterTable[Aircraft ID],Aircraft!A:A,MasterTable[Cross
Country])</f>
        <v>0</v>
      </c>
      <c r="Y31" s="33">
        <f>SUMIF(MasterTable[Aircraft ID],Aircraft!A:A,MasterTable[Dual
Received])</f>
        <v>0</v>
      </c>
      <c r="Z31" s="33">
        <f>SUMIF(MasterTable[Aircraft ID],Aircraft!A:A,MasterTable[Formation])</f>
        <v>0</v>
      </c>
      <c r="AA31" s="33">
        <f>SUMIF(MasterTable[Aircraft ID],Aircraft!A:A,MasterTable[Landings
Day])</f>
        <v>0</v>
      </c>
      <c r="AB31" s="33">
        <f>SUMIF(MasterTable[Aircraft ID],Aircraft!A:A,MasterTable[Landings
Night])</f>
        <v>0</v>
      </c>
      <c r="AC31" s="33">
        <f>SUMIF(MasterTable[Aircraft ID],Aircraft!A:A,MasterTable[Landings
Total])</f>
        <v>0</v>
      </c>
      <c r="AD31" s="33">
        <f>SUMIF(MasterTable[Aircraft ID],Aircraft!A:A,MasterTable[Holds])</f>
        <v>0</v>
      </c>
      <c r="AE31" s="33">
        <f>SUMIF(MasterTable[Aircraft ID],Aircraft!$A:$A,Flights!AE:AE)</f>
        <v>0</v>
      </c>
      <c r="AF31" s="33">
        <f>SUMIF(MasterTable[Aircraft ID],Aircraft!$A:$A,MasterTable[ILS])</f>
        <v>0</v>
      </c>
      <c r="AG31" s="33">
        <f>SUMIF(MasterTable[Aircraft ID],Aircraft!$A:$A,MasterTable[LOC])</f>
        <v>0</v>
      </c>
      <c r="AH31" s="33">
        <f>SUMIF(MasterTable[Aircraft ID],Aircraft!$A:$A,MasterTable[VOR/
TCN])</f>
        <v>0</v>
      </c>
      <c r="AI31" s="33">
        <f>SUMIF(MasterTable[Aircraft ID],Aircraft!$A:$A,MasterTable[RNAV])</f>
        <v>0</v>
      </c>
      <c r="AJ31" s="33">
        <f>SUMIF(MasterTable[Aircraft ID],Aircraft!$A:$A,MasterTable[ASR])</f>
        <v>0</v>
      </c>
      <c r="AK31" s="33">
        <f>SUMIF(MasterTable[Aircraft ID],Aircraft!$A:$A,MasterTable[PAR])</f>
        <v>0</v>
      </c>
      <c r="AL31" s="33">
        <f>SUMIF(MasterTable[Aircraft ID],Aircraft!$A:$A,MasterTable[CIRCLE])</f>
        <v>0</v>
      </c>
    </row>
    <row r="32" spans="1:38" x14ac:dyDescent="0.3">
      <c r="A32" s="8" t="s">
        <v>81</v>
      </c>
      <c r="B32" s="8" t="s">
        <v>82</v>
      </c>
      <c r="D32" s="8" t="s">
        <v>70</v>
      </c>
      <c r="E32" s="8" t="s">
        <v>83</v>
      </c>
      <c r="F32" s="8" t="s">
        <v>551</v>
      </c>
      <c r="G32" s="8" t="s">
        <v>13</v>
      </c>
      <c r="H32" s="8" t="s">
        <v>521</v>
      </c>
      <c r="I32" s="8" t="b">
        <v>1</v>
      </c>
      <c r="K32" s="8" t="b">
        <v>1</v>
      </c>
      <c r="M32" s="33">
        <f>COUNTIF(MasterTable[Aircraft ID],Aircraft!A:A)</f>
        <v>2</v>
      </c>
      <c r="N32" s="34">
        <f>SUMIF(MasterTable[Aircraft ID],Aircraft!A:A,MasterTable[Total
Time])</f>
        <v>3.3</v>
      </c>
      <c r="O32" s="34">
        <f>SUMIF(MasterTable[Aircraft ID],Aircraft!A:A,MasterTable[PIC])</f>
        <v>0</v>
      </c>
      <c r="P32" s="34">
        <f>SUMIF(MasterTable[Aircraft ID],Aircraft!A:A,MasterTable[PRI 
(Mil)])</f>
        <v>0</v>
      </c>
      <c r="Q32" s="33">
        <f>SUMIF(MasterTable[Aircraft ID],Aircraft!A:A,MasterTable[SIC])</f>
        <v>0</v>
      </c>
      <c r="R32" s="33">
        <f>SUMIF(MasterTable[Aircraft ID],Aircraft!A:A,MasterTable[Solo])</f>
        <v>0</v>
      </c>
      <c r="S32" s="33">
        <f>SUMIF(MasterTable[Aircraft ID],Aircraft!A:A,MasterTable[Night])</f>
        <v>0.6</v>
      </c>
      <c r="T32" s="33">
        <f>SUMIF(MasterTable[Aircraft ID],Aircraft!A:A,MasterTable[Dual
Given])</f>
        <v>0</v>
      </c>
      <c r="U32" s="33">
        <f>SUMIF(MasterTable[Aircraft ID],Aircraft!A:A,MasterTable[INST
(Mil)])</f>
        <v>0</v>
      </c>
      <c r="V32" s="33">
        <f>SUMIF(MasterTable[Aircraft ID],Aircraft!A:A,MasterTable[Actual
Instrument])</f>
        <v>0</v>
      </c>
      <c r="W32" s="33">
        <f>SUMIF(MasterTable[Aircraft ID],Aircraft!A:A,MasterTable[Simulated
Instrument])</f>
        <v>0</v>
      </c>
      <c r="X32" s="33">
        <f>SUMIF(MasterTable[Aircraft ID],Aircraft!A:A,MasterTable[Cross
Country])</f>
        <v>3.3</v>
      </c>
      <c r="Y32" s="33">
        <f>SUMIF(MasterTable[Aircraft ID],Aircraft!A:A,MasterTable[Dual
Received])</f>
        <v>3.3</v>
      </c>
      <c r="Z32" s="33">
        <f>SUMIF(MasterTable[Aircraft ID],Aircraft!A:A,MasterTable[Formation])</f>
        <v>0</v>
      </c>
      <c r="AA32" s="33">
        <f>SUMIF(MasterTable[Aircraft ID],Aircraft!A:A,MasterTable[Landings
Day])</f>
        <v>2</v>
      </c>
      <c r="AB32" s="33">
        <f>SUMIF(MasterTable[Aircraft ID],Aircraft!A:A,MasterTable[Landings
Night])</f>
        <v>1</v>
      </c>
      <c r="AC32" s="33">
        <f>SUMIF(MasterTable[Aircraft ID],Aircraft!A:A,MasterTable[Landings
Total])</f>
        <v>3</v>
      </c>
      <c r="AD32" s="33">
        <f>SUMIF(MasterTable[Aircraft ID],Aircraft!A:A,MasterTable[Holds])</f>
        <v>0</v>
      </c>
      <c r="AE32" s="33">
        <f>SUMIF(MasterTable[Aircraft ID],Aircraft!$A:$A,Flights!AE:AE)</f>
        <v>0</v>
      </c>
      <c r="AF32" s="33">
        <f>SUMIF(MasterTable[Aircraft ID],Aircraft!$A:$A,MasterTable[ILS])</f>
        <v>0</v>
      </c>
      <c r="AG32" s="33">
        <f>SUMIF(MasterTable[Aircraft ID],Aircraft!$A:$A,MasterTable[LOC])</f>
        <v>0</v>
      </c>
      <c r="AH32" s="33">
        <f>SUMIF(MasterTable[Aircraft ID],Aircraft!$A:$A,MasterTable[VOR/
TCN])</f>
        <v>0</v>
      </c>
      <c r="AI32" s="33">
        <f>SUMIF(MasterTable[Aircraft ID],Aircraft!$A:$A,MasterTable[RNAV])</f>
        <v>0</v>
      </c>
      <c r="AJ32" s="33">
        <f>SUMIF(MasterTable[Aircraft ID],Aircraft!$A:$A,MasterTable[ASR])</f>
        <v>0</v>
      </c>
      <c r="AK32" s="33">
        <f>SUMIF(MasterTable[Aircraft ID],Aircraft!$A:$A,MasterTable[PAR])</f>
        <v>0</v>
      </c>
      <c r="AL32" s="33">
        <f>SUMIF(MasterTable[Aircraft ID],Aircraft!$A:$A,MasterTable[CIRCLE])</f>
        <v>0</v>
      </c>
    </row>
    <row r="33" spans="1:38" x14ac:dyDescent="0.3">
      <c r="A33" s="8" t="s">
        <v>84</v>
      </c>
      <c r="B33" s="8" t="s">
        <v>54</v>
      </c>
      <c r="D33" s="8" t="s">
        <v>55</v>
      </c>
      <c r="E33" s="8" t="s">
        <v>85</v>
      </c>
      <c r="F33" s="8" t="s">
        <v>549</v>
      </c>
      <c r="G33" s="8" t="s">
        <v>13</v>
      </c>
      <c r="H33" s="8" t="s">
        <v>521</v>
      </c>
      <c r="K33" s="8" t="b">
        <v>1</v>
      </c>
      <c r="M33" s="33">
        <f>COUNTIF(MasterTable[Aircraft ID],Aircraft!A:A)</f>
        <v>2</v>
      </c>
      <c r="N33" s="34">
        <f>SUMIF(MasterTable[Aircraft ID],Aircraft!A:A,MasterTable[Total
Time])</f>
        <v>1.2</v>
      </c>
      <c r="O33" s="34">
        <f>SUMIF(MasterTable[Aircraft ID],Aircraft!A:A,MasterTable[PIC])</f>
        <v>0</v>
      </c>
      <c r="P33" s="34">
        <f>SUMIF(MasterTable[Aircraft ID],Aircraft!A:A,MasterTable[PRI 
(Mil)])</f>
        <v>0</v>
      </c>
      <c r="Q33" s="33">
        <f>SUMIF(MasterTable[Aircraft ID],Aircraft!A:A,MasterTable[SIC])</f>
        <v>0</v>
      </c>
      <c r="R33" s="33">
        <f>SUMIF(MasterTable[Aircraft ID],Aircraft!A:A,MasterTable[Solo])</f>
        <v>0</v>
      </c>
      <c r="S33" s="33">
        <f>SUMIF(MasterTable[Aircraft ID],Aircraft!A:A,MasterTable[Night])</f>
        <v>0</v>
      </c>
      <c r="T33" s="33">
        <f>SUMIF(MasterTable[Aircraft ID],Aircraft!A:A,MasterTable[Dual
Given])</f>
        <v>0</v>
      </c>
      <c r="U33" s="33">
        <f>SUMIF(MasterTable[Aircraft ID],Aircraft!A:A,MasterTable[INST
(Mil)])</f>
        <v>0</v>
      </c>
      <c r="V33" s="33">
        <f>SUMIF(MasterTable[Aircraft ID],Aircraft!A:A,MasterTable[Actual
Instrument])</f>
        <v>0</v>
      </c>
      <c r="W33" s="33">
        <f>SUMIF(MasterTable[Aircraft ID],Aircraft!A:A,MasterTable[Simulated
Instrument])</f>
        <v>0</v>
      </c>
      <c r="X33" s="33">
        <f>SUMIF(MasterTable[Aircraft ID],Aircraft!A:A,MasterTable[Cross
Country])</f>
        <v>0</v>
      </c>
      <c r="Y33" s="33">
        <f>SUMIF(MasterTable[Aircraft ID],Aircraft!A:A,MasterTable[Dual
Received])</f>
        <v>1.2</v>
      </c>
      <c r="Z33" s="33">
        <f>SUMIF(MasterTable[Aircraft ID],Aircraft!A:A,MasterTable[Formation])</f>
        <v>0</v>
      </c>
      <c r="AA33" s="33">
        <f>SUMIF(MasterTable[Aircraft ID],Aircraft!A:A,MasterTable[Landings
Day])</f>
        <v>0</v>
      </c>
      <c r="AB33" s="33">
        <f>SUMIF(MasterTable[Aircraft ID],Aircraft!A:A,MasterTable[Landings
Night])</f>
        <v>0</v>
      </c>
      <c r="AC33" s="33">
        <f>SUMIF(MasterTable[Aircraft ID],Aircraft!A:A,MasterTable[Landings
Total])</f>
        <v>0</v>
      </c>
      <c r="AD33" s="33">
        <f>SUMIF(MasterTable[Aircraft ID],Aircraft!A:A,MasterTable[Holds])</f>
        <v>0</v>
      </c>
      <c r="AE33" s="33">
        <f>SUMIF(MasterTable[Aircraft ID],Aircraft!$A:$A,Flights!AE:AE)</f>
        <v>0</v>
      </c>
      <c r="AF33" s="33">
        <f>SUMIF(MasterTable[Aircraft ID],Aircraft!$A:$A,MasterTable[ILS])</f>
        <v>0</v>
      </c>
      <c r="AG33" s="33">
        <f>SUMIF(MasterTable[Aircraft ID],Aircraft!$A:$A,MasterTable[LOC])</f>
        <v>0</v>
      </c>
      <c r="AH33" s="33">
        <f>SUMIF(MasterTable[Aircraft ID],Aircraft!$A:$A,MasterTable[VOR/
TCN])</f>
        <v>0</v>
      </c>
      <c r="AI33" s="33">
        <f>SUMIF(MasterTable[Aircraft ID],Aircraft!$A:$A,MasterTable[RNAV])</f>
        <v>0</v>
      </c>
      <c r="AJ33" s="33">
        <f>SUMIF(MasterTable[Aircraft ID],Aircraft!$A:$A,MasterTable[ASR])</f>
        <v>0</v>
      </c>
      <c r="AK33" s="33">
        <f>SUMIF(MasterTable[Aircraft ID],Aircraft!$A:$A,MasterTable[PAR])</f>
        <v>0</v>
      </c>
      <c r="AL33" s="33">
        <f>SUMIF(MasterTable[Aircraft ID],Aircraft!$A:$A,MasterTable[CIRCLE])</f>
        <v>0</v>
      </c>
    </row>
    <row r="34" spans="1:38" x14ac:dyDescent="0.3">
      <c r="A34" s="8" t="s">
        <v>86</v>
      </c>
      <c r="B34" s="8" t="s">
        <v>65</v>
      </c>
      <c r="D34" s="8" t="s">
        <v>70</v>
      </c>
      <c r="E34" s="8" t="s">
        <v>87</v>
      </c>
      <c r="F34" s="8" t="s">
        <v>548</v>
      </c>
      <c r="G34" s="8" t="s">
        <v>13</v>
      </c>
      <c r="H34" s="8" t="s">
        <v>521</v>
      </c>
      <c r="M34" s="33">
        <f>COUNTIF(MasterTable[Aircraft ID],Aircraft!A:A)</f>
        <v>5</v>
      </c>
      <c r="N34" s="34">
        <f>SUMIF(MasterTable[Aircraft ID],Aircraft!A:A,MasterTable[Total
Time])</f>
        <v>8.1</v>
      </c>
      <c r="O34" s="34">
        <f>SUMIF(MasterTable[Aircraft ID],Aircraft!A:A,MasterTable[PIC])</f>
        <v>8.1</v>
      </c>
      <c r="P34" s="34">
        <f>SUMIF(MasterTable[Aircraft ID],Aircraft!A:A,MasterTable[PRI 
(Mil)])</f>
        <v>0</v>
      </c>
      <c r="Q34" s="33">
        <f>SUMIF(MasterTable[Aircraft ID],Aircraft!A:A,MasterTable[SIC])</f>
        <v>0</v>
      </c>
      <c r="R34" s="33">
        <f>SUMIF(MasterTable[Aircraft ID],Aircraft!A:A,MasterTable[Solo])</f>
        <v>0</v>
      </c>
      <c r="S34" s="33">
        <f>SUMIF(MasterTable[Aircraft ID],Aircraft!A:A,MasterTable[Night])</f>
        <v>4.8</v>
      </c>
      <c r="T34" s="33">
        <f>SUMIF(MasterTable[Aircraft ID],Aircraft!A:A,MasterTable[Dual
Given])</f>
        <v>8.1</v>
      </c>
      <c r="U34" s="33">
        <f>SUMIF(MasterTable[Aircraft ID],Aircraft!A:A,MasterTable[INST
(Mil)])</f>
        <v>0</v>
      </c>
      <c r="V34" s="33">
        <f>SUMIF(MasterTable[Aircraft ID],Aircraft!A:A,MasterTable[Actual
Instrument])</f>
        <v>0</v>
      </c>
      <c r="W34" s="33">
        <f>SUMIF(MasterTable[Aircraft ID],Aircraft!A:A,MasterTable[Simulated
Instrument])</f>
        <v>0</v>
      </c>
      <c r="X34" s="33">
        <f>SUMIF(MasterTable[Aircraft ID],Aircraft!A:A,MasterTable[Cross
Country])</f>
        <v>0</v>
      </c>
      <c r="Y34" s="33">
        <f>SUMIF(MasterTable[Aircraft ID],Aircraft!A:A,MasterTable[Dual
Received])</f>
        <v>0</v>
      </c>
      <c r="Z34" s="33">
        <f>SUMIF(MasterTable[Aircraft ID],Aircraft!A:A,MasterTable[Formation])</f>
        <v>0</v>
      </c>
      <c r="AA34" s="33">
        <f>SUMIF(MasterTable[Aircraft ID],Aircraft!A:A,MasterTable[Landings
Day])</f>
        <v>0</v>
      </c>
      <c r="AB34" s="33">
        <f>SUMIF(MasterTable[Aircraft ID],Aircraft!A:A,MasterTable[Landings
Night])</f>
        <v>3</v>
      </c>
      <c r="AC34" s="33">
        <f>SUMIF(MasterTable[Aircraft ID],Aircraft!A:A,MasterTable[Landings
Total])</f>
        <v>3</v>
      </c>
      <c r="AD34" s="33">
        <f>SUMIF(MasterTable[Aircraft ID],Aircraft!A:A,MasterTable[Holds])</f>
        <v>0</v>
      </c>
      <c r="AE34" s="33">
        <f>SUMIF(MasterTable[Aircraft ID],Aircraft!$A:$A,Flights!AE:AE)</f>
        <v>0</v>
      </c>
      <c r="AF34" s="33">
        <f>SUMIF(MasterTable[Aircraft ID],Aircraft!$A:$A,MasterTable[ILS])</f>
        <v>0</v>
      </c>
      <c r="AG34" s="33">
        <f>SUMIF(MasterTable[Aircraft ID],Aircraft!$A:$A,MasterTable[LOC])</f>
        <v>0</v>
      </c>
      <c r="AH34" s="33">
        <f>SUMIF(MasterTable[Aircraft ID],Aircraft!$A:$A,MasterTable[VOR/
TCN])</f>
        <v>0</v>
      </c>
      <c r="AI34" s="33">
        <f>SUMIF(MasterTable[Aircraft ID],Aircraft!$A:$A,MasterTable[RNAV])</f>
        <v>0</v>
      </c>
      <c r="AJ34" s="33">
        <f>SUMIF(MasterTable[Aircraft ID],Aircraft!$A:$A,MasterTable[ASR])</f>
        <v>0</v>
      </c>
      <c r="AK34" s="33">
        <f>SUMIF(MasterTable[Aircraft ID],Aircraft!$A:$A,MasterTable[PAR])</f>
        <v>0</v>
      </c>
      <c r="AL34" s="33">
        <f>SUMIF(MasterTable[Aircraft ID],Aircraft!$A:$A,MasterTable[CIRCLE])</f>
        <v>0</v>
      </c>
    </row>
    <row r="35" spans="1:38" x14ac:dyDescent="0.3">
      <c r="A35" s="8" t="s">
        <v>88</v>
      </c>
      <c r="B35" s="8" t="s">
        <v>89</v>
      </c>
      <c r="C35" s="8">
        <v>1947</v>
      </c>
      <c r="D35" s="8" t="s">
        <v>90</v>
      </c>
      <c r="E35" s="8" t="s">
        <v>91</v>
      </c>
      <c r="F35" s="8" t="s">
        <v>549</v>
      </c>
      <c r="G35" s="8" t="s">
        <v>13</v>
      </c>
      <c r="H35" s="8" t="s">
        <v>521</v>
      </c>
      <c r="M35" s="33">
        <f>COUNTIF(MasterTable[Aircraft ID],Aircraft!A:A)</f>
        <v>5</v>
      </c>
      <c r="N35" s="34">
        <f>SUMIF(MasterTable[Aircraft ID],Aircraft!A:A,MasterTable[Total
Time])</f>
        <v>6.7</v>
      </c>
      <c r="O35" s="34">
        <f>SUMIF(MasterTable[Aircraft ID],Aircraft!A:A,MasterTable[PIC])</f>
        <v>1.1000000000000001</v>
      </c>
      <c r="P35" s="34">
        <f>SUMIF(MasterTable[Aircraft ID],Aircraft!A:A,MasterTable[PRI 
(Mil)])</f>
        <v>0</v>
      </c>
      <c r="Q35" s="33">
        <f>SUMIF(MasterTable[Aircraft ID],Aircraft!A:A,MasterTable[SIC])</f>
        <v>0</v>
      </c>
      <c r="R35" s="33">
        <f>SUMIF(MasterTable[Aircraft ID],Aircraft!A:A,MasterTable[Solo])</f>
        <v>0</v>
      </c>
      <c r="S35" s="33">
        <f>SUMIF(MasterTable[Aircraft ID],Aircraft!A:A,MasterTable[Night])</f>
        <v>0</v>
      </c>
      <c r="T35" s="33">
        <f>SUMIF(MasterTable[Aircraft ID],Aircraft!A:A,MasterTable[Dual
Given])</f>
        <v>0</v>
      </c>
      <c r="U35" s="33">
        <f>SUMIF(MasterTable[Aircraft ID],Aircraft!A:A,MasterTable[INST
(Mil)])</f>
        <v>0</v>
      </c>
      <c r="V35" s="33">
        <f>SUMIF(MasterTable[Aircraft ID],Aircraft!A:A,MasterTable[Actual
Instrument])</f>
        <v>0</v>
      </c>
      <c r="W35" s="33">
        <f>SUMIF(MasterTable[Aircraft ID],Aircraft!A:A,MasterTable[Simulated
Instrument])</f>
        <v>0</v>
      </c>
      <c r="X35" s="33">
        <f>SUMIF(MasterTable[Aircraft ID],Aircraft!A:A,MasterTable[Cross
Country])</f>
        <v>0</v>
      </c>
      <c r="Y35" s="33">
        <f>SUMIF(MasterTable[Aircraft ID],Aircraft!A:A,MasterTable[Dual
Received])</f>
        <v>5.6</v>
      </c>
      <c r="Z35" s="33">
        <f>SUMIF(MasterTable[Aircraft ID],Aircraft!A:A,MasterTable[Formation])</f>
        <v>0</v>
      </c>
      <c r="AA35" s="33">
        <f>SUMIF(MasterTable[Aircraft ID],Aircraft!A:A,MasterTable[Landings
Day])</f>
        <v>45</v>
      </c>
      <c r="AB35" s="33">
        <f>SUMIF(MasterTable[Aircraft ID],Aircraft!A:A,MasterTable[Landings
Night])</f>
        <v>0</v>
      </c>
      <c r="AC35" s="33">
        <f>SUMIF(MasterTable[Aircraft ID],Aircraft!A:A,MasterTable[Landings
Total])</f>
        <v>45</v>
      </c>
      <c r="AD35" s="33">
        <f>SUMIF(MasterTable[Aircraft ID],Aircraft!A:A,MasterTable[Holds])</f>
        <v>0</v>
      </c>
      <c r="AE35" s="33">
        <f>SUMIF(MasterTable[Aircraft ID],Aircraft!$A:$A,Flights!AE:AE)</f>
        <v>0</v>
      </c>
      <c r="AF35" s="33">
        <f>SUMIF(MasterTable[Aircraft ID],Aircraft!$A:$A,MasterTable[ILS])</f>
        <v>0</v>
      </c>
      <c r="AG35" s="33">
        <f>SUMIF(MasterTable[Aircraft ID],Aircraft!$A:$A,MasterTable[LOC])</f>
        <v>0</v>
      </c>
      <c r="AH35" s="33">
        <f>SUMIF(MasterTable[Aircraft ID],Aircraft!$A:$A,MasterTable[VOR/
TCN])</f>
        <v>0</v>
      </c>
      <c r="AI35" s="33">
        <f>SUMIF(MasterTable[Aircraft ID],Aircraft!$A:$A,MasterTable[RNAV])</f>
        <v>0</v>
      </c>
      <c r="AJ35" s="33">
        <f>SUMIF(MasterTable[Aircraft ID],Aircraft!$A:$A,MasterTable[ASR])</f>
        <v>0</v>
      </c>
      <c r="AK35" s="33">
        <f>SUMIF(MasterTable[Aircraft ID],Aircraft!$A:$A,MasterTable[PAR])</f>
        <v>0</v>
      </c>
      <c r="AL35" s="33">
        <f>SUMIF(MasterTable[Aircraft ID],Aircraft!$A:$A,MasterTable[CIRCLE])</f>
        <v>0</v>
      </c>
    </row>
    <row r="36" spans="1:38" x14ac:dyDescent="0.3">
      <c r="A36" s="8" t="s">
        <v>92</v>
      </c>
      <c r="B36" s="8" t="s">
        <v>93</v>
      </c>
      <c r="D36" s="8" t="s">
        <v>94</v>
      </c>
      <c r="E36" s="8" t="s">
        <v>95</v>
      </c>
      <c r="F36" s="8" t="s">
        <v>551</v>
      </c>
      <c r="G36" s="8" t="s">
        <v>96</v>
      </c>
      <c r="H36" s="8" t="s">
        <v>522</v>
      </c>
      <c r="I36" s="8" t="b">
        <v>1</v>
      </c>
      <c r="M36" s="33">
        <f>COUNTIF(MasterTable[Aircraft ID],Aircraft!A:A)</f>
        <v>6</v>
      </c>
      <c r="N36" s="34">
        <f>SUMIF(MasterTable[Aircraft ID],Aircraft!A:A,MasterTable[Total
Time])</f>
        <v>8.1</v>
      </c>
      <c r="O36" s="34">
        <f>SUMIF(MasterTable[Aircraft ID],Aircraft!A:A,MasterTable[PIC])</f>
        <v>8.1</v>
      </c>
      <c r="P36" s="34">
        <f>SUMIF(MasterTable[Aircraft ID],Aircraft!A:A,MasterTable[PRI 
(Mil)])</f>
        <v>0</v>
      </c>
      <c r="Q36" s="33">
        <f>SUMIF(MasterTable[Aircraft ID],Aircraft!A:A,MasterTable[SIC])</f>
        <v>0</v>
      </c>
      <c r="R36" s="33">
        <f>SUMIF(MasterTable[Aircraft ID],Aircraft!A:A,MasterTable[Solo])</f>
        <v>0</v>
      </c>
      <c r="S36" s="33">
        <f>SUMIF(MasterTable[Aircraft ID],Aircraft!A:A,MasterTable[Night])</f>
        <v>0</v>
      </c>
      <c r="T36" s="33">
        <f>SUMIF(MasterTable[Aircraft ID],Aircraft!A:A,MasterTable[Dual
Given])</f>
        <v>0</v>
      </c>
      <c r="U36" s="33">
        <f>SUMIF(MasterTable[Aircraft ID],Aircraft!A:A,MasterTable[INST
(Mil)])</f>
        <v>0</v>
      </c>
      <c r="V36" s="33">
        <f>SUMIF(MasterTable[Aircraft ID],Aircraft!A:A,MasterTable[Actual
Instrument])</f>
        <v>0</v>
      </c>
      <c r="W36" s="33">
        <f>SUMIF(MasterTable[Aircraft ID],Aircraft!A:A,MasterTable[Simulated
Instrument])</f>
        <v>0</v>
      </c>
      <c r="X36" s="33">
        <f>SUMIF(MasterTable[Aircraft ID],Aircraft!A:A,MasterTable[Cross
Country])</f>
        <v>0</v>
      </c>
      <c r="Y36" s="33">
        <f>SUMIF(MasterTable[Aircraft ID],Aircraft!A:A,MasterTable[Dual
Received])</f>
        <v>5.6999999999999993</v>
      </c>
      <c r="Z36" s="33">
        <f>SUMIF(MasterTable[Aircraft ID],Aircraft!A:A,MasterTable[Formation])</f>
        <v>0</v>
      </c>
      <c r="AA36" s="33">
        <f>SUMIF(MasterTable[Aircraft ID],Aircraft!A:A,MasterTable[Landings
Day])</f>
        <v>16</v>
      </c>
      <c r="AB36" s="33">
        <f>SUMIF(MasterTable[Aircraft ID],Aircraft!A:A,MasterTable[Landings
Night])</f>
        <v>0</v>
      </c>
      <c r="AC36" s="33">
        <f>SUMIF(MasterTable[Aircraft ID],Aircraft!A:A,MasterTable[Landings
Total])</f>
        <v>16</v>
      </c>
      <c r="AD36" s="33">
        <f>SUMIF(MasterTable[Aircraft ID],Aircraft!A:A,MasterTable[Holds])</f>
        <v>0</v>
      </c>
      <c r="AE36" s="33">
        <f>SUMIF(MasterTable[Aircraft ID],Aircraft!$A:$A,Flights!AE:AE)</f>
        <v>0</v>
      </c>
      <c r="AF36" s="33">
        <f>SUMIF(MasterTable[Aircraft ID],Aircraft!$A:$A,MasterTable[ILS])</f>
        <v>0</v>
      </c>
      <c r="AG36" s="33">
        <f>SUMIF(MasterTable[Aircraft ID],Aircraft!$A:$A,MasterTable[LOC])</f>
        <v>0</v>
      </c>
      <c r="AH36" s="33">
        <f>SUMIF(MasterTable[Aircraft ID],Aircraft!$A:$A,MasterTable[VOR/
TCN])</f>
        <v>0</v>
      </c>
      <c r="AI36" s="33">
        <f>SUMIF(MasterTable[Aircraft ID],Aircraft!$A:$A,MasterTable[RNAV])</f>
        <v>0</v>
      </c>
      <c r="AJ36" s="33">
        <f>SUMIF(MasterTable[Aircraft ID],Aircraft!$A:$A,MasterTable[ASR])</f>
        <v>0</v>
      </c>
      <c r="AK36" s="33">
        <f>SUMIF(MasterTable[Aircraft ID],Aircraft!$A:$A,MasterTable[PAR])</f>
        <v>0</v>
      </c>
      <c r="AL36" s="33">
        <f>SUMIF(MasterTable[Aircraft ID],Aircraft!$A:$A,MasterTable[CIRCLE])</f>
        <v>0</v>
      </c>
    </row>
    <row r="37" spans="1:38" x14ac:dyDescent="0.3">
      <c r="A37" s="8" t="s">
        <v>97</v>
      </c>
      <c r="B37" s="8" t="s">
        <v>98</v>
      </c>
      <c r="D37" s="8" t="s">
        <v>99</v>
      </c>
      <c r="E37" s="8" t="s">
        <v>100</v>
      </c>
      <c r="F37" s="8" t="s">
        <v>549</v>
      </c>
      <c r="G37" s="8" t="s">
        <v>13</v>
      </c>
      <c r="H37" s="8" t="s">
        <v>521</v>
      </c>
      <c r="M37" s="33">
        <f>COUNTIF(MasterTable[Aircraft ID],Aircraft!A:A)</f>
        <v>2</v>
      </c>
      <c r="N37" s="34">
        <f>SUMIF(MasterTable[Aircraft ID],Aircraft!A:A,MasterTable[Total
Time])</f>
        <v>2.7</v>
      </c>
      <c r="O37" s="34">
        <f>SUMIF(MasterTable[Aircraft ID],Aircraft!A:A,MasterTable[PIC])</f>
        <v>2.7</v>
      </c>
      <c r="P37" s="34">
        <f>SUMIF(MasterTable[Aircraft ID],Aircraft!A:A,MasterTable[PRI 
(Mil)])</f>
        <v>0</v>
      </c>
      <c r="Q37" s="33">
        <f>SUMIF(MasterTable[Aircraft ID],Aircraft!A:A,MasterTable[SIC])</f>
        <v>0</v>
      </c>
      <c r="R37" s="33">
        <f>SUMIF(MasterTable[Aircraft ID],Aircraft!A:A,MasterTable[Solo])</f>
        <v>0</v>
      </c>
      <c r="S37" s="33">
        <f>SUMIF(MasterTable[Aircraft ID],Aircraft!A:A,MasterTable[Night])</f>
        <v>0</v>
      </c>
      <c r="T37" s="33">
        <f>SUMIF(MasterTable[Aircraft ID],Aircraft!A:A,MasterTable[Dual
Given])</f>
        <v>0</v>
      </c>
      <c r="U37" s="33">
        <f>SUMIF(MasterTable[Aircraft ID],Aircraft!A:A,MasterTable[INST
(Mil)])</f>
        <v>0</v>
      </c>
      <c r="V37" s="33">
        <f>SUMIF(MasterTable[Aircraft ID],Aircraft!A:A,MasterTable[Actual
Instrument])</f>
        <v>0</v>
      </c>
      <c r="W37" s="33">
        <f>SUMIF(MasterTable[Aircraft ID],Aircraft!A:A,MasterTable[Simulated
Instrument])</f>
        <v>0</v>
      </c>
      <c r="X37" s="33">
        <f>SUMIF(MasterTable[Aircraft ID],Aircraft!A:A,MasterTable[Cross
Country])</f>
        <v>0</v>
      </c>
      <c r="Y37" s="33">
        <f>SUMIF(MasterTable[Aircraft ID],Aircraft!A:A,MasterTable[Dual
Received])</f>
        <v>2.7</v>
      </c>
      <c r="Z37" s="33">
        <f>SUMIF(MasterTable[Aircraft ID],Aircraft!A:A,MasterTable[Formation])</f>
        <v>0</v>
      </c>
      <c r="AA37" s="33">
        <f>SUMIF(MasterTable[Aircraft ID],Aircraft!A:A,MasterTable[Landings
Day])</f>
        <v>20</v>
      </c>
      <c r="AB37" s="33">
        <f>SUMIF(MasterTable[Aircraft ID],Aircraft!A:A,MasterTable[Landings
Night])</f>
        <v>0</v>
      </c>
      <c r="AC37" s="33">
        <f>SUMIF(MasterTable[Aircraft ID],Aircraft!A:A,MasterTable[Landings
Total])</f>
        <v>20</v>
      </c>
      <c r="AD37" s="33">
        <f>SUMIF(MasterTable[Aircraft ID],Aircraft!A:A,MasterTable[Holds])</f>
        <v>0</v>
      </c>
      <c r="AE37" s="33">
        <f>SUMIF(MasterTable[Aircraft ID],Aircraft!$A:$A,Flights!AE:AE)</f>
        <v>0</v>
      </c>
      <c r="AF37" s="33">
        <f>SUMIF(MasterTable[Aircraft ID],Aircraft!$A:$A,MasterTable[ILS])</f>
        <v>0</v>
      </c>
      <c r="AG37" s="33">
        <f>SUMIF(MasterTable[Aircraft ID],Aircraft!$A:$A,MasterTable[LOC])</f>
        <v>0</v>
      </c>
      <c r="AH37" s="33">
        <f>SUMIF(MasterTable[Aircraft ID],Aircraft!$A:$A,MasterTable[VOR/
TCN])</f>
        <v>0</v>
      </c>
      <c r="AI37" s="33">
        <f>SUMIF(MasterTable[Aircraft ID],Aircraft!$A:$A,MasterTable[RNAV])</f>
        <v>0</v>
      </c>
      <c r="AJ37" s="33">
        <f>SUMIF(MasterTable[Aircraft ID],Aircraft!$A:$A,MasterTable[ASR])</f>
        <v>0</v>
      </c>
      <c r="AK37" s="33">
        <f>SUMIF(MasterTable[Aircraft ID],Aircraft!$A:$A,MasterTable[PAR])</f>
        <v>0</v>
      </c>
      <c r="AL37" s="33">
        <f>SUMIF(MasterTable[Aircraft ID],Aircraft!$A:$A,MasterTable[CIRCLE])</f>
        <v>0</v>
      </c>
    </row>
    <row r="38" spans="1:38" x14ac:dyDescent="0.3">
      <c r="A38" s="8" t="s">
        <v>101</v>
      </c>
      <c r="B38" s="8" t="s">
        <v>102</v>
      </c>
      <c r="D38" s="8" t="s">
        <v>70</v>
      </c>
      <c r="E38" s="8" t="s">
        <v>103</v>
      </c>
      <c r="F38" s="8" t="s">
        <v>555</v>
      </c>
      <c r="G38" s="8" t="s">
        <v>13</v>
      </c>
      <c r="H38" s="8" t="s">
        <v>524</v>
      </c>
      <c r="M38" s="33">
        <f>COUNTIF(MasterTable[Aircraft ID],Aircraft!A:A)</f>
        <v>8</v>
      </c>
      <c r="N38" s="34">
        <f>SUMIF(MasterTable[Aircraft ID],Aircraft!A:A,MasterTable[Total
Time])</f>
        <v>10.1</v>
      </c>
      <c r="O38" s="34">
        <f>SUMIF(MasterTable[Aircraft ID],Aircraft!A:A,MasterTable[PIC])</f>
        <v>1.2</v>
      </c>
      <c r="P38" s="34">
        <f>SUMIF(MasterTable[Aircraft ID],Aircraft!A:A,MasterTable[PRI 
(Mil)])</f>
        <v>0</v>
      </c>
      <c r="Q38" s="33">
        <f>SUMIF(MasterTable[Aircraft ID],Aircraft!A:A,MasterTable[SIC])</f>
        <v>0</v>
      </c>
      <c r="R38" s="33">
        <f>SUMIF(MasterTable[Aircraft ID],Aircraft!A:A,MasterTable[Solo])</f>
        <v>0</v>
      </c>
      <c r="S38" s="33">
        <f>SUMIF(MasterTable[Aircraft ID],Aircraft!A:A,MasterTable[Night])</f>
        <v>0</v>
      </c>
      <c r="T38" s="33">
        <f>SUMIF(MasterTable[Aircraft ID],Aircraft!A:A,MasterTable[Dual
Given])</f>
        <v>0</v>
      </c>
      <c r="U38" s="33">
        <f>SUMIF(MasterTable[Aircraft ID],Aircraft!A:A,MasterTable[INST
(Mil)])</f>
        <v>0</v>
      </c>
      <c r="V38" s="33">
        <f>SUMIF(MasterTable[Aircraft ID],Aircraft!A:A,MasterTable[Actual
Instrument])</f>
        <v>0</v>
      </c>
      <c r="W38" s="33">
        <f>SUMIF(MasterTable[Aircraft ID],Aircraft!A:A,MasterTable[Simulated
Instrument])</f>
        <v>0</v>
      </c>
      <c r="X38" s="33">
        <f>SUMIF(MasterTable[Aircraft ID],Aircraft!A:A,MasterTable[Cross
Country])</f>
        <v>0</v>
      </c>
      <c r="Y38" s="33">
        <f>SUMIF(MasterTable[Aircraft ID],Aircraft!A:A,MasterTable[Dual
Received])</f>
        <v>8.9</v>
      </c>
      <c r="Z38" s="33">
        <f>SUMIF(MasterTable[Aircraft ID],Aircraft!A:A,MasterTable[Formation])</f>
        <v>0.6</v>
      </c>
      <c r="AA38" s="33">
        <f>SUMIF(MasterTable[Aircraft ID],Aircraft!A:A,MasterTable[Landings
Day])</f>
        <v>33</v>
      </c>
      <c r="AB38" s="33">
        <f>SUMIF(MasterTable[Aircraft ID],Aircraft!A:A,MasterTable[Landings
Night])</f>
        <v>0</v>
      </c>
      <c r="AC38" s="33">
        <f>SUMIF(MasterTable[Aircraft ID],Aircraft!A:A,MasterTable[Landings
Total])</f>
        <v>33</v>
      </c>
      <c r="AD38" s="33">
        <f>SUMIF(MasterTable[Aircraft ID],Aircraft!A:A,MasterTable[Holds])</f>
        <v>0</v>
      </c>
      <c r="AE38" s="33">
        <f>SUMIF(MasterTable[Aircraft ID],Aircraft!$A:$A,Flights!AE:AE)</f>
        <v>0</v>
      </c>
      <c r="AF38" s="33">
        <f>SUMIF(MasterTable[Aircraft ID],Aircraft!$A:$A,MasterTable[ILS])</f>
        <v>0</v>
      </c>
      <c r="AG38" s="33">
        <f>SUMIF(MasterTable[Aircraft ID],Aircraft!$A:$A,MasterTable[LOC])</f>
        <v>0</v>
      </c>
      <c r="AH38" s="33">
        <f>SUMIF(MasterTable[Aircraft ID],Aircraft!$A:$A,MasterTable[VOR/
TCN])</f>
        <v>0</v>
      </c>
      <c r="AI38" s="33">
        <f>SUMIF(MasterTable[Aircraft ID],Aircraft!$A:$A,MasterTable[RNAV])</f>
        <v>0</v>
      </c>
      <c r="AJ38" s="33">
        <f>SUMIF(MasterTable[Aircraft ID],Aircraft!$A:$A,MasterTable[ASR])</f>
        <v>0</v>
      </c>
      <c r="AK38" s="33">
        <f>SUMIF(MasterTable[Aircraft ID],Aircraft!$A:$A,MasterTable[PAR])</f>
        <v>0</v>
      </c>
      <c r="AL38" s="33">
        <f>SUMIF(MasterTable[Aircraft ID],Aircraft!$A:$A,MasterTable[CIRCLE])</f>
        <v>0</v>
      </c>
    </row>
    <row r="39" spans="1:38" x14ac:dyDescent="0.3">
      <c r="A39" s="8" t="s">
        <v>104</v>
      </c>
      <c r="B39" s="8" t="s">
        <v>102</v>
      </c>
      <c r="D39" s="8" t="s">
        <v>70</v>
      </c>
      <c r="E39" s="8" t="s">
        <v>103</v>
      </c>
      <c r="F39" s="8" t="s">
        <v>555</v>
      </c>
      <c r="G39" s="8" t="s">
        <v>13</v>
      </c>
      <c r="H39" s="8" t="s">
        <v>524</v>
      </c>
      <c r="M39" s="33">
        <f>COUNTIF(MasterTable[Aircraft ID],Aircraft!A:A)</f>
        <v>1</v>
      </c>
      <c r="N39" s="34">
        <f>SUMIF(MasterTable[Aircraft ID],Aircraft!A:A,MasterTable[Total
Time])</f>
        <v>1.3</v>
      </c>
      <c r="O39" s="34">
        <f>SUMIF(MasterTable[Aircraft ID],Aircraft!A:A,MasterTable[PIC])</f>
        <v>0</v>
      </c>
      <c r="P39" s="34">
        <f>SUMIF(MasterTable[Aircraft ID],Aircraft!A:A,MasterTable[PRI 
(Mil)])</f>
        <v>0</v>
      </c>
      <c r="Q39" s="33">
        <f>SUMIF(MasterTable[Aircraft ID],Aircraft!A:A,MasterTable[SIC])</f>
        <v>0</v>
      </c>
      <c r="R39" s="33">
        <f>SUMIF(MasterTable[Aircraft ID],Aircraft!A:A,MasterTable[Solo])</f>
        <v>0</v>
      </c>
      <c r="S39" s="33">
        <f>SUMIF(MasterTable[Aircraft ID],Aircraft!A:A,MasterTable[Night])</f>
        <v>0</v>
      </c>
      <c r="T39" s="33">
        <f>SUMIF(MasterTable[Aircraft ID],Aircraft!A:A,MasterTable[Dual
Given])</f>
        <v>0</v>
      </c>
      <c r="U39" s="33">
        <f>SUMIF(MasterTable[Aircraft ID],Aircraft!A:A,MasterTable[INST
(Mil)])</f>
        <v>0</v>
      </c>
      <c r="V39" s="33">
        <f>SUMIF(MasterTable[Aircraft ID],Aircraft!A:A,MasterTable[Actual
Instrument])</f>
        <v>0</v>
      </c>
      <c r="W39" s="33">
        <f>SUMIF(MasterTable[Aircraft ID],Aircraft!A:A,MasterTable[Simulated
Instrument])</f>
        <v>0</v>
      </c>
      <c r="X39" s="33">
        <f>SUMIF(MasterTable[Aircraft ID],Aircraft!A:A,MasterTable[Cross
Country])</f>
        <v>0</v>
      </c>
      <c r="Y39" s="33">
        <f>SUMIF(MasterTable[Aircraft ID],Aircraft!A:A,MasterTable[Dual
Received])</f>
        <v>1.3</v>
      </c>
      <c r="Z39" s="33">
        <f>SUMIF(MasterTable[Aircraft ID],Aircraft!A:A,MasterTable[Formation])</f>
        <v>0.4</v>
      </c>
      <c r="AA39" s="33">
        <f>SUMIF(MasterTable[Aircraft ID],Aircraft!A:A,MasterTable[Landings
Day])</f>
        <v>2</v>
      </c>
      <c r="AB39" s="33">
        <f>SUMIF(MasterTable[Aircraft ID],Aircraft!A:A,MasterTable[Landings
Night])</f>
        <v>0</v>
      </c>
      <c r="AC39" s="33">
        <f>SUMIF(MasterTable[Aircraft ID],Aircraft!A:A,MasterTable[Landings
Total])</f>
        <v>2</v>
      </c>
      <c r="AD39" s="33">
        <f>SUMIF(MasterTable[Aircraft ID],Aircraft!A:A,MasterTable[Holds])</f>
        <v>0</v>
      </c>
      <c r="AE39" s="33">
        <f>SUMIF(MasterTable[Aircraft ID],Aircraft!$A:$A,Flights!AE:AE)</f>
        <v>0</v>
      </c>
      <c r="AF39" s="33">
        <f>SUMIF(MasterTable[Aircraft ID],Aircraft!$A:$A,MasterTable[ILS])</f>
        <v>0</v>
      </c>
      <c r="AG39" s="33">
        <f>SUMIF(MasterTable[Aircraft ID],Aircraft!$A:$A,MasterTable[LOC])</f>
        <v>0</v>
      </c>
      <c r="AH39" s="33">
        <f>SUMIF(MasterTable[Aircraft ID],Aircraft!$A:$A,MasterTable[VOR/
TCN])</f>
        <v>0</v>
      </c>
      <c r="AI39" s="33">
        <f>SUMIF(MasterTable[Aircraft ID],Aircraft!$A:$A,MasterTable[RNAV])</f>
        <v>0</v>
      </c>
      <c r="AJ39" s="33">
        <f>SUMIF(MasterTable[Aircraft ID],Aircraft!$A:$A,MasterTable[ASR])</f>
        <v>0</v>
      </c>
      <c r="AK39" s="33">
        <f>SUMIF(MasterTable[Aircraft ID],Aircraft!$A:$A,MasterTable[PAR])</f>
        <v>0</v>
      </c>
      <c r="AL39" s="33">
        <f>SUMIF(MasterTable[Aircraft ID],Aircraft!$A:$A,MasterTable[CIRCLE])</f>
        <v>0</v>
      </c>
    </row>
    <row r="40" spans="1:38" x14ac:dyDescent="0.3">
      <c r="A40" s="8" t="s">
        <v>105</v>
      </c>
      <c r="B40" s="8" t="s">
        <v>61</v>
      </c>
      <c r="D40" s="8" t="s">
        <v>12</v>
      </c>
      <c r="E40" s="8">
        <v>152</v>
      </c>
      <c r="F40" s="8" t="s">
        <v>548</v>
      </c>
      <c r="G40" s="8" t="s">
        <v>13</v>
      </c>
      <c r="H40" s="8" t="s">
        <v>521</v>
      </c>
      <c r="M40" s="33">
        <f>COUNTIF(MasterTable[Aircraft ID],Aircraft!A:A)</f>
        <v>1</v>
      </c>
      <c r="N40" s="34">
        <f>SUMIF(MasterTable[Aircraft ID],Aircraft!A:A,MasterTable[Total
Time])</f>
        <v>1.6</v>
      </c>
      <c r="O40" s="34">
        <f>SUMIF(MasterTable[Aircraft ID],Aircraft!A:A,MasterTable[PIC])</f>
        <v>1.6</v>
      </c>
      <c r="P40" s="34">
        <f>SUMIF(MasterTable[Aircraft ID],Aircraft!A:A,MasterTable[PRI 
(Mil)])</f>
        <v>0</v>
      </c>
      <c r="Q40" s="33">
        <f>SUMIF(MasterTable[Aircraft ID],Aircraft!A:A,MasterTable[SIC])</f>
        <v>0</v>
      </c>
      <c r="R40" s="33">
        <f>SUMIF(MasterTable[Aircraft ID],Aircraft!A:A,MasterTable[Solo])</f>
        <v>0</v>
      </c>
      <c r="S40" s="33">
        <f>SUMIF(MasterTable[Aircraft ID],Aircraft!A:A,MasterTable[Night])</f>
        <v>0</v>
      </c>
      <c r="T40" s="33">
        <f>SUMIF(MasterTable[Aircraft ID],Aircraft!A:A,MasterTable[Dual
Given])</f>
        <v>0</v>
      </c>
      <c r="U40" s="33">
        <f>SUMIF(MasterTable[Aircraft ID],Aircraft!A:A,MasterTable[INST
(Mil)])</f>
        <v>0</v>
      </c>
      <c r="V40" s="33">
        <f>SUMIF(MasterTable[Aircraft ID],Aircraft!A:A,MasterTable[Actual
Instrument])</f>
        <v>0</v>
      </c>
      <c r="W40" s="33">
        <f>SUMIF(MasterTable[Aircraft ID],Aircraft!A:A,MasterTable[Simulated
Instrument])</f>
        <v>0</v>
      </c>
      <c r="X40" s="33">
        <f>SUMIF(MasterTable[Aircraft ID],Aircraft!A:A,MasterTable[Cross
Country])</f>
        <v>0</v>
      </c>
      <c r="Y40" s="33">
        <f>SUMIF(MasterTable[Aircraft ID],Aircraft!A:A,MasterTable[Dual
Received])</f>
        <v>0</v>
      </c>
      <c r="Z40" s="33">
        <f>SUMIF(MasterTable[Aircraft ID],Aircraft!A:A,MasterTable[Formation])</f>
        <v>0</v>
      </c>
      <c r="AA40" s="33">
        <f>SUMIF(MasterTable[Aircraft ID],Aircraft!A:A,MasterTable[Landings
Day])</f>
        <v>0</v>
      </c>
      <c r="AB40" s="33">
        <f>SUMIF(MasterTable[Aircraft ID],Aircraft!A:A,MasterTable[Landings
Night])</f>
        <v>0</v>
      </c>
      <c r="AC40" s="33">
        <f>SUMIF(MasterTable[Aircraft ID],Aircraft!A:A,MasterTable[Landings
Total])</f>
        <v>0</v>
      </c>
      <c r="AD40" s="33">
        <f>SUMIF(MasterTable[Aircraft ID],Aircraft!A:A,MasterTable[Holds])</f>
        <v>0</v>
      </c>
      <c r="AE40" s="33">
        <f>SUMIF(MasterTable[Aircraft ID],Aircraft!$A:$A,Flights!AE:AE)</f>
        <v>1</v>
      </c>
      <c r="AF40" s="33">
        <f>SUMIF(MasterTable[Aircraft ID],Aircraft!$A:$A,MasterTable[ILS])</f>
        <v>0</v>
      </c>
      <c r="AG40" s="33">
        <f>SUMIF(MasterTable[Aircraft ID],Aircraft!$A:$A,MasterTable[LOC])</f>
        <v>0</v>
      </c>
      <c r="AH40" s="33">
        <f>SUMIF(MasterTable[Aircraft ID],Aircraft!$A:$A,MasterTable[VOR/
TCN])</f>
        <v>0</v>
      </c>
      <c r="AI40" s="33">
        <f>SUMIF(MasterTable[Aircraft ID],Aircraft!$A:$A,MasterTable[RNAV])</f>
        <v>0</v>
      </c>
      <c r="AJ40" s="33">
        <f>SUMIF(MasterTable[Aircraft ID],Aircraft!$A:$A,MasterTable[ASR])</f>
        <v>0</v>
      </c>
      <c r="AK40" s="33">
        <f>SUMIF(MasterTable[Aircraft ID],Aircraft!$A:$A,MasterTable[PAR])</f>
        <v>0</v>
      </c>
      <c r="AL40" s="33">
        <f>SUMIF(MasterTable[Aircraft ID],Aircraft!$A:$A,MasterTable[CIRCLE])</f>
        <v>0</v>
      </c>
    </row>
    <row r="41" spans="1:38" x14ac:dyDescent="0.3">
      <c r="A41" s="8" t="s">
        <v>106</v>
      </c>
      <c r="B41" s="8" t="s">
        <v>107</v>
      </c>
      <c r="D41" s="8" t="s">
        <v>108</v>
      </c>
      <c r="E41" s="8" t="s">
        <v>109</v>
      </c>
      <c r="F41" s="8" t="s">
        <v>548</v>
      </c>
      <c r="G41" s="8" t="s">
        <v>13</v>
      </c>
      <c r="H41" s="8" t="s">
        <v>521</v>
      </c>
      <c r="M41" s="33">
        <f>COUNTIF(MasterTable[Aircraft ID],Aircraft!A:A)</f>
        <v>3</v>
      </c>
      <c r="N41" s="34">
        <f>SUMIF(MasterTable[Aircraft ID],Aircraft!A:A,MasterTable[Total
Time])</f>
        <v>3.0999999999999996</v>
      </c>
      <c r="O41" s="34">
        <f>SUMIF(MasterTable[Aircraft ID],Aircraft!A:A,MasterTable[PIC])</f>
        <v>3.0999999999999996</v>
      </c>
      <c r="P41" s="34">
        <f>SUMIF(MasterTable[Aircraft ID],Aircraft!A:A,MasterTable[PRI 
(Mil)])</f>
        <v>0</v>
      </c>
      <c r="Q41" s="33">
        <f>SUMIF(MasterTable[Aircraft ID],Aircraft!A:A,MasterTable[SIC])</f>
        <v>0</v>
      </c>
      <c r="R41" s="33">
        <f>SUMIF(MasterTable[Aircraft ID],Aircraft!A:A,MasterTable[Solo])</f>
        <v>0</v>
      </c>
      <c r="S41" s="33">
        <f>SUMIF(MasterTable[Aircraft ID],Aircraft!A:A,MasterTable[Night])</f>
        <v>0</v>
      </c>
      <c r="T41" s="33">
        <f>SUMIF(MasterTable[Aircraft ID],Aircraft!A:A,MasterTable[Dual
Given])</f>
        <v>3.0999999999999996</v>
      </c>
      <c r="U41" s="33">
        <f>SUMIF(MasterTable[Aircraft ID],Aircraft!A:A,MasterTable[INST
(Mil)])</f>
        <v>0</v>
      </c>
      <c r="V41" s="33">
        <f>SUMIF(MasterTable[Aircraft ID],Aircraft!A:A,MasterTable[Actual
Instrument])</f>
        <v>0</v>
      </c>
      <c r="W41" s="33">
        <f>SUMIF(MasterTable[Aircraft ID],Aircraft!A:A,MasterTable[Simulated
Instrument])</f>
        <v>0</v>
      </c>
      <c r="X41" s="33">
        <f>SUMIF(MasterTable[Aircraft ID],Aircraft!A:A,MasterTable[Cross
Country])</f>
        <v>0</v>
      </c>
      <c r="Y41" s="33">
        <f>SUMIF(MasterTable[Aircraft ID],Aircraft!A:A,MasterTable[Dual
Received])</f>
        <v>0</v>
      </c>
      <c r="Z41" s="33">
        <f>SUMIF(MasterTable[Aircraft ID],Aircraft!A:A,MasterTable[Formation])</f>
        <v>0</v>
      </c>
      <c r="AA41" s="33">
        <f>SUMIF(MasterTable[Aircraft ID],Aircraft!A:A,MasterTable[Landings
Day])</f>
        <v>5</v>
      </c>
      <c r="AB41" s="33">
        <f>SUMIF(MasterTable[Aircraft ID],Aircraft!A:A,MasterTable[Landings
Night])</f>
        <v>0</v>
      </c>
      <c r="AC41" s="33">
        <f>SUMIF(MasterTable[Aircraft ID],Aircraft!A:A,MasterTable[Landings
Total])</f>
        <v>5</v>
      </c>
      <c r="AD41" s="33">
        <f>SUMIF(MasterTable[Aircraft ID],Aircraft!A:A,MasterTable[Holds])</f>
        <v>0</v>
      </c>
      <c r="AE41" s="33">
        <f>SUMIF(MasterTable[Aircraft ID],Aircraft!$A:$A,Flights!AE:AE)</f>
        <v>0</v>
      </c>
      <c r="AF41" s="33">
        <f>SUMIF(MasterTable[Aircraft ID],Aircraft!$A:$A,MasterTable[ILS])</f>
        <v>0</v>
      </c>
      <c r="AG41" s="33">
        <f>SUMIF(MasterTable[Aircraft ID],Aircraft!$A:$A,MasterTable[LOC])</f>
        <v>0</v>
      </c>
      <c r="AH41" s="33">
        <f>SUMIF(MasterTable[Aircraft ID],Aircraft!$A:$A,MasterTable[VOR/
TCN])</f>
        <v>0</v>
      </c>
      <c r="AI41" s="33">
        <f>SUMIF(MasterTable[Aircraft ID],Aircraft!$A:$A,MasterTable[RNAV])</f>
        <v>0</v>
      </c>
      <c r="AJ41" s="33">
        <f>SUMIF(MasterTable[Aircraft ID],Aircraft!$A:$A,MasterTable[ASR])</f>
        <v>0</v>
      </c>
      <c r="AK41" s="33">
        <f>SUMIF(MasterTable[Aircraft ID],Aircraft!$A:$A,MasterTable[PAR])</f>
        <v>0</v>
      </c>
      <c r="AL41" s="33">
        <f>SUMIF(MasterTable[Aircraft ID],Aircraft!$A:$A,MasterTable[CIRCLE])</f>
        <v>0</v>
      </c>
    </row>
    <row r="42" spans="1:38" x14ac:dyDescent="0.3">
      <c r="A42" s="8" t="s">
        <v>110</v>
      </c>
      <c r="B42" s="8" t="s">
        <v>111</v>
      </c>
      <c r="D42" s="8" t="s">
        <v>112</v>
      </c>
      <c r="E42" s="8" t="s">
        <v>113</v>
      </c>
      <c r="F42" s="8" t="s">
        <v>549</v>
      </c>
      <c r="G42" s="8" t="s">
        <v>13</v>
      </c>
      <c r="H42" s="8" t="s">
        <v>521</v>
      </c>
      <c r="M42" s="33">
        <f>COUNTIF(MasterTable[Aircraft ID],Aircraft!A:A)</f>
        <v>1</v>
      </c>
      <c r="N42" s="34">
        <f>SUMIF(MasterTable[Aircraft ID],Aircraft!A:A,MasterTable[Total
Time])</f>
        <v>1</v>
      </c>
      <c r="O42" s="34">
        <f>SUMIF(MasterTable[Aircraft ID],Aircraft!A:A,MasterTable[PIC])</f>
        <v>1</v>
      </c>
      <c r="P42" s="34">
        <f>SUMIF(MasterTable[Aircraft ID],Aircraft!A:A,MasterTable[PRI 
(Mil)])</f>
        <v>0</v>
      </c>
      <c r="Q42" s="33">
        <f>SUMIF(MasterTable[Aircraft ID],Aircraft!A:A,MasterTable[SIC])</f>
        <v>0</v>
      </c>
      <c r="R42" s="33">
        <f>SUMIF(MasterTable[Aircraft ID],Aircraft!A:A,MasterTable[Solo])</f>
        <v>0</v>
      </c>
      <c r="S42" s="33">
        <f>SUMIF(MasterTable[Aircraft ID],Aircraft!A:A,MasterTable[Night])</f>
        <v>0</v>
      </c>
      <c r="T42" s="33">
        <f>SUMIF(MasterTable[Aircraft ID],Aircraft!A:A,MasterTable[Dual
Given])</f>
        <v>1</v>
      </c>
      <c r="U42" s="33">
        <f>SUMIF(MasterTable[Aircraft ID],Aircraft!A:A,MasterTable[INST
(Mil)])</f>
        <v>0</v>
      </c>
      <c r="V42" s="33">
        <f>SUMIF(MasterTable[Aircraft ID],Aircraft!A:A,MasterTable[Actual
Instrument])</f>
        <v>0</v>
      </c>
      <c r="W42" s="33">
        <f>SUMIF(MasterTable[Aircraft ID],Aircraft!A:A,MasterTable[Simulated
Instrument])</f>
        <v>0</v>
      </c>
      <c r="X42" s="33">
        <f>SUMIF(MasterTable[Aircraft ID],Aircraft!A:A,MasterTable[Cross
Country])</f>
        <v>0</v>
      </c>
      <c r="Y42" s="33">
        <f>SUMIF(MasterTable[Aircraft ID],Aircraft!A:A,MasterTable[Dual
Received])</f>
        <v>0</v>
      </c>
      <c r="Z42" s="33">
        <f>SUMIF(MasterTable[Aircraft ID],Aircraft!A:A,MasterTable[Formation])</f>
        <v>0</v>
      </c>
      <c r="AA42" s="33">
        <f>SUMIF(MasterTable[Aircraft ID],Aircraft!A:A,MasterTable[Landings
Day])</f>
        <v>0</v>
      </c>
      <c r="AB42" s="33">
        <f>SUMIF(MasterTable[Aircraft ID],Aircraft!A:A,MasterTable[Landings
Night])</f>
        <v>0</v>
      </c>
      <c r="AC42" s="33">
        <f>SUMIF(MasterTable[Aircraft ID],Aircraft!A:A,MasterTable[Landings
Total])</f>
        <v>0</v>
      </c>
      <c r="AD42" s="33">
        <f>SUMIF(MasterTable[Aircraft ID],Aircraft!A:A,MasterTable[Holds])</f>
        <v>0</v>
      </c>
      <c r="AE42" s="33">
        <f>SUMIF(MasterTable[Aircraft ID],Aircraft!$A:$A,Flights!AE:AE)</f>
        <v>0</v>
      </c>
      <c r="AF42" s="33">
        <f>SUMIF(MasterTable[Aircraft ID],Aircraft!$A:$A,MasterTable[ILS])</f>
        <v>0</v>
      </c>
      <c r="AG42" s="33">
        <f>SUMIF(MasterTable[Aircraft ID],Aircraft!$A:$A,MasterTable[LOC])</f>
        <v>0</v>
      </c>
      <c r="AH42" s="33">
        <f>SUMIF(MasterTable[Aircraft ID],Aircraft!$A:$A,MasterTable[VOR/
TCN])</f>
        <v>0</v>
      </c>
      <c r="AI42" s="33">
        <f>SUMIF(MasterTable[Aircraft ID],Aircraft!$A:$A,MasterTable[RNAV])</f>
        <v>0</v>
      </c>
      <c r="AJ42" s="33">
        <f>SUMIF(MasterTable[Aircraft ID],Aircraft!$A:$A,MasterTable[ASR])</f>
        <v>0</v>
      </c>
      <c r="AK42" s="33">
        <f>SUMIF(MasterTable[Aircraft ID],Aircraft!$A:$A,MasterTable[PAR])</f>
        <v>0</v>
      </c>
      <c r="AL42" s="33">
        <f>SUMIF(MasterTable[Aircraft ID],Aircraft!$A:$A,MasterTable[CIRCLE])</f>
        <v>0</v>
      </c>
    </row>
    <row r="43" spans="1:38" x14ac:dyDescent="0.3">
      <c r="A43" s="8" t="s">
        <v>114</v>
      </c>
      <c r="B43" s="8" t="s">
        <v>115</v>
      </c>
      <c r="D43" s="8" t="s">
        <v>24</v>
      </c>
      <c r="E43" s="8" t="s">
        <v>116</v>
      </c>
      <c r="F43" s="8" t="s">
        <v>548</v>
      </c>
      <c r="G43" s="8" t="s">
        <v>13</v>
      </c>
      <c r="H43" s="8" t="s">
        <v>521</v>
      </c>
      <c r="J43" s="8" t="b">
        <v>1</v>
      </c>
      <c r="K43" s="8" t="b">
        <v>1</v>
      </c>
      <c r="M43" s="33">
        <f>COUNTIF(MasterTable[Aircraft ID],Aircraft!A:A)</f>
        <v>3</v>
      </c>
      <c r="N43" s="34">
        <f>SUMIF(MasterTable[Aircraft ID],Aircraft!A:A,MasterTable[Total
Time])</f>
        <v>3.5</v>
      </c>
      <c r="O43" s="34">
        <f>SUMIF(MasterTable[Aircraft ID],Aircraft!A:A,MasterTable[PIC])</f>
        <v>3.5</v>
      </c>
      <c r="P43" s="34">
        <f>SUMIF(MasterTable[Aircraft ID],Aircraft!A:A,MasterTable[PRI 
(Mil)])</f>
        <v>0</v>
      </c>
      <c r="Q43" s="33">
        <f>SUMIF(MasterTable[Aircraft ID],Aircraft!A:A,MasterTable[SIC])</f>
        <v>0</v>
      </c>
      <c r="R43" s="33">
        <f>SUMIF(MasterTable[Aircraft ID],Aircraft!A:A,MasterTable[Solo])</f>
        <v>0</v>
      </c>
      <c r="S43" s="33">
        <f>SUMIF(MasterTable[Aircraft ID],Aircraft!A:A,MasterTable[Night])</f>
        <v>0</v>
      </c>
      <c r="T43" s="33">
        <f>SUMIF(MasterTable[Aircraft ID],Aircraft!A:A,MasterTable[Dual
Given])</f>
        <v>1.2</v>
      </c>
      <c r="U43" s="33">
        <f>SUMIF(MasterTable[Aircraft ID],Aircraft!A:A,MasterTable[INST
(Mil)])</f>
        <v>0</v>
      </c>
      <c r="V43" s="33">
        <f>SUMIF(MasterTable[Aircraft ID],Aircraft!A:A,MasterTable[Actual
Instrument])</f>
        <v>0</v>
      </c>
      <c r="W43" s="33">
        <f>SUMIF(MasterTable[Aircraft ID],Aircraft!A:A,MasterTable[Simulated
Instrument])</f>
        <v>0</v>
      </c>
      <c r="X43" s="33">
        <f>SUMIF(MasterTable[Aircraft ID],Aircraft!A:A,MasterTable[Cross
Country])</f>
        <v>0.9</v>
      </c>
      <c r="Y43" s="33">
        <f>SUMIF(MasterTable[Aircraft ID],Aircraft!A:A,MasterTable[Dual
Received])</f>
        <v>0</v>
      </c>
      <c r="Z43" s="33">
        <f>SUMIF(MasterTable[Aircraft ID],Aircraft!A:A,MasterTable[Formation])</f>
        <v>0</v>
      </c>
      <c r="AA43" s="33">
        <f>SUMIF(MasterTable[Aircraft ID],Aircraft!A:A,MasterTable[Landings
Day])</f>
        <v>2</v>
      </c>
      <c r="AB43" s="33">
        <f>SUMIF(MasterTable[Aircraft ID],Aircraft!A:A,MasterTable[Landings
Night])</f>
        <v>0</v>
      </c>
      <c r="AC43" s="33">
        <f>SUMIF(MasterTable[Aircraft ID],Aircraft!A:A,MasterTable[Landings
Total])</f>
        <v>2</v>
      </c>
      <c r="AD43" s="33">
        <f>SUMIF(MasterTable[Aircraft ID],Aircraft!A:A,MasterTable[Holds])</f>
        <v>0</v>
      </c>
      <c r="AE43" s="33">
        <f>SUMIF(MasterTable[Aircraft ID],Aircraft!$A:$A,Flights!AE:AE)</f>
        <v>0</v>
      </c>
      <c r="AF43" s="33">
        <f>SUMIF(MasterTable[Aircraft ID],Aircraft!$A:$A,MasterTable[ILS])</f>
        <v>0</v>
      </c>
      <c r="AG43" s="33">
        <f>SUMIF(MasterTable[Aircraft ID],Aircraft!$A:$A,MasterTable[LOC])</f>
        <v>0</v>
      </c>
      <c r="AH43" s="33">
        <f>SUMIF(MasterTable[Aircraft ID],Aircraft!$A:$A,MasterTable[VOR/
TCN])</f>
        <v>0</v>
      </c>
      <c r="AI43" s="33">
        <f>SUMIF(MasterTable[Aircraft ID],Aircraft!$A:$A,MasterTable[RNAV])</f>
        <v>0</v>
      </c>
      <c r="AJ43" s="33">
        <f>SUMIF(MasterTable[Aircraft ID],Aircraft!$A:$A,MasterTable[ASR])</f>
        <v>0</v>
      </c>
      <c r="AK43" s="33">
        <f>SUMIF(MasterTable[Aircraft ID],Aircraft!$A:$A,MasterTable[PAR])</f>
        <v>0</v>
      </c>
      <c r="AL43" s="33">
        <f>SUMIF(MasterTable[Aircraft ID],Aircraft!$A:$A,MasterTable[CIRCLE])</f>
        <v>0</v>
      </c>
    </row>
    <row r="44" spans="1:38" x14ac:dyDescent="0.3">
      <c r="A44" s="8" t="s">
        <v>117</v>
      </c>
      <c r="B44" s="8" t="s">
        <v>118</v>
      </c>
      <c r="D44" s="8" t="s">
        <v>119</v>
      </c>
      <c r="E44" s="8" t="s">
        <v>120</v>
      </c>
      <c r="F44" s="8" t="s">
        <v>550</v>
      </c>
      <c r="G44" s="8" t="s">
        <v>13</v>
      </c>
      <c r="H44" s="8" t="s">
        <v>521</v>
      </c>
      <c r="M44" s="33">
        <f>COUNTIF(MasterTable[Aircraft ID],Aircraft!A:A)</f>
        <v>1</v>
      </c>
      <c r="N44" s="34">
        <f>SUMIF(MasterTable[Aircraft ID],Aircraft!A:A,MasterTable[Total
Time])</f>
        <v>0.5</v>
      </c>
      <c r="O44" s="34">
        <f>SUMIF(MasterTable[Aircraft ID],Aircraft!A:A,MasterTable[PIC])</f>
        <v>0</v>
      </c>
      <c r="P44" s="34">
        <f>SUMIF(MasterTable[Aircraft ID],Aircraft!A:A,MasterTable[PRI 
(Mil)])</f>
        <v>0</v>
      </c>
      <c r="Q44" s="33">
        <f>SUMIF(MasterTable[Aircraft ID],Aircraft!A:A,MasterTable[SIC])</f>
        <v>0</v>
      </c>
      <c r="R44" s="33">
        <f>SUMIF(MasterTable[Aircraft ID],Aircraft!A:A,MasterTable[Solo])</f>
        <v>0</v>
      </c>
      <c r="S44" s="33">
        <f>SUMIF(MasterTable[Aircraft ID],Aircraft!A:A,MasterTable[Night])</f>
        <v>0</v>
      </c>
      <c r="T44" s="33">
        <f>SUMIF(MasterTable[Aircraft ID],Aircraft!A:A,MasterTable[Dual
Given])</f>
        <v>0</v>
      </c>
      <c r="U44" s="33">
        <f>SUMIF(MasterTable[Aircraft ID],Aircraft!A:A,MasterTable[INST
(Mil)])</f>
        <v>0</v>
      </c>
      <c r="V44" s="33">
        <f>SUMIF(MasterTable[Aircraft ID],Aircraft!A:A,MasterTable[Actual
Instrument])</f>
        <v>0</v>
      </c>
      <c r="W44" s="33">
        <f>SUMIF(MasterTable[Aircraft ID],Aircraft!A:A,MasterTable[Simulated
Instrument])</f>
        <v>0</v>
      </c>
      <c r="X44" s="33">
        <f>SUMIF(MasterTable[Aircraft ID],Aircraft!A:A,MasterTable[Cross
Country])</f>
        <v>0</v>
      </c>
      <c r="Y44" s="33">
        <f>SUMIF(MasterTable[Aircraft ID],Aircraft!A:A,MasterTable[Dual
Received])</f>
        <v>0.5</v>
      </c>
      <c r="Z44" s="33">
        <f>SUMIF(MasterTable[Aircraft ID],Aircraft!A:A,MasterTable[Formation])</f>
        <v>0</v>
      </c>
      <c r="AA44" s="33">
        <f>SUMIF(MasterTable[Aircraft ID],Aircraft!A:A,MasterTable[Landings
Day])</f>
        <v>1</v>
      </c>
      <c r="AB44" s="33">
        <f>SUMIF(MasterTable[Aircraft ID],Aircraft!A:A,MasterTable[Landings
Night])</f>
        <v>0</v>
      </c>
      <c r="AC44" s="33">
        <f>SUMIF(MasterTable[Aircraft ID],Aircraft!A:A,MasterTable[Landings
Total])</f>
        <v>1</v>
      </c>
      <c r="AD44" s="33">
        <f>SUMIF(MasterTable[Aircraft ID],Aircraft!A:A,MasterTable[Holds])</f>
        <v>0</v>
      </c>
      <c r="AE44" s="33">
        <f>SUMIF(MasterTable[Aircraft ID],Aircraft!$A:$A,Flights!AE:AE)</f>
        <v>0</v>
      </c>
      <c r="AF44" s="33">
        <f>SUMIF(MasterTable[Aircraft ID],Aircraft!$A:$A,MasterTable[ILS])</f>
        <v>0</v>
      </c>
      <c r="AG44" s="33">
        <f>SUMIF(MasterTable[Aircraft ID],Aircraft!$A:$A,MasterTable[LOC])</f>
        <v>0</v>
      </c>
      <c r="AH44" s="33">
        <f>SUMIF(MasterTable[Aircraft ID],Aircraft!$A:$A,MasterTable[VOR/
TCN])</f>
        <v>0</v>
      </c>
      <c r="AI44" s="33">
        <f>SUMIF(MasterTable[Aircraft ID],Aircraft!$A:$A,MasterTable[RNAV])</f>
        <v>0</v>
      </c>
      <c r="AJ44" s="33">
        <f>SUMIF(MasterTable[Aircraft ID],Aircraft!$A:$A,MasterTable[ASR])</f>
        <v>0</v>
      </c>
      <c r="AK44" s="33">
        <f>SUMIF(MasterTable[Aircraft ID],Aircraft!$A:$A,MasterTable[PAR])</f>
        <v>0</v>
      </c>
      <c r="AL44" s="33">
        <f>SUMIF(MasterTable[Aircraft ID],Aircraft!$A:$A,MasterTable[CIRCLE])</f>
        <v>0</v>
      </c>
    </row>
    <row r="45" spans="1:38" x14ac:dyDescent="0.3">
      <c r="A45" s="8" t="s">
        <v>121</v>
      </c>
      <c r="B45" s="8" t="s">
        <v>11</v>
      </c>
      <c r="D45" s="8" t="s">
        <v>12</v>
      </c>
      <c r="E45" s="8" t="s">
        <v>32</v>
      </c>
      <c r="F45" s="8" t="s">
        <v>548</v>
      </c>
      <c r="G45" s="8" t="s">
        <v>13</v>
      </c>
      <c r="H45" s="8" t="s">
        <v>521</v>
      </c>
      <c r="M45" s="33">
        <f>COUNTIF(MasterTable[Aircraft ID],Aircraft!A:A)</f>
        <v>40</v>
      </c>
      <c r="N45" s="34">
        <f>SUMIF(MasterTable[Aircraft ID],Aircraft!A:A,MasterTable[Total
Time])</f>
        <v>43.8</v>
      </c>
      <c r="O45" s="34">
        <f>SUMIF(MasterTable[Aircraft ID],Aircraft!A:A,MasterTable[PIC])</f>
        <v>43.8</v>
      </c>
      <c r="P45" s="34">
        <f>SUMIF(MasterTable[Aircraft ID],Aircraft!A:A,MasterTable[PRI 
(Mil)])</f>
        <v>0</v>
      </c>
      <c r="Q45" s="33">
        <f>SUMIF(MasterTable[Aircraft ID],Aircraft!A:A,MasterTable[SIC])</f>
        <v>0</v>
      </c>
      <c r="R45" s="33">
        <f>SUMIF(MasterTable[Aircraft ID],Aircraft!A:A,MasterTable[Solo])</f>
        <v>0</v>
      </c>
      <c r="S45" s="33">
        <f>SUMIF(MasterTable[Aircraft ID],Aircraft!A:A,MasterTable[Night])</f>
        <v>1.2</v>
      </c>
      <c r="T45" s="33">
        <f>SUMIF(MasterTable[Aircraft ID],Aircraft!A:A,MasterTable[Dual
Given])</f>
        <v>39.4</v>
      </c>
      <c r="U45" s="33">
        <f>SUMIF(MasterTable[Aircraft ID],Aircraft!A:A,MasterTable[INST
(Mil)])</f>
        <v>0</v>
      </c>
      <c r="V45" s="33">
        <f>SUMIF(MasterTable[Aircraft ID],Aircraft!A:A,MasterTable[Actual
Instrument])</f>
        <v>0</v>
      </c>
      <c r="W45" s="33">
        <f>SUMIF(MasterTable[Aircraft ID],Aircraft!A:A,MasterTable[Simulated
Instrument])</f>
        <v>0</v>
      </c>
      <c r="X45" s="33">
        <f>SUMIF(MasterTable[Aircraft ID],Aircraft!A:A,MasterTable[Cross
Country])</f>
        <v>8.3000000000000007</v>
      </c>
      <c r="Y45" s="33">
        <f>SUMIF(MasterTable[Aircraft ID],Aircraft!A:A,MasterTable[Dual
Received])</f>
        <v>0</v>
      </c>
      <c r="Z45" s="33">
        <f>SUMIF(MasterTable[Aircraft ID],Aircraft!A:A,MasterTable[Formation])</f>
        <v>1.2</v>
      </c>
      <c r="AA45" s="33">
        <f>SUMIF(MasterTable[Aircraft ID],Aircraft!A:A,MasterTable[Landings
Day])</f>
        <v>107</v>
      </c>
      <c r="AB45" s="33">
        <f>SUMIF(MasterTable[Aircraft ID],Aircraft!A:A,MasterTable[Landings
Night])</f>
        <v>5</v>
      </c>
      <c r="AC45" s="33">
        <f>SUMIF(MasterTable[Aircraft ID],Aircraft!A:A,MasterTable[Landings
Total])</f>
        <v>112</v>
      </c>
      <c r="AD45" s="33">
        <f>SUMIF(MasterTable[Aircraft ID],Aircraft!A:A,MasterTable[Holds])</f>
        <v>0</v>
      </c>
      <c r="AE45" s="33">
        <f>SUMIF(MasterTable[Aircraft ID],Aircraft!$A:$A,Flights!AE:AE)</f>
        <v>4</v>
      </c>
      <c r="AF45" s="33">
        <f>SUMIF(MasterTable[Aircraft ID],Aircraft!$A:$A,MasterTable[ILS])</f>
        <v>0</v>
      </c>
      <c r="AG45" s="33">
        <f>SUMIF(MasterTable[Aircraft ID],Aircraft!$A:$A,MasterTable[LOC])</f>
        <v>0</v>
      </c>
      <c r="AH45" s="33">
        <f>SUMIF(MasterTable[Aircraft ID],Aircraft!$A:$A,MasterTable[VOR/
TCN])</f>
        <v>0</v>
      </c>
      <c r="AI45" s="33">
        <f>SUMIF(MasterTable[Aircraft ID],Aircraft!$A:$A,MasterTable[RNAV])</f>
        <v>1</v>
      </c>
      <c r="AJ45" s="33">
        <f>SUMIF(MasterTable[Aircraft ID],Aircraft!$A:$A,MasterTable[ASR])</f>
        <v>0</v>
      </c>
      <c r="AK45" s="33">
        <f>SUMIF(MasterTable[Aircraft ID],Aircraft!$A:$A,MasterTable[PAR])</f>
        <v>0</v>
      </c>
      <c r="AL45" s="33">
        <f>SUMIF(MasterTable[Aircraft ID],Aircraft!$A:$A,MasterTable[CIRCLE])</f>
        <v>0</v>
      </c>
    </row>
    <row r="46" spans="1:38" x14ac:dyDescent="0.3">
      <c r="A46" s="8" t="s">
        <v>122</v>
      </c>
      <c r="B46" s="8" t="s">
        <v>123</v>
      </c>
      <c r="D46" s="8" t="s">
        <v>12</v>
      </c>
      <c r="E46" s="8" t="s">
        <v>124</v>
      </c>
      <c r="F46" s="8" t="s">
        <v>551</v>
      </c>
      <c r="G46" s="8" t="s">
        <v>13</v>
      </c>
      <c r="H46" s="8" t="s">
        <v>521</v>
      </c>
      <c r="I46" s="8" t="b">
        <v>1</v>
      </c>
      <c r="K46" s="8" t="b">
        <v>1</v>
      </c>
      <c r="M46" s="33">
        <f>COUNTIF(MasterTable[Aircraft ID],Aircraft!A:A)</f>
        <v>1</v>
      </c>
      <c r="N46" s="34">
        <f>SUMIF(MasterTable[Aircraft ID],Aircraft!A:A,MasterTable[Total
Time])</f>
        <v>0.6</v>
      </c>
      <c r="O46" s="34">
        <f>SUMIF(MasterTable[Aircraft ID],Aircraft!A:A,MasterTable[PIC])</f>
        <v>0.6</v>
      </c>
      <c r="P46" s="34">
        <f>SUMIF(MasterTable[Aircraft ID],Aircraft!A:A,MasterTable[PRI 
(Mil)])</f>
        <v>0</v>
      </c>
      <c r="Q46" s="33">
        <f>SUMIF(MasterTable[Aircraft ID],Aircraft!A:A,MasterTable[SIC])</f>
        <v>0</v>
      </c>
      <c r="R46" s="33">
        <f>SUMIF(MasterTable[Aircraft ID],Aircraft!A:A,MasterTable[Solo])</f>
        <v>0</v>
      </c>
      <c r="S46" s="33">
        <f>SUMIF(MasterTable[Aircraft ID],Aircraft!A:A,MasterTable[Night])</f>
        <v>0</v>
      </c>
      <c r="T46" s="33">
        <f>SUMIF(MasterTable[Aircraft ID],Aircraft!A:A,MasterTable[Dual
Given])</f>
        <v>0</v>
      </c>
      <c r="U46" s="33">
        <f>SUMIF(MasterTable[Aircraft ID],Aircraft!A:A,MasterTable[INST
(Mil)])</f>
        <v>0</v>
      </c>
      <c r="V46" s="33">
        <f>SUMIF(MasterTable[Aircraft ID],Aircraft!A:A,MasterTable[Actual
Instrument])</f>
        <v>0</v>
      </c>
      <c r="W46" s="33">
        <f>SUMIF(MasterTable[Aircraft ID],Aircraft!A:A,MasterTable[Simulated
Instrument])</f>
        <v>0</v>
      </c>
      <c r="X46" s="33">
        <f>SUMIF(MasterTable[Aircraft ID],Aircraft!A:A,MasterTable[Cross
Country])</f>
        <v>0</v>
      </c>
      <c r="Y46" s="33">
        <f>SUMIF(MasterTable[Aircraft ID],Aircraft!A:A,MasterTable[Dual
Received])</f>
        <v>0</v>
      </c>
      <c r="Z46" s="33">
        <f>SUMIF(MasterTable[Aircraft ID],Aircraft!A:A,MasterTable[Formation])</f>
        <v>0</v>
      </c>
      <c r="AA46" s="33">
        <f>SUMIF(MasterTable[Aircraft ID],Aircraft!A:A,MasterTable[Landings
Day])</f>
        <v>2</v>
      </c>
      <c r="AB46" s="33">
        <f>SUMIF(MasterTable[Aircraft ID],Aircraft!A:A,MasterTable[Landings
Night])</f>
        <v>0</v>
      </c>
      <c r="AC46" s="33">
        <f>SUMIF(MasterTable[Aircraft ID],Aircraft!A:A,MasterTable[Landings
Total])</f>
        <v>2</v>
      </c>
      <c r="AD46" s="33">
        <f>SUMIF(MasterTable[Aircraft ID],Aircraft!A:A,MasterTable[Holds])</f>
        <v>0</v>
      </c>
      <c r="AE46" s="33">
        <f>SUMIF(MasterTable[Aircraft ID],Aircraft!$A:$A,Flights!AE:AE)</f>
        <v>0</v>
      </c>
      <c r="AF46" s="33">
        <f>SUMIF(MasterTable[Aircraft ID],Aircraft!$A:$A,MasterTable[ILS])</f>
        <v>0</v>
      </c>
      <c r="AG46" s="33">
        <f>SUMIF(MasterTable[Aircraft ID],Aircraft!$A:$A,MasterTable[LOC])</f>
        <v>0</v>
      </c>
      <c r="AH46" s="33">
        <f>SUMIF(MasterTable[Aircraft ID],Aircraft!$A:$A,MasterTable[VOR/
TCN])</f>
        <v>0</v>
      </c>
      <c r="AI46" s="33">
        <f>SUMIF(MasterTable[Aircraft ID],Aircraft!$A:$A,MasterTable[RNAV])</f>
        <v>0</v>
      </c>
      <c r="AJ46" s="33">
        <f>SUMIF(MasterTable[Aircraft ID],Aircraft!$A:$A,MasterTable[ASR])</f>
        <v>0</v>
      </c>
      <c r="AK46" s="33">
        <f>SUMIF(MasterTable[Aircraft ID],Aircraft!$A:$A,MasterTable[PAR])</f>
        <v>0</v>
      </c>
      <c r="AL46" s="33">
        <f>SUMIF(MasterTable[Aircraft ID],Aircraft!$A:$A,MasterTable[CIRCLE])</f>
        <v>0</v>
      </c>
    </row>
    <row r="47" spans="1:38" x14ac:dyDescent="0.3">
      <c r="A47" s="8" t="s">
        <v>125</v>
      </c>
      <c r="B47" s="8" t="s">
        <v>126</v>
      </c>
      <c r="D47" s="8" t="s">
        <v>127</v>
      </c>
      <c r="E47" s="8" t="s">
        <v>128</v>
      </c>
      <c r="F47" s="8" t="s">
        <v>549</v>
      </c>
      <c r="G47" s="8" t="s">
        <v>13</v>
      </c>
      <c r="H47" s="8" t="s">
        <v>521</v>
      </c>
      <c r="M47" s="33">
        <f>COUNTIF(MasterTable[Aircraft ID],Aircraft!A:A)</f>
        <v>1</v>
      </c>
      <c r="N47" s="34">
        <f>SUMIF(MasterTable[Aircraft ID],Aircraft!A:A,MasterTable[Total
Time])</f>
        <v>0.8</v>
      </c>
      <c r="O47" s="34">
        <f>SUMIF(MasterTable[Aircraft ID],Aircraft!A:A,MasterTable[PIC])</f>
        <v>0.8</v>
      </c>
      <c r="P47" s="34">
        <f>SUMIF(MasterTable[Aircraft ID],Aircraft!A:A,MasterTable[PRI 
(Mil)])</f>
        <v>0</v>
      </c>
      <c r="Q47" s="33">
        <f>SUMIF(MasterTable[Aircraft ID],Aircraft!A:A,MasterTable[SIC])</f>
        <v>0</v>
      </c>
      <c r="R47" s="33">
        <f>SUMIF(MasterTable[Aircraft ID],Aircraft!A:A,MasterTable[Solo])</f>
        <v>0</v>
      </c>
      <c r="S47" s="33">
        <f>SUMIF(MasterTable[Aircraft ID],Aircraft!A:A,MasterTable[Night])</f>
        <v>0</v>
      </c>
      <c r="T47" s="33">
        <f>SUMIF(MasterTable[Aircraft ID],Aircraft!A:A,MasterTable[Dual
Given])</f>
        <v>0.8</v>
      </c>
      <c r="U47" s="33">
        <f>SUMIF(MasterTable[Aircraft ID],Aircraft!A:A,MasterTable[INST
(Mil)])</f>
        <v>0</v>
      </c>
      <c r="V47" s="33">
        <f>SUMIF(MasterTable[Aircraft ID],Aircraft!A:A,MasterTable[Actual
Instrument])</f>
        <v>0</v>
      </c>
      <c r="W47" s="33">
        <f>SUMIF(MasterTable[Aircraft ID],Aircraft!A:A,MasterTable[Simulated
Instrument])</f>
        <v>0</v>
      </c>
      <c r="X47" s="33">
        <f>SUMIF(MasterTable[Aircraft ID],Aircraft!A:A,MasterTable[Cross
Country])</f>
        <v>0</v>
      </c>
      <c r="Y47" s="33">
        <f>SUMIF(MasterTable[Aircraft ID],Aircraft!A:A,MasterTable[Dual
Received])</f>
        <v>0</v>
      </c>
      <c r="Z47" s="33">
        <f>SUMIF(MasterTable[Aircraft ID],Aircraft!A:A,MasterTable[Formation])</f>
        <v>0</v>
      </c>
      <c r="AA47" s="33">
        <f>SUMIF(MasterTable[Aircraft ID],Aircraft!A:A,MasterTable[Landings
Day])</f>
        <v>2</v>
      </c>
      <c r="AB47" s="33">
        <f>SUMIF(MasterTable[Aircraft ID],Aircraft!A:A,MasterTable[Landings
Night])</f>
        <v>0</v>
      </c>
      <c r="AC47" s="33">
        <f>SUMIF(MasterTable[Aircraft ID],Aircraft!A:A,MasterTable[Landings
Total])</f>
        <v>2</v>
      </c>
      <c r="AD47" s="33">
        <f>SUMIF(MasterTable[Aircraft ID],Aircraft!A:A,MasterTable[Holds])</f>
        <v>0</v>
      </c>
      <c r="AE47" s="33">
        <f>SUMIF(MasterTable[Aircraft ID],Aircraft!$A:$A,Flights!AE:AE)</f>
        <v>0</v>
      </c>
      <c r="AF47" s="33">
        <f>SUMIF(MasterTable[Aircraft ID],Aircraft!$A:$A,MasterTable[ILS])</f>
        <v>0</v>
      </c>
      <c r="AG47" s="33">
        <f>SUMIF(MasterTable[Aircraft ID],Aircraft!$A:$A,MasterTable[LOC])</f>
        <v>0</v>
      </c>
      <c r="AH47" s="33">
        <f>SUMIF(MasterTable[Aircraft ID],Aircraft!$A:$A,MasterTable[VOR/
TCN])</f>
        <v>0</v>
      </c>
      <c r="AI47" s="33">
        <f>SUMIF(MasterTable[Aircraft ID],Aircraft!$A:$A,MasterTable[RNAV])</f>
        <v>0</v>
      </c>
      <c r="AJ47" s="33">
        <f>SUMIF(MasterTable[Aircraft ID],Aircraft!$A:$A,MasterTable[ASR])</f>
        <v>0</v>
      </c>
      <c r="AK47" s="33">
        <f>SUMIF(MasterTable[Aircraft ID],Aircraft!$A:$A,MasterTable[PAR])</f>
        <v>0</v>
      </c>
      <c r="AL47" s="33">
        <f>SUMIF(MasterTable[Aircraft ID],Aircraft!$A:$A,MasterTable[CIRCLE])</f>
        <v>0</v>
      </c>
    </row>
    <row r="48" spans="1:38" x14ac:dyDescent="0.3">
      <c r="A48" s="8" t="s">
        <v>129</v>
      </c>
      <c r="B48" s="8" t="s">
        <v>130</v>
      </c>
      <c r="D48" s="8" t="s">
        <v>131</v>
      </c>
      <c r="E48" s="8" t="s">
        <v>132</v>
      </c>
      <c r="F48" s="8" t="s">
        <v>549</v>
      </c>
      <c r="G48" s="8" t="s">
        <v>13</v>
      </c>
      <c r="H48" s="8" t="s">
        <v>521</v>
      </c>
      <c r="M48" s="33">
        <f>COUNTIF(MasterTable[Aircraft ID],Aircraft!A:A)</f>
        <v>3</v>
      </c>
      <c r="N48" s="34">
        <f>SUMIF(MasterTable[Aircraft ID],Aircraft!A:A,MasterTable[Total
Time])</f>
        <v>2.9000000000000004</v>
      </c>
      <c r="O48" s="34">
        <f>SUMIF(MasterTable[Aircraft ID],Aircraft!A:A,MasterTable[PIC])</f>
        <v>2.9000000000000004</v>
      </c>
      <c r="P48" s="34">
        <f>SUMIF(MasterTable[Aircraft ID],Aircraft!A:A,MasterTable[PRI 
(Mil)])</f>
        <v>0</v>
      </c>
      <c r="Q48" s="33">
        <f>SUMIF(MasterTable[Aircraft ID],Aircraft!A:A,MasterTable[SIC])</f>
        <v>0</v>
      </c>
      <c r="R48" s="33">
        <f>SUMIF(MasterTable[Aircraft ID],Aircraft!A:A,MasterTable[Solo])</f>
        <v>0</v>
      </c>
      <c r="S48" s="33">
        <f>SUMIF(MasterTable[Aircraft ID],Aircraft!A:A,MasterTable[Night])</f>
        <v>0</v>
      </c>
      <c r="T48" s="33">
        <f>SUMIF(MasterTable[Aircraft ID],Aircraft!A:A,MasterTable[Dual
Given])</f>
        <v>0</v>
      </c>
      <c r="U48" s="33">
        <f>SUMIF(MasterTable[Aircraft ID],Aircraft!A:A,MasterTable[INST
(Mil)])</f>
        <v>0</v>
      </c>
      <c r="V48" s="33">
        <f>SUMIF(MasterTable[Aircraft ID],Aircraft!A:A,MasterTable[Actual
Instrument])</f>
        <v>0</v>
      </c>
      <c r="W48" s="33">
        <f>SUMIF(MasterTable[Aircraft ID],Aircraft!A:A,MasterTable[Simulated
Instrument])</f>
        <v>0</v>
      </c>
      <c r="X48" s="33">
        <f>SUMIF(MasterTable[Aircraft ID],Aircraft!A:A,MasterTable[Cross
Country])</f>
        <v>0</v>
      </c>
      <c r="Y48" s="33">
        <f>SUMIF(MasterTable[Aircraft ID],Aircraft!A:A,MasterTable[Dual
Received])</f>
        <v>1.8</v>
      </c>
      <c r="Z48" s="33">
        <f>SUMIF(MasterTable[Aircraft ID],Aircraft!A:A,MasterTable[Formation])</f>
        <v>0</v>
      </c>
      <c r="AA48" s="33">
        <f>SUMIF(MasterTable[Aircraft ID],Aircraft!A:A,MasterTable[Landings
Day])</f>
        <v>5</v>
      </c>
      <c r="AB48" s="33">
        <f>SUMIF(MasterTable[Aircraft ID],Aircraft!A:A,MasterTable[Landings
Night])</f>
        <v>0</v>
      </c>
      <c r="AC48" s="33">
        <f>SUMIF(MasterTable[Aircraft ID],Aircraft!A:A,MasterTable[Landings
Total])</f>
        <v>5</v>
      </c>
      <c r="AD48" s="33">
        <f>SUMIF(MasterTable[Aircraft ID],Aircraft!A:A,MasterTable[Holds])</f>
        <v>0</v>
      </c>
      <c r="AE48" s="33">
        <f>SUMIF(MasterTable[Aircraft ID],Aircraft!$A:$A,Flights!AE:AE)</f>
        <v>0</v>
      </c>
      <c r="AF48" s="33">
        <f>SUMIF(MasterTable[Aircraft ID],Aircraft!$A:$A,MasterTable[ILS])</f>
        <v>0</v>
      </c>
      <c r="AG48" s="33">
        <f>SUMIF(MasterTable[Aircraft ID],Aircraft!$A:$A,MasterTable[LOC])</f>
        <v>0</v>
      </c>
      <c r="AH48" s="33">
        <f>SUMIF(MasterTable[Aircraft ID],Aircraft!$A:$A,MasterTable[VOR/
TCN])</f>
        <v>0</v>
      </c>
      <c r="AI48" s="33">
        <f>SUMIF(MasterTable[Aircraft ID],Aircraft!$A:$A,MasterTable[RNAV])</f>
        <v>0</v>
      </c>
      <c r="AJ48" s="33">
        <f>SUMIF(MasterTable[Aircraft ID],Aircraft!$A:$A,MasterTable[ASR])</f>
        <v>0</v>
      </c>
      <c r="AK48" s="33">
        <f>SUMIF(MasterTable[Aircraft ID],Aircraft!$A:$A,MasterTable[PAR])</f>
        <v>0</v>
      </c>
      <c r="AL48" s="33">
        <f>SUMIF(MasterTable[Aircraft ID],Aircraft!$A:$A,MasterTable[CIRCLE])</f>
        <v>0</v>
      </c>
    </row>
    <row r="49" spans="1:38" x14ac:dyDescent="0.3">
      <c r="A49" s="8" t="s">
        <v>133</v>
      </c>
      <c r="B49" s="8" t="s">
        <v>38</v>
      </c>
      <c r="D49" s="8" t="s">
        <v>79</v>
      </c>
      <c r="E49" s="8" t="s">
        <v>134</v>
      </c>
      <c r="F49" s="8" t="s">
        <v>551</v>
      </c>
      <c r="G49" s="8" t="s">
        <v>35</v>
      </c>
      <c r="H49" s="8" t="s">
        <v>522</v>
      </c>
      <c r="L49" s="8" t="b">
        <v>1</v>
      </c>
      <c r="M49" s="33">
        <f>COUNTIF(MasterTable[Aircraft ID],Aircraft!A:A)</f>
        <v>4</v>
      </c>
      <c r="N49" s="34">
        <f>SUMIF(MasterTable[Aircraft ID],Aircraft!A:A,MasterTable[Total
Time])</f>
        <v>5.0999999999999996</v>
      </c>
      <c r="O49" s="34">
        <f>SUMIF(MasterTable[Aircraft ID],Aircraft!A:A,MasterTable[PIC])</f>
        <v>0</v>
      </c>
      <c r="P49" s="34">
        <f>SUMIF(MasterTable[Aircraft ID],Aircraft!A:A,MasterTable[PRI 
(Mil)])</f>
        <v>0</v>
      </c>
      <c r="Q49" s="33">
        <f>SUMIF(MasterTable[Aircraft ID],Aircraft!A:A,MasterTable[SIC])</f>
        <v>5.0999999999999996</v>
      </c>
      <c r="R49" s="33">
        <f>SUMIF(MasterTable[Aircraft ID],Aircraft!A:A,MasterTable[Solo])</f>
        <v>0</v>
      </c>
      <c r="S49" s="33">
        <f>SUMIF(MasterTable[Aircraft ID],Aircraft!A:A,MasterTable[Night])</f>
        <v>1.5</v>
      </c>
      <c r="T49" s="33">
        <f>SUMIF(MasterTable[Aircraft ID],Aircraft!A:A,MasterTable[Dual
Given])</f>
        <v>0</v>
      </c>
      <c r="U49" s="33">
        <f>SUMIF(MasterTable[Aircraft ID],Aircraft!A:A,MasterTable[INST
(Mil)])</f>
        <v>0</v>
      </c>
      <c r="V49" s="33">
        <f>SUMIF(MasterTable[Aircraft ID],Aircraft!A:A,MasterTable[Actual
Instrument])</f>
        <v>0</v>
      </c>
      <c r="W49" s="33">
        <f>SUMIF(MasterTable[Aircraft ID],Aircraft!A:A,MasterTable[Simulated
Instrument])</f>
        <v>0</v>
      </c>
      <c r="X49" s="33">
        <f>SUMIF(MasterTable[Aircraft ID],Aircraft!A:A,MasterTable[Cross
Country])</f>
        <v>0</v>
      </c>
      <c r="Y49" s="33">
        <f>SUMIF(MasterTable[Aircraft ID],Aircraft!A:A,MasterTable[Dual
Received])</f>
        <v>0</v>
      </c>
      <c r="Z49" s="33">
        <f>SUMIF(MasterTable[Aircraft ID],Aircraft!A:A,MasterTable[Formation])</f>
        <v>2.4</v>
      </c>
      <c r="AA49" s="33">
        <f>SUMIF(MasterTable[Aircraft ID],Aircraft!A:A,MasterTable[Landings
Day])</f>
        <v>4</v>
      </c>
      <c r="AB49" s="33">
        <f>SUMIF(MasterTable[Aircraft ID],Aircraft!A:A,MasterTable[Landings
Night])</f>
        <v>1</v>
      </c>
      <c r="AC49" s="33">
        <f>SUMIF(MasterTable[Aircraft ID],Aircraft!A:A,MasterTable[Landings
Total])</f>
        <v>5</v>
      </c>
      <c r="AD49" s="33">
        <f>SUMIF(MasterTable[Aircraft ID],Aircraft!A:A,MasterTable[Holds])</f>
        <v>0</v>
      </c>
      <c r="AE49" s="33">
        <f>SUMIF(MasterTable[Aircraft ID],Aircraft!$A:$A,Flights!AE:AE)</f>
        <v>0</v>
      </c>
      <c r="AF49" s="33">
        <f>SUMIF(MasterTable[Aircraft ID],Aircraft!$A:$A,MasterTable[ILS])</f>
        <v>0</v>
      </c>
      <c r="AG49" s="33">
        <f>SUMIF(MasterTable[Aircraft ID],Aircraft!$A:$A,MasterTable[LOC])</f>
        <v>0</v>
      </c>
      <c r="AH49" s="33">
        <f>SUMIF(MasterTable[Aircraft ID],Aircraft!$A:$A,MasterTable[VOR/
TCN])</f>
        <v>0</v>
      </c>
      <c r="AI49" s="33">
        <f>SUMIF(MasterTable[Aircraft ID],Aircraft!$A:$A,MasterTable[RNAV])</f>
        <v>0</v>
      </c>
      <c r="AJ49" s="33">
        <f>SUMIF(MasterTable[Aircraft ID],Aircraft!$A:$A,MasterTable[ASR])</f>
        <v>0</v>
      </c>
      <c r="AK49" s="33">
        <f>SUMIF(MasterTable[Aircraft ID],Aircraft!$A:$A,MasterTable[PAR])</f>
        <v>0</v>
      </c>
      <c r="AL49" s="33">
        <f>SUMIF(MasterTable[Aircraft ID],Aircraft!$A:$A,MasterTable[CIRCLE])</f>
        <v>0</v>
      </c>
    </row>
    <row r="50" spans="1:38" x14ac:dyDescent="0.3">
      <c r="A50" s="8" t="s">
        <v>135</v>
      </c>
      <c r="B50" s="8" t="s">
        <v>136</v>
      </c>
      <c r="D50" s="8" t="s">
        <v>137</v>
      </c>
      <c r="E50" s="8" t="s">
        <v>138</v>
      </c>
      <c r="F50" s="8" t="s">
        <v>549</v>
      </c>
      <c r="G50" s="8" t="s">
        <v>13</v>
      </c>
      <c r="H50" s="8" t="s">
        <v>521</v>
      </c>
      <c r="M50" s="33">
        <f>COUNTIF(MasterTable[Aircraft ID],Aircraft!A:A)</f>
        <v>1</v>
      </c>
      <c r="N50" s="34">
        <f>SUMIF(MasterTable[Aircraft ID],Aircraft!A:A,MasterTable[Total
Time])</f>
        <v>0.6</v>
      </c>
      <c r="O50" s="34">
        <f>SUMIF(MasterTable[Aircraft ID],Aircraft!A:A,MasterTable[PIC])</f>
        <v>0.6</v>
      </c>
      <c r="P50" s="34">
        <f>SUMIF(MasterTable[Aircraft ID],Aircraft!A:A,MasterTable[PRI 
(Mil)])</f>
        <v>0</v>
      </c>
      <c r="Q50" s="33">
        <f>SUMIF(MasterTable[Aircraft ID],Aircraft!A:A,MasterTable[SIC])</f>
        <v>0</v>
      </c>
      <c r="R50" s="33">
        <f>SUMIF(MasterTable[Aircraft ID],Aircraft!A:A,MasterTable[Solo])</f>
        <v>0</v>
      </c>
      <c r="S50" s="33">
        <f>SUMIF(MasterTable[Aircraft ID],Aircraft!A:A,MasterTable[Night])</f>
        <v>0</v>
      </c>
      <c r="T50" s="33">
        <f>SUMIF(MasterTable[Aircraft ID],Aircraft!A:A,MasterTable[Dual
Given])</f>
        <v>0</v>
      </c>
      <c r="U50" s="33">
        <f>SUMIF(MasterTable[Aircraft ID],Aircraft!A:A,MasterTable[INST
(Mil)])</f>
        <v>0</v>
      </c>
      <c r="V50" s="33">
        <f>SUMIF(MasterTable[Aircraft ID],Aircraft!A:A,MasterTable[Actual
Instrument])</f>
        <v>0</v>
      </c>
      <c r="W50" s="33">
        <f>SUMIF(MasterTable[Aircraft ID],Aircraft!A:A,MasterTable[Simulated
Instrument])</f>
        <v>0</v>
      </c>
      <c r="X50" s="33">
        <f>SUMIF(MasterTable[Aircraft ID],Aircraft!A:A,MasterTable[Cross
Country])</f>
        <v>0</v>
      </c>
      <c r="Y50" s="33">
        <f>SUMIF(MasterTable[Aircraft ID],Aircraft!A:A,MasterTable[Dual
Received])</f>
        <v>0</v>
      </c>
      <c r="Z50" s="33">
        <f>SUMIF(MasterTable[Aircraft ID],Aircraft!A:A,MasterTable[Formation])</f>
        <v>0</v>
      </c>
      <c r="AA50" s="33">
        <f>SUMIF(MasterTable[Aircraft ID],Aircraft!A:A,MasterTable[Landings
Day])</f>
        <v>0</v>
      </c>
      <c r="AB50" s="33">
        <f>SUMIF(MasterTable[Aircraft ID],Aircraft!A:A,MasterTable[Landings
Night])</f>
        <v>0</v>
      </c>
      <c r="AC50" s="33">
        <f>SUMIF(MasterTable[Aircraft ID],Aircraft!A:A,MasterTable[Landings
Total])</f>
        <v>0</v>
      </c>
      <c r="AD50" s="33">
        <f>SUMIF(MasterTable[Aircraft ID],Aircraft!A:A,MasterTable[Holds])</f>
        <v>0</v>
      </c>
      <c r="AE50" s="33">
        <f>SUMIF(MasterTable[Aircraft ID],Aircraft!$A:$A,Flights!AE:AE)</f>
        <v>0</v>
      </c>
      <c r="AF50" s="33">
        <f>SUMIF(MasterTable[Aircraft ID],Aircraft!$A:$A,MasterTable[ILS])</f>
        <v>0</v>
      </c>
      <c r="AG50" s="33">
        <f>SUMIF(MasterTable[Aircraft ID],Aircraft!$A:$A,MasterTable[LOC])</f>
        <v>0</v>
      </c>
      <c r="AH50" s="33">
        <f>SUMIF(MasterTable[Aircraft ID],Aircraft!$A:$A,MasterTable[VOR/
TCN])</f>
        <v>0</v>
      </c>
      <c r="AI50" s="33">
        <f>SUMIF(MasterTable[Aircraft ID],Aircraft!$A:$A,MasterTable[RNAV])</f>
        <v>0</v>
      </c>
      <c r="AJ50" s="33">
        <f>SUMIF(MasterTable[Aircraft ID],Aircraft!$A:$A,MasterTable[ASR])</f>
        <v>0</v>
      </c>
      <c r="AK50" s="33">
        <f>SUMIF(MasterTable[Aircraft ID],Aircraft!$A:$A,MasterTable[PAR])</f>
        <v>0</v>
      </c>
      <c r="AL50" s="33">
        <f>SUMIF(MasterTable[Aircraft ID],Aircraft!$A:$A,MasterTable[CIRCLE])</f>
        <v>0</v>
      </c>
    </row>
    <row r="51" spans="1:38" x14ac:dyDescent="0.3">
      <c r="A51" s="8" t="s">
        <v>139</v>
      </c>
      <c r="B51" s="8" t="s">
        <v>140</v>
      </c>
      <c r="D51" s="8" t="s">
        <v>141</v>
      </c>
      <c r="E51" s="8" t="s">
        <v>142</v>
      </c>
      <c r="F51" s="8" t="s">
        <v>549</v>
      </c>
      <c r="G51" s="8" t="s">
        <v>13</v>
      </c>
      <c r="H51" s="8" t="s">
        <v>521</v>
      </c>
      <c r="M51" s="33">
        <f>COUNTIF(MasterTable[Aircraft ID],Aircraft!A:A)</f>
        <v>91</v>
      </c>
      <c r="N51" s="34">
        <f>SUMIF(MasterTable[Aircraft ID],Aircraft!A:A,MasterTable[Total
Time])</f>
        <v>68.2</v>
      </c>
      <c r="O51" s="34">
        <f>SUMIF(MasterTable[Aircraft ID],Aircraft!A:A,MasterTable[PIC])</f>
        <v>68.2</v>
      </c>
      <c r="P51" s="34">
        <f>SUMIF(MasterTable[Aircraft ID],Aircraft!A:A,MasterTable[PRI 
(Mil)])</f>
        <v>0</v>
      </c>
      <c r="Q51" s="33">
        <f>SUMIF(MasterTable[Aircraft ID],Aircraft!A:A,MasterTable[SIC])</f>
        <v>0</v>
      </c>
      <c r="R51" s="33">
        <f>SUMIF(MasterTable[Aircraft ID],Aircraft!A:A,MasterTable[Solo])</f>
        <v>0</v>
      </c>
      <c r="S51" s="33">
        <f>SUMIF(MasterTable[Aircraft ID],Aircraft!A:A,MasterTable[Night])</f>
        <v>0</v>
      </c>
      <c r="T51" s="33">
        <f>SUMIF(MasterTable[Aircraft ID],Aircraft!A:A,MasterTable[Dual
Given])</f>
        <v>0</v>
      </c>
      <c r="U51" s="33">
        <f>SUMIF(MasterTable[Aircraft ID],Aircraft!A:A,MasterTable[INST
(Mil)])</f>
        <v>0</v>
      </c>
      <c r="V51" s="33">
        <f>SUMIF(MasterTable[Aircraft ID],Aircraft!A:A,MasterTable[Actual
Instrument])</f>
        <v>0</v>
      </c>
      <c r="W51" s="33">
        <f>SUMIF(MasterTable[Aircraft ID],Aircraft!A:A,MasterTable[Simulated
Instrument])</f>
        <v>0</v>
      </c>
      <c r="X51" s="33">
        <f>SUMIF(MasterTable[Aircraft ID],Aircraft!A:A,MasterTable[Cross
Country])</f>
        <v>14.4</v>
      </c>
      <c r="Y51" s="33">
        <f>SUMIF(MasterTable[Aircraft ID],Aircraft!A:A,MasterTable[Dual
Received])</f>
        <v>0</v>
      </c>
      <c r="Z51" s="33">
        <f>SUMIF(MasterTable[Aircraft ID],Aircraft!A:A,MasterTable[Formation])</f>
        <v>18.2</v>
      </c>
      <c r="AA51" s="33">
        <f>SUMIF(MasterTable[Aircraft ID],Aircraft!A:A,MasterTable[Landings
Day])</f>
        <v>143</v>
      </c>
      <c r="AB51" s="33">
        <f>SUMIF(MasterTable[Aircraft ID],Aircraft!A:A,MasterTable[Landings
Night])</f>
        <v>0</v>
      </c>
      <c r="AC51" s="33">
        <f>SUMIF(MasterTable[Aircraft ID],Aircraft!A:A,MasterTable[Landings
Total])</f>
        <v>143</v>
      </c>
      <c r="AD51" s="33">
        <f>SUMIF(MasterTable[Aircraft ID],Aircraft!A:A,MasterTable[Holds])</f>
        <v>0</v>
      </c>
      <c r="AE51" s="33">
        <f>SUMIF(MasterTable[Aircraft ID],Aircraft!$A:$A,Flights!AE:AE)</f>
        <v>4</v>
      </c>
      <c r="AF51" s="33">
        <f>SUMIF(MasterTable[Aircraft ID],Aircraft!$A:$A,MasterTable[ILS])</f>
        <v>0</v>
      </c>
      <c r="AG51" s="33">
        <f>SUMIF(MasterTable[Aircraft ID],Aircraft!$A:$A,MasterTable[LOC])</f>
        <v>0</v>
      </c>
      <c r="AH51" s="33">
        <f>SUMIF(MasterTable[Aircraft ID],Aircraft!$A:$A,MasterTable[VOR/
TCN])</f>
        <v>0</v>
      </c>
      <c r="AI51" s="33">
        <f>SUMIF(MasterTable[Aircraft ID],Aircraft!$A:$A,MasterTable[RNAV])</f>
        <v>0</v>
      </c>
      <c r="AJ51" s="33">
        <f>SUMIF(MasterTable[Aircraft ID],Aircraft!$A:$A,MasterTable[ASR])</f>
        <v>0</v>
      </c>
      <c r="AK51" s="33">
        <f>SUMIF(MasterTable[Aircraft ID],Aircraft!$A:$A,MasterTable[PAR])</f>
        <v>0</v>
      </c>
      <c r="AL51" s="33">
        <f>SUMIF(MasterTable[Aircraft ID],Aircraft!$A:$A,MasterTable[CIRCLE])</f>
        <v>0</v>
      </c>
    </row>
    <row r="52" spans="1:38" x14ac:dyDescent="0.3">
      <c r="A52" s="8" t="s">
        <v>143</v>
      </c>
      <c r="B52" s="8" t="s">
        <v>144</v>
      </c>
      <c r="D52" s="8" t="s">
        <v>127</v>
      </c>
      <c r="E52" s="8" t="s">
        <v>145</v>
      </c>
      <c r="F52" s="8" t="s">
        <v>549</v>
      </c>
      <c r="G52" s="8" t="s">
        <v>13</v>
      </c>
      <c r="H52" s="8" t="s">
        <v>521</v>
      </c>
      <c r="M52" s="33">
        <f>COUNTIF(MasterTable[Aircraft ID],Aircraft!A:A)</f>
        <v>1</v>
      </c>
      <c r="N52" s="34">
        <f>SUMIF(MasterTable[Aircraft ID],Aircraft!A:A,MasterTable[Total
Time])</f>
        <v>0.4</v>
      </c>
      <c r="O52" s="34">
        <f>SUMIF(MasterTable[Aircraft ID],Aircraft!A:A,MasterTable[PIC])</f>
        <v>0.4</v>
      </c>
      <c r="P52" s="34">
        <f>SUMIF(MasterTable[Aircraft ID],Aircraft!A:A,MasterTable[PRI 
(Mil)])</f>
        <v>0</v>
      </c>
      <c r="Q52" s="33">
        <f>SUMIF(MasterTable[Aircraft ID],Aircraft!A:A,MasterTable[SIC])</f>
        <v>0</v>
      </c>
      <c r="R52" s="33">
        <f>SUMIF(MasterTable[Aircraft ID],Aircraft!A:A,MasterTable[Solo])</f>
        <v>0</v>
      </c>
      <c r="S52" s="33">
        <f>SUMIF(MasterTable[Aircraft ID],Aircraft!A:A,MasterTable[Night])</f>
        <v>0</v>
      </c>
      <c r="T52" s="33">
        <f>SUMIF(MasterTable[Aircraft ID],Aircraft!A:A,MasterTable[Dual
Given])</f>
        <v>0</v>
      </c>
      <c r="U52" s="33">
        <f>SUMIF(MasterTable[Aircraft ID],Aircraft!A:A,MasterTable[INST
(Mil)])</f>
        <v>0</v>
      </c>
      <c r="V52" s="33">
        <f>SUMIF(MasterTable[Aircraft ID],Aircraft!A:A,MasterTable[Actual
Instrument])</f>
        <v>0</v>
      </c>
      <c r="W52" s="33">
        <f>SUMIF(MasterTable[Aircraft ID],Aircraft!A:A,MasterTable[Simulated
Instrument])</f>
        <v>0</v>
      </c>
      <c r="X52" s="33">
        <f>SUMIF(MasterTable[Aircraft ID],Aircraft!A:A,MasterTable[Cross
Country])</f>
        <v>0.4</v>
      </c>
      <c r="Y52" s="33">
        <f>SUMIF(MasterTable[Aircraft ID],Aircraft!A:A,MasterTable[Dual
Received])</f>
        <v>0</v>
      </c>
      <c r="Z52" s="33">
        <f>SUMIF(MasterTable[Aircraft ID],Aircraft!A:A,MasterTable[Formation])</f>
        <v>0</v>
      </c>
      <c r="AA52" s="33">
        <f>SUMIF(MasterTable[Aircraft ID],Aircraft!A:A,MasterTable[Landings
Day])</f>
        <v>0</v>
      </c>
      <c r="AB52" s="33">
        <f>SUMIF(MasterTable[Aircraft ID],Aircraft!A:A,MasterTable[Landings
Night])</f>
        <v>0</v>
      </c>
      <c r="AC52" s="33">
        <f>SUMIF(MasterTable[Aircraft ID],Aircraft!A:A,MasterTable[Landings
Total])</f>
        <v>0</v>
      </c>
      <c r="AD52" s="33">
        <f>SUMIF(MasterTable[Aircraft ID],Aircraft!A:A,MasterTable[Holds])</f>
        <v>0</v>
      </c>
      <c r="AE52" s="33">
        <f>SUMIF(MasterTable[Aircraft ID],Aircraft!$A:$A,Flights!AE:AE)</f>
        <v>0</v>
      </c>
      <c r="AF52" s="33">
        <f>SUMIF(MasterTable[Aircraft ID],Aircraft!$A:$A,MasterTable[ILS])</f>
        <v>0</v>
      </c>
      <c r="AG52" s="33">
        <f>SUMIF(MasterTable[Aircraft ID],Aircraft!$A:$A,MasterTable[LOC])</f>
        <v>0</v>
      </c>
      <c r="AH52" s="33">
        <f>SUMIF(MasterTable[Aircraft ID],Aircraft!$A:$A,MasterTable[VOR/
TCN])</f>
        <v>0</v>
      </c>
      <c r="AI52" s="33">
        <f>SUMIF(MasterTable[Aircraft ID],Aircraft!$A:$A,MasterTable[RNAV])</f>
        <v>0</v>
      </c>
      <c r="AJ52" s="33">
        <f>SUMIF(MasterTable[Aircraft ID],Aircraft!$A:$A,MasterTable[ASR])</f>
        <v>0</v>
      </c>
      <c r="AK52" s="33">
        <f>SUMIF(MasterTable[Aircraft ID],Aircraft!$A:$A,MasterTable[PAR])</f>
        <v>0</v>
      </c>
      <c r="AL52" s="33">
        <f>SUMIF(MasterTable[Aircraft ID],Aircraft!$A:$A,MasterTable[CIRCLE])</f>
        <v>0</v>
      </c>
    </row>
    <row r="53" spans="1:38" x14ac:dyDescent="0.3">
      <c r="A53" s="8" t="s">
        <v>146</v>
      </c>
      <c r="B53" s="8" t="s">
        <v>38</v>
      </c>
      <c r="D53" s="8" t="s">
        <v>79</v>
      </c>
      <c r="E53" s="8" t="s">
        <v>80</v>
      </c>
      <c r="F53" s="8" t="s">
        <v>551</v>
      </c>
      <c r="G53" s="8" t="s">
        <v>35</v>
      </c>
      <c r="H53" s="8" t="s">
        <v>522</v>
      </c>
      <c r="L53" s="8" t="b">
        <v>1</v>
      </c>
      <c r="M53" s="33">
        <f>COUNTIF(MasterTable[Aircraft ID],Aircraft!A:A)</f>
        <v>5</v>
      </c>
      <c r="N53" s="34">
        <f>SUMIF(MasterTable[Aircraft ID],Aircraft!A:A,MasterTable[Total
Time])</f>
        <v>8</v>
      </c>
      <c r="O53" s="34">
        <f>SUMIF(MasterTable[Aircraft ID],Aircraft!A:A,MasterTable[PIC])</f>
        <v>0</v>
      </c>
      <c r="P53" s="34">
        <f>SUMIF(MasterTable[Aircraft ID],Aircraft!A:A,MasterTable[PRI 
(Mil)])</f>
        <v>0</v>
      </c>
      <c r="Q53" s="33">
        <f>SUMIF(MasterTable[Aircraft ID],Aircraft!A:A,MasterTable[SIC])</f>
        <v>8</v>
      </c>
      <c r="R53" s="33">
        <f>SUMIF(MasterTable[Aircraft ID],Aircraft!A:A,MasterTable[Solo])</f>
        <v>0</v>
      </c>
      <c r="S53" s="33">
        <f>SUMIF(MasterTable[Aircraft ID],Aircraft!A:A,MasterTable[Night])</f>
        <v>0</v>
      </c>
      <c r="T53" s="33">
        <f>SUMIF(MasterTable[Aircraft ID],Aircraft!A:A,MasterTable[Dual
Given])</f>
        <v>0</v>
      </c>
      <c r="U53" s="33">
        <f>SUMIF(MasterTable[Aircraft ID],Aircraft!A:A,MasterTable[INST
(Mil)])</f>
        <v>0</v>
      </c>
      <c r="V53" s="33">
        <f>SUMIF(MasterTable[Aircraft ID],Aircraft!A:A,MasterTable[Actual
Instrument])</f>
        <v>0</v>
      </c>
      <c r="W53" s="33">
        <f>SUMIF(MasterTable[Aircraft ID],Aircraft!A:A,MasterTable[Simulated
Instrument])</f>
        <v>0</v>
      </c>
      <c r="X53" s="33">
        <f>SUMIF(MasterTable[Aircraft ID],Aircraft!A:A,MasterTable[Cross
Country])</f>
        <v>1.4</v>
      </c>
      <c r="Y53" s="33">
        <f>SUMIF(MasterTable[Aircraft ID],Aircraft!A:A,MasterTable[Dual
Received])</f>
        <v>0</v>
      </c>
      <c r="Z53" s="33">
        <f>SUMIF(MasterTable[Aircraft ID],Aircraft!A:A,MasterTable[Formation])</f>
        <v>4.7</v>
      </c>
      <c r="AA53" s="33">
        <f>SUMIF(MasterTable[Aircraft ID],Aircraft!A:A,MasterTable[Landings
Day])</f>
        <v>4</v>
      </c>
      <c r="AB53" s="33">
        <f>SUMIF(MasterTable[Aircraft ID],Aircraft!A:A,MasterTable[Landings
Night])</f>
        <v>0</v>
      </c>
      <c r="AC53" s="33">
        <f>SUMIF(MasterTable[Aircraft ID],Aircraft!A:A,MasterTable[Landings
Total])</f>
        <v>4</v>
      </c>
      <c r="AD53" s="33">
        <f>SUMIF(MasterTable[Aircraft ID],Aircraft!A:A,MasterTable[Holds])</f>
        <v>0</v>
      </c>
      <c r="AE53" s="33">
        <f>SUMIF(MasterTable[Aircraft ID],Aircraft!$A:$A,Flights!AE:AE)</f>
        <v>0</v>
      </c>
      <c r="AF53" s="33">
        <f>SUMIF(MasterTable[Aircraft ID],Aircraft!$A:$A,MasterTable[ILS])</f>
        <v>0</v>
      </c>
      <c r="AG53" s="33">
        <f>SUMIF(MasterTable[Aircraft ID],Aircraft!$A:$A,MasterTable[LOC])</f>
        <v>0</v>
      </c>
      <c r="AH53" s="33">
        <f>SUMIF(MasterTable[Aircraft ID],Aircraft!$A:$A,MasterTable[VOR/
TCN])</f>
        <v>0</v>
      </c>
      <c r="AI53" s="33">
        <f>SUMIF(MasterTable[Aircraft ID],Aircraft!$A:$A,MasterTable[RNAV])</f>
        <v>0</v>
      </c>
      <c r="AJ53" s="33">
        <f>SUMIF(MasterTable[Aircraft ID],Aircraft!$A:$A,MasterTable[ASR])</f>
        <v>0</v>
      </c>
      <c r="AK53" s="33">
        <f>SUMIF(MasterTable[Aircraft ID],Aircraft!$A:$A,MasterTable[PAR])</f>
        <v>0</v>
      </c>
      <c r="AL53" s="33">
        <f>SUMIF(MasterTable[Aircraft ID],Aircraft!$A:$A,MasterTable[CIRCLE])</f>
        <v>0</v>
      </c>
    </row>
    <row r="54" spans="1:38" x14ac:dyDescent="0.3">
      <c r="A54" s="8" t="s">
        <v>147</v>
      </c>
      <c r="B54" s="8" t="s">
        <v>148</v>
      </c>
      <c r="D54" s="8" t="s">
        <v>149</v>
      </c>
      <c r="E54" s="8" t="s">
        <v>149</v>
      </c>
      <c r="F54" s="8" t="s">
        <v>551</v>
      </c>
      <c r="G54" s="8" t="s">
        <v>13</v>
      </c>
      <c r="H54" s="8" t="s">
        <v>521</v>
      </c>
      <c r="M54" s="33">
        <f>COUNTIF(MasterTable[Aircraft ID],Aircraft!A:A)</f>
        <v>1</v>
      </c>
      <c r="N54" s="34">
        <f>SUMIF(MasterTable[Aircraft ID],Aircraft!A:A,MasterTable[Total
Time])</f>
        <v>0.5</v>
      </c>
      <c r="O54" s="34">
        <f>SUMIF(MasterTable[Aircraft ID],Aircraft!A:A,MasterTable[PIC])</f>
        <v>0.5</v>
      </c>
      <c r="P54" s="34">
        <f>SUMIF(MasterTable[Aircraft ID],Aircraft!A:A,MasterTable[PRI 
(Mil)])</f>
        <v>0</v>
      </c>
      <c r="Q54" s="33">
        <f>SUMIF(MasterTable[Aircraft ID],Aircraft!A:A,MasterTable[SIC])</f>
        <v>0</v>
      </c>
      <c r="R54" s="33">
        <f>SUMIF(MasterTable[Aircraft ID],Aircraft!A:A,MasterTable[Solo])</f>
        <v>0</v>
      </c>
      <c r="S54" s="33">
        <f>SUMIF(MasterTable[Aircraft ID],Aircraft!A:A,MasterTable[Night])</f>
        <v>0</v>
      </c>
      <c r="T54" s="33">
        <f>SUMIF(MasterTable[Aircraft ID],Aircraft!A:A,MasterTable[Dual
Given])</f>
        <v>0</v>
      </c>
      <c r="U54" s="33">
        <f>SUMIF(MasterTable[Aircraft ID],Aircraft!A:A,MasterTable[INST
(Mil)])</f>
        <v>0</v>
      </c>
      <c r="V54" s="33">
        <f>SUMIF(MasterTable[Aircraft ID],Aircraft!A:A,MasterTable[Actual
Instrument])</f>
        <v>0</v>
      </c>
      <c r="W54" s="33">
        <f>SUMIF(MasterTable[Aircraft ID],Aircraft!A:A,MasterTable[Simulated
Instrument])</f>
        <v>0</v>
      </c>
      <c r="X54" s="33">
        <f>SUMIF(MasterTable[Aircraft ID],Aircraft!A:A,MasterTable[Cross
Country])</f>
        <v>0</v>
      </c>
      <c r="Y54" s="33">
        <f>SUMIF(MasterTable[Aircraft ID],Aircraft!A:A,MasterTable[Dual
Received])</f>
        <v>0</v>
      </c>
      <c r="Z54" s="33">
        <f>SUMIF(MasterTable[Aircraft ID],Aircraft!A:A,MasterTable[Formation])</f>
        <v>0</v>
      </c>
      <c r="AA54" s="33">
        <f>SUMIF(MasterTable[Aircraft ID],Aircraft!A:A,MasterTable[Landings
Day])</f>
        <v>1</v>
      </c>
      <c r="AB54" s="33">
        <f>SUMIF(MasterTable[Aircraft ID],Aircraft!A:A,MasterTable[Landings
Night])</f>
        <v>0</v>
      </c>
      <c r="AC54" s="33">
        <f>SUMIF(MasterTable[Aircraft ID],Aircraft!A:A,MasterTable[Landings
Total])</f>
        <v>1</v>
      </c>
      <c r="AD54" s="33">
        <f>SUMIF(MasterTable[Aircraft ID],Aircraft!A:A,MasterTable[Holds])</f>
        <v>0</v>
      </c>
      <c r="AE54" s="33">
        <f>SUMIF(MasterTable[Aircraft ID],Aircraft!$A:$A,Flights!AE:AE)</f>
        <v>0</v>
      </c>
      <c r="AF54" s="33">
        <f>SUMIF(MasterTable[Aircraft ID],Aircraft!$A:$A,MasterTable[ILS])</f>
        <v>0</v>
      </c>
      <c r="AG54" s="33">
        <f>SUMIF(MasterTable[Aircraft ID],Aircraft!$A:$A,MasterTable[LOC])</f>
        <v>0</v>
      </c>
      <c r="AH54" s="33">
        <f>SUMIF(MasterTable[Aircraft ID],Aircraft!$A:$A,MasterTable[VOR/
TCN])</f>
        <v>0</v>
      </c>
      <c r="AI54" s="33">
        <f>SUMIF(MasterTable[Aircraft ID],Aircraft!$A:$A,MasterTable[RNAV])</f>
        <v>0</v>
      </c>
      <c r="AJ54" s="33">
        <f>SUMIF(MasterTable[Aircraft ID],Aircraft!$A:$A,MasterTable[ASR])</f>
        <v>0</v>
      </c>
      <c r="AK54" s="33">
        <f>SUMIF(MasterTable[Aircraft ID],Aircraft!$A:$A,MasterTable[PAR])</f>
        <v>0</v>
      </c>
      <c r="AL54" s="33">
        <f>SUMIF(MasterTable[Aircraft ID],Aircraft!$A:$A,MasterTable[CIRCLE])</f>
        <v>0</v>
      </c>
    </row>
    <row r="55" spans="1:38" x14ac:dyDescent="0.3">
      <c r="A55" s="8" t="s">
        <v>150</v>
      </c>
      <c r="B55" s="8" t="s">
        <v>151</v>
      </c>
      <c r="D55" s="8" t="s">
        <v>152</v>
      </c>
      <c r="E55" s="8" t="s">
        <v>153</v>
      </c>
      <c r="F55" s="8" t="s">
        <v>549</v>
      </c>
      <c r="G55" s="8" t="s">
        <v>13</v>
      </c>
      <c r="H55" s="8" t="s">
        <v>521</v>
      </c>
      <c r="M55" s="33">
        <f>COUNTIF(MasterTable[Aircraft ID],Aircraft!A:A)</f>
        <v>1</v>
      </c>
      <c r="N55" s="34">
        <f>SUMIF(MasterTable[Aircraft ID],Aircraft!A:A,MasterTable[Total
Time])</f>
        <v>0.4</v>
      </c>
      <c r="O55" s="34">
        <f>SUMIF(MasterTable[Aircraft ID],Aircraft!A:A,MasterTable[PIC])</f>
        <v>0.4</v>
      </c>
      <c r="P55" s="34">
        <f>SUMIF(MasterTable[Aircraft ID],Aircraft!A:A,MasterTable[PRI 
(Mil)])</f>
        <v>0</v>
      </c>
      <c r="Q55" s="33">
        <f>SUMIF(MasterTable[Aircraft ID],Aircraft!A:A,MasterTable[SIC])</f>
        <v>0</v>
      </c>
      <c r="R55" s="33">
        <f>SUMIF(MasterTable[Aircraft ID],Aircraft!A:A,MasterTable[Solo])</f>
        <v>0</v>
      </c>
      <c r="S55" s="33">
        <f>SUMIF(MasterTable[Aircraft ID],Aircraft!A:A,MasterTable[Night])</f>
        <v>0</v>
      </c>
      <c r="T55" s="33">
        <f>SUMIF(MasterTable[Aircraft ID],Aircraft!A:A,MasterTable[Dual
Given])</f>
        <v>0</v>
      </c>
      <c r="U55" s="33">
        <f>SUMIF(MasterTable[Aircraft ID],Aircraft!A:A,MasterTable[INST
(Mil)])</f>
        <v>0</v>
      </c>
      <c r="V55" s="33">
        <f>SUMIF(MasterTable[Aircraft ID],Aircraft!A:A,MasterTable[Actual
Instrument])</f>
        <v>0</v>
      </c>
      <c r="W55" s="33">
        <f>SUMIF(MasterTable[Aircraft ID],Aircraft!A:A,MasterTable[Simulated
Instrument])</f>
        <v>0</v>
      </c>
      <c r="X55" s="33">
        <f>SUMIF(MasterTable[Aircraft ID],Aircraft!A:A,MasterTable[Cross
Country])</f>
        <v>0</v>
      </c>
      <c r="Y55" s="33">
        <f>SUMIF(MasterTable[Aircraft ID],Aircraft!A:A,MasterTable[Dual
Received])</f>
        <v>0</v>
      </c>
      <c r="Z55" s="33">
        <f>SUMIF(MasterTable[Aircraft ID],Aircraft!A:A,MasterTable[Formation])</f>
        <v>0</v>
      </c>
      <c r="AA55" s="33">
        <f>SUMIF(MasterTable[Aircraft ID],Aircraft!A:A,MasterTable[Landings
Day])</f>
        <v>0</v>
      </c>
      <c r="AB55" s="33">
        <f>SUMIF(MasterTable[Aircraft ID],Aircraft!A:A,MasterTable[Landings
Night])</f>
        <v>0</v>
      </c>
      <c r="AC55" s="33">
        <f>SUMIF(MasterTable[Aircraft ID],Aircraft!A:A,MasterTable[Landings
Total])</f>
        <v>0</v>
      </c>
      <c r="AD55" s="33">
        <f>SUMIF(MasterTable[Aircraft ID],Aircraft!A:A,MasterTable[Holds])</f>
        <v>0</v>
      </c>
      <c r="AE55" s="33">
        <f>SUMIF(MasterTable[Aircraft ID],Aircraft!$A:$A,Flights!AE:AE)</f>
        <v>0</v>
      </c>
      <c r="AF55" s="33">
        <f>SUMIF(MasterTable[Aircraft ID],Aircraft!$A:$A,MasterTable[ILS])</f>
        <v>0</v>
      </c>
      <c r="AG55" s="33">
        <f>SUMIF(MasterTable[Aircraft ID],Aircraft!$A:$A,MasterTable[LOC])</f>
        <v>0</v>
      </c>
      <c r="AH55" s="33">
        <f>SUMIF(MasterTable[Aircraft ID],Aircraft!$A:$A,MasterTable[VOR/
TCN])</f>
        <v>0</v>
      </c>
      <c r="AI55" s="33">
        <f>SUMIF(MasterTable[Aircraft ID],Aircraft!$A:$A,MasterTable[RNAV])</f>
        <v>0</v>
      </c>
      <c r="AJ55" s="33">
        <f>SUMIF(MasterTable[Aircraft ID],Aircraft!$A:$A,MasterTable[ASR])</f>
        <v>0</v>
      </c>
      <c r="AK55" s="33">
        <f>SUMIF(MasterTable[Aircraft ID],Aircraft!$A:$A,MasterTable[PAR])</f>
        <v>0</v>
      </c>
      <c r="AL55" s="33">
        <f>SUMIF(MasterTable[Aircraft ID],Aircraft!$A:$A,MasterTable[CIRCLE])</f>
        <v>0</v>
      </c>
    </row>
    <row r="56" spans="1:38" x14ac:dyDescent="0.3">
      <c r="A56" s="8" t="s">
        <v>154</v>
      </c>
      <c r="B56" s="8" t="s">
        <v>54</v>
      </c>
      <c r="D56" s="8" t="s">
        <v>55</v>
      </c>
      <c r="E56" s="8" t="s">
        <v>155</v>
      </c>
      <c r="F56" s="8" t="s">
        <v>549</v>
      </c>
      <c r="G56" s="8" t="s">
        <v>13</v>
      </c>
      <c r="H56" s="8" t="s">
        <v>521</v>
      </c>
      <c r="K56" s="8" t="b">
        <v>1</v>
      </c>
      <c r="M56" s="33">
        <f>COUNTIF(MasterTable[Aircraft ID],Aircraft!A:A)</f>
        <v>5</v>
      </c>
      <c r="N56" s="34">
        <f>SUMIF(MasterTable[Aircraft ID],Aircraft!A:A,MasterTable[Total
Time])</f>
        <v>2</v>
      </c>
      <c r="O56" s="34">
        <f>SUMIF(MasterTable[Aircraft ID],Aircraft!A:A,MasterTable[PIC])</f>
        <v>2</v>
      </c>
      <c r="P56" s="34">
        <f>SUMIF(MasterTable[Aircraft ID],Aircraft!A:A,MasterTable[PRI 
(Mil)])</f>
        <v>0</v>
      </c>
      <c r="Q56" s="33">
        <f>SUMIF(MasterTable[Aircraft ID],Aircraft!A:A,MasterTable[SIC])</f>
        <v>0</v>
      </c>
      <c r="R56" s="33">
        <f>SUMIF(MasterTable[Aircraft ID],Aircraft!A:A,MasterTable[Solo])</f>
        <v>0</v>
      </c>
      <c r="S56" s="33">
        <f>SUMIF(MasterTable[Aircraft ID],Aircraft!A:A,MasterTable[Night])</f>
        <v>0</v>
      </c>
      <c r="T56" s="33">
        <f>SUMIF(MasterTable[Aircraft ID],Aircraft!A:A,MasterTable[Dual
Given])</f>
        <v>0</v>
      </c>
      <c r="U56" s="33">
        <f>SUMIF(MasterTable[Aircraft ID],Aircraft!A:A,MasterTable[INST
(Mil)])</f>
        <v>0</v>
      </c>
      <c r="V56" s="33">
        <f>SUMIF(MasterTable[Aircraft ID],Aircraft!A:A,MasterTable[Actual
Instrument])</f>
        <v>0</v>
      </c>
      <c r="W56" s="33">
        <f>SUMIF(MasterTable[Aircraft ID],Aircraft!A:A,MasterTable[Simulated
Instrument])</f>
        <v>0</v>
      </c>
      <c r="X56" s="33">
        <f>SUMIF(MasterTable[Aircraft ID],Aircraft!A:A,MasterTable[Cross
Country])</f>
        <v>0</v>
      </c>
      <c r="Y56" s="33">
        <f>SUMIF(MasterTable[Aircraft ID],Aircraft!A:A,MasterTable[Dual
Received])</f>
        <v>0</v>
      </c>
      <c r="Z56" s="33">
        <f>SUMIF(MasterTable[Aircraft ID],Aircraft!A:A,MasterTable[Formation])</f>
        <v>0</v>
      </c>
      <c r="AA56" s="33">
        <f>SUMIF(MasterTable[Aircraft ID],Aircraft!A:A,MasterTable[Landings
Day])</f>
        <v>0</v>
      </c>
      <c r="AB56" s="33">
        <f>SUMIF(MasterTable[Aircraft ID],Aircraft!A:A,MasterTable[Landings
Night])</f>
        <v>0</v>
      </c>
      <c r="AC56" s="33">
        <f>SUMIF(MasterTable[Aircraft ID],Aircraft!A:A,MasterTable[Landings
Total])</f>
        <v>0</v>
      </c>
      <c r="AD56" s="33">
        <f>SUMIF(MasterTable[Aircraft ID],Aircraft!A:A,MasterTable[Holds])</f>
        <v>0</v>
      </c>
      <c r="AE56" s="33">
        <f>SUMIF(MasterTable[Aircraft ID],Aircraft!$A:$A,Flights!AE:AE)</f>
        <v>0</v>
      </c>
      <c r="AF56" s="33">
        <f>SUMIF(MasterTable[Aircraft ID],Aircraft!$A:$A,MasterTable[ILS])</f>
        <v>0</v>
      </c>
      <c r="AG56" s="33">
        <f>SUMIF(MasterTable[Aircraft ID],Aircraft!$A:$A,MasterTable[LOC])</f>
        <v>0</v>
      </c>
      <c r="AH56" s="33">
        <f>SUMIF(MasterTable[Aircraft ID],Aircraft!$A:$A,MasterTable[VOR/
TCN])</f>
        <v>0</v>
      </c>
      <c r="AI56" s="33">
        <f>SUMIF(MasterTable[Aircraft ID],Aircraft!$A:$A,MasterTable[RNAV])</f>
        <v>0</v>
      </c>
      <c r="AJ56" s="33">
        <f>SUMIF(MasterTable[Aircraft ID],Aircraft!$A:$A,MasterTable[ASR])</f>
        <v>0</v>
      </c>
      <c r="AK56" s="33">
        <f>SUMIF(MasterTable[Aircraft ID],Aircraft!$A:$A,MasterTable[PAR])</f>
        <v>0</v>
      </c>
      <c r="AL56" s="33">
        <f>SUMIF(MasterTable[Aircraft ID],Aircraft!$A:$A,MasterTable[CIRCLE])</f>
        <v>0</v>
      </c>
    </row>
    <row r="57" spans="1:38" x14ac:dyDescent="0.3">
      <c r="A57" s="8" t="s">
        <v>156</v>
      </c>
      <c r="B57" s="8" t="s">
        <v>157</v>
      </c>
      <c r="D57" s="8" t="s">
        <v>158</v>
      </c>
      <c r="E57" s="8" t="s">
        <v>159</v>
      </c>
      <c r="F57" s="8" t="s">
        <v>549</v>
      </c>
      <c r="G57" s="8" t="s">
        <v>13</v>
      </c>
      <c r="H57" s="8" t="s">
        <v>521</v>
      </c>
      <c r="M57" s="33">
        <f>COUNTIF(MasterTable[Aircraft ID],Aircraft!A:A)</f>
        <v>1</v>
      </c>
      <c r="N57" s="34">
        <f>SUMIF(MasterTable[Aircraft ID],Aircraft!A:A,MasterTable[Total
Time])</f>
        <v>1.4</v>
      </c>
      <c r="O57" s="34">
        <f>SUMIF(MasterTable[Aircraft ID],Aircraft!A:A,MasterTable[PIC])</f>
        <v>1.4</v>
      </c>
      <c r="P57" s="34">
        <f>SUMIF(MasterTable[Aircraft ID],Aircraft!A:A,MasterTable[PRI 
(Mil)])</f>
        <v>0</v>
      </c>
      <c r="Q57" s="33">
        <f>SUMIF(MasterTable[Aircraft ID],Aircraft!A:A,MasterTable[SIC])</f>
        <v>0</v>
      </c>
      <c r="R57" s="33">
        <f>SUMIF(MasterTable[Aircraft ID],Aircraft!A:A,MasterTable[Solo])</f>
        <v>0</v>
      </c>
      <c r="S57" s="33">
        <f>SUMIF(MasterTable[Aircraft ID],Aircraft!A:A,MasterTable[Night])</f>
        <v>0</v>
      </c>
      <c r="T57" s="33">
        <f>SUMIF(MasterTable[Aircraft ID],Aircraft!A:A,MasterTable[Dual
Given])</f>
        <v>0</v>
      </c>
      <c r="U57" s="33">
        <f>SUMIF(MasterTable[Aircraft ID],Aircraft!A:A,MasterTable[INST
(Mil)])</f>
        <v>0</v>
      </c>
      <c r="V57" s="33">
        <f>SUMIF(MasterTable[Aircraft ID],Aircraft!A:A,MasterTable[Actual
Instrument])</f>
        <v>0</v>
      </c>
      <c r="W57" s="33">
        <f>SUMIF(MasterTable[Aircraft ID],Aircraft!A:A,MasterTable[Simulated
Instrument])</f>
        <v>0</v>
      </c>
      <c r="X57" s="33">
        <f>SUMIF(MasterTable[Aircraft ID],Aircraft!A:A,MasterTable[Cross
Country])</f>
        <v>0</v>
      </c>
      <c r="Y57" s="33">
        <f>SUMIF(MasterTable[Aircraft ID],Aircraft!A:A,MasterTable[Dual
Received])</f>
        <v>1.4</v>
      </c>
      <c r="Z57" s="33">
        <f>SUMIF(MasterTable[Aircraft ID],Aircraft!A:A,MasterTable[Formation])</f>
        <v>0</v>
      </c>
      <c r="AA57" s="33">
        <f>SUMIF(MasterTable[Aircraft ID],Aircraft!A:A,MasterTable[Landings
Day])</f>
        <v>1</v>
      </c>
      <c r="AB57" s="33">
        <f>SUMIF(MasterTable[Aircraft ID],Aircraft!A:A,MasterTable[Landings
Night])</f>
        <v>0</v>
      </c>
      <c r="AC57" s="33">
        <f>SUMIF(MasterTable[Aircraft ID],Aircraft!A:A,MasterTable[Landings
Total])</f>
        <v>1</v>
      </c>
      <c r="AD57" s="33">
        <f>SUMIF(MasterTable[Aircraft ID],Aircraft!A:A,MasterTable[Holds])</f>
        <v>0</v>
      </c>
      <c r="AE57" s="33">
        <f>SUMIF(MasterTable[Aircraft ID],Aircraft!$A:$A,Flights!AE:AE)</f>
        <v>0</v>
      </c>
      <c r="AF57" s="33">
        <f>SUMIF(MasterTable[Aircraft ID],Aircraft!$A:$A,MasterTable[ILS])</f>
        <v>0</v>
      </c>
      <c r="AG57" s="33">
        <f>SUMIF(MasterTable[Aircraft ID],Aircraft!$A:$A,MasterTable[LOC])</f>
        <v>0</v>
      </c>
      <c r="AH57" s="33">
        <f>SUMIF(MasterTable[Aircraft ID],Aircraft!$A:$A,MasterTable[VOR/
TCN])</f>
        <v>0</v>
      </c>
      <c r="AI57" s="33">
        <f>SUMIF(MasterTable[Aircraft ID],Aircraft!$A:$A,MasterTable[RNAV])</f>
        <v>0</v>
      </c>
      <c r="AJ57" s="33">
        <f>SUMIF(MasterTable[Aircraft ID],Aircraft!$A:$A,MasterTable[ASR])</f>
        <v>0</v>
      </c>
      <c r="AK57" s="33">
        <f>SUMIF(MasterTable[Aircraft ID],Aircraft!$A:$A,MasterTable[PAR])</f>
        <v>0</v>
      </c>
      <c r="AL57" s="33">
        <f>SUMIF(MasterTable[Aircraft ID],Aircraft!$A:$A,MasterTable[CIRCLE])</f>
        <v>0</v>
      </c>
    </row>
    <row r="58" spans="1:38" x14ac:dyDescent="0.3">
      <c r="A58" s="8" t="s">
        <v>160</v>
      </c>
      <c r="B58" s="8" t="s">
        <v>161</v>
      </c>
      <c r="D58" s="8" t="s">
        <v>12</v>
      </c>
      <c r="E58" s="8">
        <v>425</v>
      </c>
      <c r="F58" s="8" t="s">
        <v>551</v>
      </c>
      <c r="G58" s="8" t="s">
        <v>46</v>
      </c>
      <c r="H58" s="8" t="s">
        <v>522</v>
      </c>
      <c r="I58" s="8" t="b">
        <v>1</v>
      </c>
      <c r="K58" s="8" t="b">
        <v>1</v>
      </c>
      <c r="L58" s="8" t="b">
        <v>1</v>
      </c>
      <c r="M58" s="33">
        <f>COUNTIF(MasterTable[Aircraft ID],Aircraft!A:A)</f>
        <v>1</v>
      </c>
      <c r="N58" s="34">
        <f>SUMIF(MasterTable[Aircraft ID],Aircraft!A:A,MasterTable[Total
Time])</f>
        <v>0.7</v>
      </c>
      <c r="O58" s="34">
        <f>SUMIF(MasterTable[Aircraft ID],Aircraft!A:A,MasterTable[PIC])</f>
        <v>0.7</v>
      </c>
      <c r="P58" s="34">
        <f>SUMIF(MasterTable[Aircraft ID],Aircraft!A:A,MasterTable[PRI 
(Mil)])</f>
        <v>0</v>
      </c>
      <c r="Q58" s="33">
        <f>SUMIF(MasterTable[Aircraft ID],Aircraft!A:A,MasterTable[SIC])</f>
        <v>0</v>
      </c>
      <c r="R58" s="33">
        <f>SUMIF(MasterTable[Aircraft ID],Aircraft!A:A,MasterTable[Solo])</f>
        <v>0</v>
      </c>
      <c r="S58" s="33">
        <f>SUMIF(MasterTable[Aircraft ID],Aircraft!A:A,MasterTable[Night])</f>
        <v>0</v>
      </c>
      <c r="T58" s="33">
        <f>SUMIF(MasterTable[Aircraft ID],Aircraft!A:A,MasterTable[Dual
Given])</f>
        <v>0</v>
      </c>
      <c r="U58" s="33">
        <f>SUMIF(MasterTable[Aircraft ID],Aircraft!A:A,MasterTable[INST
(Mil)])</f>
        <v>0</v>
      </c>
      <c r="V58" s="33">
        <f>SUMIF(MasterTable[Aircraft ID],Aircraft!A:A,MasterTable[Actual
Instrument])</f>
        <v>0</v>
      </c>
      <c r="W58" s="33">
        <f>SUMIF(MasterTable[Aircraft ID],Aircraft!A:A,MasterTable[Simulated
Instrument])</f>
        <v>0</v>
      </c>
      <c r="X58" s="33">
        <f>SUMIF(MasterTable[Aircraft ID],Aircraft!A:A,MasterTable[Cross
Country])</f>
        <v>0.7</v>
      </c>
      <c r="Y58" s="33">
        <f>SUMIF(MasterTable[Aircraft ID],Aircraft!A:A,MasterTable[Dual
Received])</f>
        <v>0</v>
      </c>
      <c r="Z58" s="33">
        <f>SUMIF(MasterTable[Aircraft ID],Aircraft!A:A,MasterTable[Formation])</f>
        <v>0</v>
      </c>
      <c r="AA58" s="33">
        <f>SUMIF(MasterTable[Aircraft ID],Aircraft!A:A,MasterTable[Landings
Day])</f>
        <v>1</v>
      </c>
      <c r="AB58" s="33">
        <f>SUMIF(MasterTable[Aircraft ID],Aircraft!A:A,MasterTable[Landings
Night])</f>
        <v>0</v>
      </c>
      <c r="AC58" s="33">
        <f>SUMIF(MasterTable[Aircraft ID],Aircraft!A:A,MasterTable[Landings
Total])</f>
        <v>1</v>
      </c>
      <c r="AD58" s="33">
        <f>SUMIF(MasterTable[Aircraft ID],Aircraft!A:A,MasterTable[Holds])</f>
        <v>0</v>
      </c>
      <c r="AE58" s="33">
        <f>SUMIF(MasterTable[Aircraft ID],Aircraft!$A:$A,Flights!AE:AE)</f>
        <v>0</v>
      </c>
      <c r="AF58" s="33">
        <f>SUMIF(MasterTable[Aircraft ID],Aircraft!$A:$A,MasterTable[ILS])</f>
        <v>0</v>
      </c>
      <c r="AG58" s="33">
        <f>SUMIF(MasterTable[Aircraft ID],Aircraft!$A:$A,MasterTable[LOC])</f>
        <v>0</v>
      </c>
      <c r="AH58" s="33">
        <f>SUMIF(MasterTable[Aircraft ID],Aircraft!$A:$A,MasterTable[VOR/
TCN])</f>
        <v>0</v>
      </c>
      <c r="AI58" s="33">
        <f>SUMIF(MasterTable[Aircraft ID],Aircraft!$A:$A,MasterTable[RNAV])</f>
        <v>0</v>
      </c>
      <c r="AJ58" s="33">
        <f>SUMIF(MasterTable[Aircraft ID],Aircraft!$A:$A,MasterTable[ASR])</f>
        <v>0</v>
      </c>
      <c r="AK58" s="33">
        <f>SUMIF(MasterTable[Aircraft ID],Aircraft!$A:$A,MasterTable[PAR])</f>
        <v>0</v>
      </c>
      <c r="AL58" s="33">
        <f>SUMIF(MasterTable[Aircraft ID],Aircraft!$A:$A,MasterTable[CIRCLE])</f>
        <v>0</v>
      </c>
    </row>
    <row r="59" spans="1:38" x14ac:dyDescent="0.3">
      <c r="A59" s="8" t="s">
        <v>162</v>
      </c>
      <c r="B59" s="8" t="s">
        <v>65</v>
      </c>
      <c r="D59" s="8" t="s">
        <v>70</v>
      </c>
      <c r="E59" s="8" t="s">
        <v>77</v>
      </c>
      <c r="F59" s="8" t="s">
        <v>548</v>
      </c>
      <c r="G59" s="8" t="s">
        <v>13</v>
      </c>
      <c r="H59" s="8" t="s">
        <v>521</v>
      </c>
      <c r="M59" s="33">
        <f>COUNTIF(MasterTable[Aircraft ID],Aircraft!A:A)</f>
        <v>7</v>
      </c>
      <c r="N59" s="34">
        <f>SUMIF(MasterTable[Aircraft ID],Aircraft!A:A,MasterTable[Total
Time])</f>
        <v>13</v>
      </c>
      <c r="O59" s="34">
        <f>SUMIF(MasterTable[Aircraft ID],Aircraft!A:A,MasterTable[PIC])</f>
        <v>13</v>
      </c>
      <c r="P59" s="34">
        <f>SUMIF(MasterTable[Aircraft ID],Aircraft!A:A,MasterTable[PRI 
(Mil)])</f>
        <v>0</v>
      </c>
      <c r="Q59" s="33">
        <f>SUMIF(MasterTable[Aircraft ID],Aircraft!A:A,MasterTable[SIC])</f>
        <v>0</v>
      </c>
      <c r="R59" s="33">
        <f>SUMIF(MasterTable[Aircraft ID],Aircraft!A:A,MasterTable[Solo])</f>
        <v>0</v>
      </c>
      <c r="S59" s="33">
        <f>SUMIF(MasterTable[Aircraft ID],Aircraft!A:A,MasterTable[Night])</f>
        <v>3.4</v>
      </c>
      <c r="T59" s="33">
        <f>SUMIF(MasterTable[Aircraft ID],Aircraft!A:A,MasterTable[Dual
Given])</f>
        <v>13</v>
      </c>
      <c r="U59" s="33">
        <f>SUMIF(MasterTable[Aircraft ID],Aircraft!A:A,MasterTable[INST
(Mil)])</f>
        <v>0</v>
      </c>
      <c r="V59" s="33">
        <f>SUMIF(MasterTable[Aircraft ID],Aircraft!A:A,MasterTable[Actual
Instrument])</f>
        <v>0</v>
      </c>
      <c r="W59" s="33">
        <f>SUMIF(MasterTable[Aircraft ID],Aircraft!A:A,MasterTable[Simulated
Instrument])</f>
        <v>0</v>
      </c>
      <c r="X59" s="33">
        <f>SUMIF(MasterTable[Aircraft ID],Aircraft!A:A,MasterTable[Cross
Country])</f>
        <v>3.4</v>
      </c>
      <c r="Y59" s="33">
        <f>SUMIF(MasterTable[Aircraft ID],Aircraft!A:A,MasterTable[Dual
Received])</f>
        <v>0</v>
      </c>
      <c r="Z59" s="33">
        <f>SUMIF(MasterTable[Aircraft ID],Aircraft!A:A,MasterTable[Formation])</f>
        <v>0</v>
      </c>
      <c r="AA59" s="33">
        <f>SUMIF(MasterTable[Aircraft ID],Aircraft!A:A,MasterTable[Landings
Day])</f>
        <v>31</v>
      </c>
      <c r="AB59" s="33">
        <f>SUMIF(MasterTable[Aircraft ID],Aircraft!A:A,MasterTable[Landings
Night])</f>
        <v>2</v>
      </c>
      <c r="AC59" s="33">
        <f>SUMIF(MasterTable[Aircraft ID],Aircraft!A:A,MasterTable[Landings
Total])</f>
        <v>33</v>
      </c>
      <c r="AD59" s="33">
        <f>SUMIF(MasterTable[Aircraft ID],Aircraft!A:A,MasterTable[Holds])</f>
        <v>0</v>
      </c>
      <c r="AE59" s="33">
        <f>SUMIF(MasterTable[Aircraft ID],Aircraft!$A:$A,Flights!AE:AE)</f>
        <v>0</v>
      </c>
      <c r="AF59" s="33">
        <f>SUMIF(MasterTable[Aircraft ID],Aircraft!$A:$A,MasterTable[ILS])</f>
        <v>0</v>
      </c>
      <c r="AG59" s="33">
        <f>SUMIF(MasterTable[Aircraft ID],Aircraft!$A:$A,MasterTable[LOC])</f>
        <v>0</v>
      </c>
      <c r="AH59" s="33">
        <f>SUMIF(MasterTable[Aircraft ID],Aircraft!$A:$A,MasterTable[VOR/
TCN])</f>
        <v>0</v>
      </c>
      <c r="AI59" s="33">
        <f>SUMIF(MasterTable[Aircraft ID],Aircraft!$A:$A,MasterTable[RNAV])</f>
        <v>0</v>
      </c>
      <c r="AJ59" s="33">
        <f>SUMIF(MasterTable[Aircraft ID],Aircraft!$A:$A,MasterTable[ASR])</f>
        <v>0</v>
      </c>
      <c r="AK59" s="33">
        <f>SUMIF(MasterTable[Aircraft ID],Aircraft!$A:$A,MasterTable[PAR])</f>
        <v>0</v>
      </c>
      <c r="AL59" s="33">
        <f>SUMIF(MasterTable[Aircraft ID],Aircraft!$A:$A,MasterTable[CIRCLE])</f>
        <v>0</v>
      </c>
    </row>
    <row r="60" spans="1:38" x14ac:dyDescent="0.3">
      <c r="A60" s="8" t="s">
        <v>163</v>
      </c>
      <c r="B60" s="8" t="s">
        <v>164</v>
      </c>
      <c r="D60" s="8" t="s">
        <v>79</v>
      </c>
      <c r="E60" s="8">
        <v>170</v>
      </c>
      <c r="F60" s="8" t="s">
        <v>549</v>
      </c>
      <c r="G60" s="8" t="s">
        <v>13</v>
      </c>
      <c r="H60" s="8" t="s">
        <v>521</v>
      </c>
      <c r="M60" s="33">
        <f>COUNTIF(MasterTable[Aircraft ID],Aircraft!A:A)</f>
        <v>1</v>
      </c>
      <c r="N60" s="34">
        <f>SUMIF(MasterTable[Aircraft ID],Aircraft!A:A,MasterTable[Total
Time])</f>
        <v>2.2999999999999998</v>
      </c>
      <c r="O60" s="34">
        <f>SUMIF(MasterTable[Aircraft ID],Aircraft!A:A,MasterTable[PIC])</f>
        <v>2.2999999999999998</v>
      </c>
      <c r="P60" s="34">
        <f>SUMIF(MasterTable[Aircraft ID],Aircraft!A:A,MasterTable[PRI 
(Mil)])</f>
        <v>0</v>
      </c>
      <c r="Q60" s="33">
        <f>SUMIF(MasterTable[Aircraft ID],Aircraft!A:A,MasterTable[SIC])</f>
        <v>0</v>
      </c>
      <c r="R60" s="33">
        <f>SUMIF(MasterTable[Aircraft ID],Aircraft!A:A,MasterTable[Solo])</f>
        <v>0</v>
      </c>
      <c r="S60" s="33">
        <f>SUMIF(MasterTable[Aircraft ID],Aircraft!A:A,MasterTable[Night])</f>
        <v>2.2999999999999998</v>
      </c>
      <c r="T60" s="33">
        <f>SUMIF(MasterTable[Aircraft ID],Aircraft!A:A,MasterTable[Dual
Given])</f>
        <v>0</v>
      </c>
      <c r="U60" s="33">
        <f>SUMIF(MasterTable[Aircraft ID],Aircraft!A:A,MasterTable[INST
(Mil)])</f>
        <v>0</v>
      </c>
      <c r="V60" s="33">
        <f>SUMIF(MasterTable[Aircraft ID],Aircraft!A:A,MasterTable[Actual
Instrument])</f>
        <v>0</v>
      </c>
      <c r="W60" s="33">
        <f>SUMIF(MasterTable[Aircraft ID],Aircraft!A:A,MasterTable[Simulated
Instrument])</f>
        <v>0</v>
      </c>
      <c r="X60" s="33">
        <f>SUMIF(MasterTable[Aircraft ID],Aircraft!A:A,MasterTable[Cross
Country])</f>
        <v>0</v>
      </c>
      <c r="Y60" s="33">
        <f>SUMIF(MasterTable[Aircraft ID],Aircraft!A:A,MasterTable[Dual
Received])</f>
        <v>0</v>
      </c>
      <c r="Z60" s="33">
        <f>SUMIF(MasterTable[Aircraft ID],Aircraft!A:A,MasterTable[Formation])</f>
        <v>0</v>
      </c>
      <c r="AA60" s="33">
        <f>SUMIF(MasterTable[Aircraft ID],Aircraft!A:A,MasterTable[Landings
Day])</f>
        <v>0</v>
      </c>
      <c r="AB60" s="33">
        <f>SUMIF(MasterTable[Aircraft ID],Aircraft!A:A,MasterTable[Landings
Night])</f>
        <v>0</v>
      </c>
      <c r="AC60" s="33">
        <f>SUMIF(MasterTable[Aircraft ID],Aircraft!A:A,MasterTable[Landings
Total])</f>
        <v>0</v>
      </c>
      <c r="AD60" s="33">
        <f>SUMIF(MasterTable[Aircraft ID],Aircraft!A:A,MasterTable[Holds])</f>
        <v>0</v>
      </c>
      <c r="AE60" s="33">
        <f>SUMIF(MasterTable[Aircraft ID],Aircraft!$A:$A,Flights!AE:AE)</f>
        <v>0</v>
      </c>
      <c r="AF60" s="33">
        <f>SUMIF(MasterTable[Aircraft ID],Aircraft!$A:$A,MasterTable[ILS])</f>
        <v>0</v>
      </c>
      <c r="AG60" s="33">
        <f>SUMIF(MasterTable[Aircraft ID],Aircraft!$A:$A,MasterTable[LOC])</f>
        <v>0</v>
      </c>
      <c r="AH60" s="33">
        <f>SUMIF(MasterTable[Aircraft ID],Aircraft!$A:$A,MasterTable[VOR/
TCN])</f>
        <v>0</v>
      </c>
      <c r="AI60" s="33">
        <f>SUMIF(MasterTable[Aircraft ID],Aircraft!$A:$A,MasterTable[RNAV])</f>
        <v>0</v>
      </c>
      <c r="AJ60" s="33">
        <f>SUMIF(MasterTable[Aircraft ID],Aircraft!$A:$A,MasterTable[ASR])</f>
        <v>0</v>
      </c>
      <c r="AK60" s="33">
        <f>SUMIF(MasterTable[Aircraft ID],Aircraft!$A:$A,MasterTable[PAR])</f>
        <v>0</v>
      </c>
      <c r="AL60" s="33">
        <f>SUMIF(MasterTable[Aircraft ID],Aircraft!$A:$A,MasterTable[CIRCLE])</f>
        <v>0</v>
      </c>
    </row>
    <row r="61" spans="1:38" x14ac:dyDescent="0.3">
      <c r="A61" s="8" t="s">
        <v>165</v>
      </c>
      <c r="B61" s="8" t="s">
        <v>166</v>
      </c>
      <c r="D61" s="8" t="s">
        <v>167</v>
      </c>
      <c r="E61" s="8" t="s">
        <v>168</v>
      </c>
      <c r="F61" s="8" t="s">
        <v>554</v>
      </c>
      <c r="G61" s="8" t="s">
        <v>169</v>
      </c>
      <c r="H61" s="8" t="s">
        <v>524</v>
      </c>
      <c r="M61" s="33">
        <f>COUNTIF(MasterTable[Aircraft ID],Aircraft!A:A)</f>
        <v>1</v>
      </c>
      <c r="N61" s="34">
        <f>SUMIF(MasterTable[Aircraft ID],Aircraft!A:A,MasterTable[Total
Time])</f>
        <v>0</v>
      </c>
      <c r="O61" s="34">
        <f>SUMIF(MasterTable[Aircraft ID],Aircraft!A:A,MasterTable[PIC])</f>
        <v>0</v>
      </c>
      <c r="P61" s="34">
        <f>SUMIF(MasterTable[Aircraft ID],Aircraft!A:A,MasterTable[PRI 
(Mil)])</f>
        <v>0</v>
      </c>
      <c r="Q61" s="33">
        <f>SUMIF(MasterTable[Aircraft ID],Aircraft!A:A,MasterTable[SIC])</f>
        <v>0</v>
      </c>
      <c r="R61" s="33">
        <f>SUMIF(MasterTable[Aircraft ID],Aircraft!A:A,MasterTable[Solo])</f>
        <v>0</v>
      </c>
      <c r="S61" s="33">
        <f>SUMIF(MasterTable[Aircraft ID],Aircraft!A:A,MasterTable[Night])</f>
        <v>0</v>
      </c>
      <c r="T61" s="33">
        <f>SUMIF(MasterTable[Aircraft ID],Aircraft!A:A,MasterTable[Dual
Given])</f>
        <v>0</v>
      </c>
      <c r="U61" s="33">
        <f>SUMIF(MasterTable[Aircraft ID],Aircraft!A:A,MasterTable[INST
(Mil)])</f>
        <v>0</v>
      </c>
      <c r="V61" s="33">
        <f>SUMIF(MasterTable[Aircraft ID],Aircraft!A:A,MasterTable[Actual
Instrument])</f>
        <v>0</v>
      </c>
      <c r="W61" s="33">
        <f>SUMIF(MasterTable[Aircraft ID],Aircraft!A:A,MasterTable[Simulated
Instrument])</f>
        <v>0</v>
      </c>
      <c r="X61" s="33">
        <f>SUMIF(MasterTable[Aircraft ID],Aircraft!A:A,MasterTable[Cross
Country])</f>
        <v>0</v>
      </c>
      <c r="Y61" s="33">
        <f>SUMIF(MasterTable[Aircraft ID],Aircraft!A:A,MasterTable[Dual
Received])</f>
        <v>0</v>
      </c>
      <c r="Z61" s="33">
        <f>SUMIF(MasterTable[Aircraft ID],Aircraft!A:A,MasterTable[Formation])</f>
        <v>0</v>
      </c>
      <c r="AA61" s="33">
        <f>SUMIF(MasterTable[Aircraft ID],Aircraft!A:A,MasterTable[Landings
Day])</f>
        <v>4</v>
      </c>
      <c r="AB61" s="33">
        <f>SUMIF(MasterTable[Aircraft ID],Aircraft!A:A,MasterTable[Landings
Night])</f>
        <v>0</v>
      </c>
      <c r="AC61" s="33">
        <f>SUMIF(MasterTable[Aircraft ID],Aircraft!A:A,MasterTable[Landings
Total])</f>
        <v>4</v>
      </c>
      <c r="AD61" s="33">
        <f>SUMIF(MasterTable[Aircraft ID],Aircraft!A:A,MasterTable[Holds])</f>
        <v>0</v>
      </c>
      <c r="AE61" s="33">
        <f>SUMIF(MasterTable[Aircraft ID],Aircraft!$A:$A,Flights!AE:AE)</f>
        <v>0</v>
      </c>
      <c r="AF61" s="33">
        <f>SUMIF(MasterTable[Aircraft ID],Aircraft!$A:$A,MasterTable[ILS])</f>
        <v>0</v>
      </c>
      <c r="AG61" s="33">
        <f>SUMIF(MasterTable[Aircraft ID],Aircraft!$A:$A,MasterTable[LOC])</f>
        <v>0</v>
      </c>
      <c r="AH61" s="33">
        <f>SUMIF(MasterTable[Aircraft ID],Aircraft!$A:$A,MasterTable[VOR/
TCN])</f>
        <v>0</v>
      </c>
      <c r="AI61" s="33">
        <f>SUMIF(MasterTable[Aircraft ID],Aircraft!$A:$A,MasterTable[RNAV])</f>
        <v>0</v>
      </c>
      <c r="AJ61" s="33">
        <f>SUMIF(MasterTable[Aircraft ID],Aircraft!$A:$A,MasterTable[ASR])</f>
        <v>0</v>
      </c>
      <c r="AK61" s="33">
        <f>SUMIF(MasterTable[Aircraft ID],Aircraft!$A:$A,MasterTable[PAR])</f>
        <v>0</v>
      </c>
      <c r="AL61" s="33">
        <f>SUMIF(MasterTable[Aircraft ID],Aircraft!$A:$A,MasterTable[CIRCLE])</f>
        <v>0</v>
      </c>
    </row>
    <row r="62" spans="1:38" x14ac:dyDescent="0.3">
      <c r="A62" s="8" t="s">
        <v>170</v>
      </c>
      <c r="B62" s="8" t="s">
        <v>171</v>
      </c>
      <c r="D62" s="8" t="s">
        <v>172</v>
      </c>
      <c r="E62" s="8" t="s">
        <v>173</v>
      </c>
      <c r="F62" s="8" t="s">
        <v>549</v>
      </c>
      <c r="G62" s="8" t="s">
        <v>13</v>
      </c>
      <c r="H62" s="8" t="s">
        <v>521</v>
      </c>
      <c r="M62" s="33">
        <f>COUNTIF(MasterTable[Aircraft ID],Aircraft!A:A)</f>
        <v>3</v>
      </c>
      <c r="N62" s="34">
        <f>SUMIF(MasterTable[Aircraft ID],Aircraft!A:A,MasterTable[Total
Time])</f>
        <v>3.4</v>
      </c>
      <c r="O62" s="34">
        <f>SUMIF(MasterTable[Aircraft ID],Aircraft!A:A,MasterTable[PIC])</f>
        <v>3.4</v>
      </c>
      <c r="P62" s="34">
        <f>SUMIF(MasterTable[Aircraft ID],Aircraft!A:A,MasterTable[PRI 
(Mil)])</f>
        <v>0</v>
      </c>
      <c r="Q62" s="33">
        <f>SUMIF(MasterTable[Aircraft ID],Aircraft!A:A,MasterTable[SIC])</f>
        <v>0</v>
      </c>
      <c r="R62" s="33">
        <f>SUMIF(MasterTable[Aircraft ID],Aircraft!A:A,MasterTable[Solo])</f>
        <v>0</v>
      </c>
      <c r="S62" s="33">
        <f>SUMIF(MasterTable[Aircraft ID],Aircraft!A:A,MasterTable[Night])</f>
        <v>0</v>
      </c>
      <c r="T62" s="33">
        <f>SUMIF(MasterTable[Aircraft ID],Aircraft!A:A,MasterTable[Dual
Given])</f>
        <v>0</v>
      </c>
      <c r="U62" s="33">
        <f>SUMIF(MasterTable[Aircraft ID],Aircraft!A:A,MasterTable[INST
(Mil)])</f>
        <v>0</v>
      </c>
      <c r="V62" s="33">
        <f>SUMIF(MasterTable[Aircraft ID],Aircraft!A:A,MasterTable[Actual
Instrument])</f>
        <v>0</v>
      </c>
      <c r="W62" s="33">
        <f>SUMIF(MasterTable[Aircraft ID],Aircraft!A:A,MasterTable[Simulated
Instrument])</f>
        <v>0</v>
      </c>
      <c r="X62" s="33">
        <f>SUMIF(MasterTable[Aircraft ID],Aircraft!A:A,MasterTable[Cross
Country])</f>
        <v>3.4</v>
      </c>
      <c r="Y62" s="33">
        <f>SUMIF(MasterTable[Aircraft ID],Aircraft!A:A,MasterTable[Dual
Received])</f>
        <v>0</v>
      </c>
      <c r="Z62" s="33">
        <f>SUMIF(MasterTable[Aircraft ID],Aircraft!A:A,MasterTable[Formation])</f>
        <v>3.2</v>
      </c>
      <c r="AA62" s="33">
        <f>SUMIF(MasterTable[Aircraft ID],Aircraft!A:A,MasterTable[Landings
Day])</f>
        <v>4</v>
      </c>
      <c r="AB62" s="33">
        <f>SUMIF(MasterTable[Aircraft ID],Aircraft!A:A,MasterTable[Landings
Night])</f>
        <v>0</v>
      </c>
      <c r="AC62" s="33">
        <f>SUMIF(MasterTable[Aircraft ID],Aircraft!A:A,MasterTable[Landings
Total])</f>
        <v>4</v>
      </c>
      <c r="AD62" s="33">
        <f>SUMIF(MasterTable[Aircraft ID],Aircraft!A:A,MasterTable[Holds])</f>
        <v>0</v>
      </c>
      <c r="AE62" s="33">
        <f>SUMIF(MasterTable[Aircraft ID],Aircraft!$A:$A,Flights!AE:AE)</f>
        <v>0</v>
      </c>
      <c r="AF62" s="33">
        <f>SUMIF(MasterTable[Aircraft ID],Aircraft!$A:$A,MasterTable[ILS])</f>
        <v>0</v>
      </c>
      <c r="AG62" s="33">
        <f>SUMIF(MasterTable[Aircraft ID],Aircraft!$A:$A,MasterTable[LOC])</f>
        <v>0</v>
      </c>
      <c r="AH62" s="33">
        <f>SUMIF(MasterTable[Aircraft ID],Aircraft!$A:$A,MasterTable[VOR/
TCN])</f>
        <v>0</v>
      </c>
      <c r="AI62" s="33">
        <f>SUMIF(MasterTable[Aircraft ID],Aircraft!$A:$A,MasterTable[RNAV])</f>
        <v>0</v>
      </c>
      <c r="AJ62" s="33">
        <f>SUMIF(MasterTable[Aircraft ID],Aircraft!$A:$A,MasterTable[ASR])</f>
        <v>0</v>
      </c>
      <c r="AK62" s="33">
        <f>SUMIF(MasterTable[Aircraft ID],Aircraft!$A:$A,MasterTable[PAR])</f>
        <v>0</v>
      </c>
      <c r="AL62" s="33">
        <f>SUMIF(MasterTable[Aircraft ID],Aircraft!$A:$A,MasterTable[CIRCLE])</f>
        <v>0</v>
      </c>
    </row>
    <row r="63" spans="1:38" x14ac:dyDescent="0.3">
      <c r="A63" s="8" t="s">
        <v>174</v>
      </c>
      <c r="B63" s="8" t="s">
        <v>11</v>
      </c>
      <c r="C63" s="8">
        <v>1966</v>
      </c>
      <c r="D63" s="8" t="s">
        <v>12</v>
      </c>
      <c r="E63" s="8" t="s">
        <v>175</v>
      </c>
      <c r="F63" s="8" t="s">
        <v>548</v>
      </c>
      <c r="G63" s="8" t="s">
        <v>13</v>
      </c>
      <c r="H63" s="8" t="s">
        <v>521</v>
      </c>
      <c r="M63" s="33">
        <f>COUNTIF(MasterTable[Aircraft ID],Aircraft!A:A)</f>
        <v>501</v>
      </c>
      <c r="N63" s="34">
        <f>SUMIF(MasterTable[Aircraft ID],Aircraft!A:A,MasterTable[Total
Time])</f>
        <v>758.30000000000018</v>
      </c>
      <c r="O63" s="34">
        <f>SUMIF(MasterTable[Aircraft ID],Aircraft!A:A,MasterTable[PIC])</f>
        <v>630.60000000000014</v>
      </c>
      <c r="P63" s="34">
        <f>SUMIF(MasterTable[Aircraft ID],Aircraft!A:A,MasterTable[PRI 
(Mil)])</f>
        <v>0</v>
      </c>
      <c r="Q63" s="33">
        <f>SUMIF(MasterTable[Aircraft ID],Aircraft!A:A,MasterTable[SIC])</f>
        <v>0</v>
      </c>
      <c r="R63" s="33">
        <f>SUMIF(MasterTable[Aircraft ID],Aircraft!A:A,MasterTable[Solo])</f>
        <v>0</v>
      </c>
      <c r="S63" s="33">
        <f>SUMIF(MasterTable[Aircraft ID],Aircraft!A:A,MasterTable[Night])</f>
        <v>57.000000000000014</v>
      </c>
      <c r="T63" s="33">
        <f>SUMIF(MasterTable[Aircraft ID],Aircraft!A:A,MasterTable[Dual
Given])</f>
        <v>21.2</v>
      </c>
      <c r="U63" s="33">
        <f>SUMIF(MasterTable[Aircraft ID],Aircraft!A:A,MasterTable[INST
(Mil)])</f>
        <v>0</v>
      </c>
      <c r="V63" s="33">
        <f>SUMIF(MasterTable[Aircraft ID],Aircraft!A:A,MasterTable[Actual
Instrument])</f>
        <v>4.3000000000000007</v>
      </c>
      <c r="W63" s="33">
        <f>SUMIF(MasterTable[Aircraft ID],Aircraft!A:A,MasterTable[Simulated
Instrument])</f>
        <v>32.6</v>
      </c>
      <c r="X63" s="33">
        <f>SUMIF(MasterTable[Aircraft ID],Aircraft!A:A,MasterTable[Cross
Country])</f>
        <v>416.59999999999968</v>
      </c>
      <c r="Y63" s="33">
        <f>SUMIF(MasterTable[Aircraft ID],Aircraft!A:A,MasterTable[Dual
Received])</f>
        <v>155.4</v>
      </c>
      <c r="Z63" s="33">
        <f>SUMIF(MasterTable[Aircraft ID],Aircraft!A:A,MasterTable[Formation])</f>
        <v>37.799999999999997</v>
      </c>
      <c r="AA63" s="33">
        <f>SUMIF(MasterTable[Aircraft ID],Aircraft!A:A,MasterTable[Landings
Day])</f>
        <v>1085</v>
      </c>
      <c r="AB63" s="33">
        <f>SUMIF(MasterTable[Aircraft ID],Aircraft!A:A,MasterTable[Landings
Night])</f>
        <v>72</v>
      </c>
      <c r="AC63" s="33">
        <f>SUMIF(MasterTable[Aircraft ID],Aircraft!A:A,MasterTable[Landings
Total])</f>
        <v>1157</v>
      </c>
      <c r="AD63" s="33">
        <f>SUMIF(MasterTable[Aircraft ID],Aircraft!A:A,MasterTable[Holds])</f>
        <v>22</v>
      </c>
      <c r="AE63" s="33">
        <f>SUMIF(MasterTable[Aircraft ID],Aircraft!$A:$A,Flights!AE:AE)</f>
        <v>88</v>
      </c>
      <c r="AF63" s="33">
        <f>SUMIF(MasterTable[Aircraft ID],Aircraft!$A:$A,MasterTable[ILS])</f>
        <v>21</v>
      </c>
      <c r="AG63" s="33">
        <f>SUMIF(MasterTable[Aircraft ID],Aircraft!$A:$A,MasterTable[LOC])</f>
        <v>9</v>
      </c>
      <c r="AH63" s="33">
        <f>SUMIF(MasterTable[Aircraft ID],Aircraft!$A:$A,MasterTable[VOR/
TCN])</f>
        <v>33</v>
      </c>
      <c r="AI63" s="33">
        <f>SUMIF(MasterTable[Aircraft ID],Aircraft!$A:$A,MasterTable[RNAV])</f>
        <v>0</v>
      </c>
      <c r="AJ63" s="33">
        <f>SUMIF(MasterTable[Aircraft ID],Aircraft!$A:$A,MasterTable[ASR])</f>
        <v>0</v>
      </c>
      <c r="AK63" s="33">
        <f>SUMIF(MasterTable[Aircraft ID],Aircraft!$A:$A,MasterTable[PAR])</f>
        <v>0</v>
      </c>
      <c r="AL63" s="33">
        <f>SUMIF(MasterTable[Aircraft ID],Aircraft!$A:$A,MasterTable[CIRCLE])</f>
        <v>11</v>
      </c>
    </row>
    <row r="64" spans="1:38" x14ac:dyDescent="0.3">
      <c r="A64" s="8" t="s">
        <v>425</v>
      </c>
      <c r="B64" s="8" t="s">
        <v>176</v>
      </c>
      <c r="D64" s="8" t="s">
        <v>44</v>
      </c>
      <c r="E64" s="8" t="s">
        <v>177</v>
      </c>
      <c r="F64" s="8" t="s">
        <v>551</v>
      </c>
      <c r="G64" s="8" t="s">
        <v>46</v>
      </c>
      <c r="H64" s="8" t="s">
        <v>521</v>
      </c>
      <c r="I64" s="8" t="b">
        <v>1</v>
      </c>
      <c r="K64" s="8" t="b">
        <v>1</v>
      </c>
      <c r="L64" s="8" t="b">
        <v>1</v>
      </c>
      <c r="M64" s="33">
        <f>COUNTIF(MasterTable[Aircraft ID],Aircraft!A:A)</f>
        <v>70</v>
      </c>
      <c r="N64" s="34">
        <f>SUMIF(MasterTable[Aircraft ID],Aircraft!A:A,MasterTable[Total
Time])</f>
        <v>105.29999999999995</v>
      </c>
      <c r="O64" s="34">
        <f>SUMIF(MasterTable[Aircraft ID],Aircraft!A:A,MasterTable[PIC])</f>
        <v>105.29999999999995</v>
      </c>
      <c r="P64" s="34">
        <f>SUMIF(MasterTable[Aircraft ID],Aircraft!A:A,MasterTable[PRI 
(Mil)])</f>
        <v>105.29999999999995</v>
      </c>
      <c r="Q64" s="33">
        <f>SUMIF(MasterTable[Aircraft ID],Aircraft!A:A,MasterTable[SIC])</f>
        <v>0</v>
      </c>
      <c r="R64" s="33">
        <f>SUMIF(MasterTable[Aircraft ID],Aircraft!A:A,MasterTable[Solo])</f>
        <v>0</v>
      </c>
      <c r="S64" s="33">
        <f>SUMIF(MasterTable[Aircraft ID],Aircraft!A:A,MasterTable[Night])</f>
        <v>2.6</v>
      </c>
      <c r="T64" s="33">
        <f>SUMIF(MasterTable[Aircraft ID],Aircraft!A:A,MasterTable[Dual
Given])</f>
        <v>0</v>
      </c>
      <c r="U64" s="33">
        <f>SUMIF(MasterTable[Aircraft ID],Aircraft!A:A,MasterTable[INST
(Mil)])</f>
        <v>0</v>
      </c>
      <c r="V64" s="33">
        <f>SUMIF(MasterTable[Aircraft ID],Aircraft!A:A,MasterTable[Actual
Instrument])</f>
        <v>4.5</v>
      </c>
      <c r="W64" s="33">
        <f>SUMIF(MasterTable[Aircraft ID],Aircraft!A:A,MasterTable[Simulated
Instrument])</f>
        <v>18.399999999999999</v>
      </c>
      <c r="X64" s="33">
        <f>SUMIF(MasterTable[Aircraft ID],Aircraft!A:A,MasterTable[Cross
Country])</f>
        <v>22.799999999999997</v>
      </c>
      <c r="Y64" s="33">
        <f>SUMIF(MasterTable[Aircraft ID],Aircraft!A:A,MasterTable[Dual
Received])</f>
        <v>97.299999999999969</v>
      </c>
      <c r="Z64" s="33">
        <f>SUMIF(MasterTable[Aircraft ID],Aircraft!A:A,MasterTable[Formation])</f>
        <v>39.1</v>
      </c>
      <c r="AA64" s="33">
        <f>SUMIF(MasterTable[Aircraft ID],Aircraft!A:A,MasterTable[Landings
Day])</f>
        <v>201</v>
      </c>
      <c r="AB64" s="33">
        <f>SUMIF(MasterTable[Aircraft ID],Aircraft!A:A,MasterTable[Landings
Night])</f>
        <v>7</v>
      </c>
      <c r="AC64" s="33">
        <f>SUMIF(MasterTable[Aircraft ID],Aircraft!A:A,MasterTable[Landings
Total])</f>
        <v>208</v>
      </c>
      <c r="AD64" s="33">
        <f>SUMIF(MasterTable[Aircraft ID],Aircraft!A:A,MasterTable[Holds])</f>
        <v>13</v>
      </c>
      <c r="AE64" s="33">
        <f>SUMIF(MasterTable[Aircraft ID],Aircraft!$A:$A,Flights!AE:AE)</f>
        <v>36</v>
      </c>
      <c r="AF64" s="33">
        <f>SUMIF(MasterTable[Aircraft ID],Aircraft!$A:$A,MasterTable[ILS])</f>
        <v>9</v>
      </c>
      <c r="AG64" s="33">
        <f>SUMIF(MasterTable[Aircraft ID],Aircraft!$A:$A,MasterTable[LOC])</f>
        <v>8</v>
      </c>
      <c r="AH64" s="33">
        <f>SUMIF(MasterTable[Aircraft ID],Aircraft!$A:$A,MasterTable[VOR/
TCN])</f>
        <v>11</v>
      </c>
      <c r="AI64" s="33">
        <f>SUMIF(MasterTable[Aircraft ID],Aircraft!$A:$A,MasterTable[RNAV])</f>
        <v>6</v>
      </c>
      <c r="AJ64" s="33">
        <f>SUMIF(MasterTable[Aircraft ID],Aircraft!$A:$A,MasterTable[ASR])</f>
        <v>1</v>
      </c>
      <c r="AK64" s="33">
        <f>SUMIF(MasterTable[Aircraft ID],Aircraft!$A:$A,MasterTable[PAR])</f>
        <v>1</v>
      </c>
      <c r="AL64" s="33">
        <f>SUMIF(MasterTable[Aircraft ID],Aircraft!$A:$A,MasterTable[CIRCLE])</f>
        <v>5</v>
      </c>
    </row>
    <row r="65" spans="1:38" x14ac:dyDescent="0.3">
      <c r="A65" s="8" t="s">
        <v>375</v>
      </c>
      <c r="B65" s="8" t="s">
        <v>375</v>
      </c>
      <c r="D65" s="8" t="s">
        <v>178</v>
      </c>
      <c r="E65" s="8" t="s">
        <v>376</v>
      </c>
      <c r="F65" s="8" t="s">
        <v>551</v>
      </c>
      <c r="G65" s="8" t="s">
        <v>179</v>
      </c>
      <c r="H65" s="8" t="s">
        <v>522</v>
      </c>
      <c r="L65" s="8" t="b">
        <v>1</v>
      </c>
      <c r="M65" s="33">
        <f>COUNTIF(MasterTable[Aircraft ID],Aircraft!A:A)</f>
        <v>74</v>
      </c>
      <c r="N65" s="34">
        <f>SUMIF(MasterTable[Aircraft ID],Aircraft!A:A,MasterTable[Total
Time])</f>
        <v>80.500000000000043</v>
      </c>
      <c r="O65" s="34">
        <f>SUMIF(MasterTable[Aircraft ID],Aircraft!A:A,MasterTable[PIC])</f>
        <v>6.6000000000000005</v>
      </c>
      <c r="P65" s="34">
        <f>SUMIF(MasterTable[Aircraft ID],Aircraft!A:A,MasterTable[PRI 
(Mil)])</f>
        <v>80.500000000000043</v>
      </c>
      <c r="Q65" s="33">
        <f>SUMIF(MasterTable[Aircraft ID],Aircraft!A:A,MasterTable[SIC])</f>
        <v>0</v>
      </c>
      <c r="R65" s="33">
        <f>SUMIF(MasterTable[Aircraft ID],Aircraft!A:A,MasterTable[Solo])</f>
        <v>0</v>
      </c>
      <c r="S65" s="33">
        <f>SUMIF(MasterTable[Aircraft ID],Aircraft!A:A,MasterTable[Night])</f>
        <v>2.2999999999999998</v>
      </c>
      <c r="T65" s="33">
        <f>SUMIF(MasterTable[Aircraft ID],Aircraft!A:A,MasterTable[Dual
Given])</f>
        <v>0</v>
      </c>
      <c r="U65" s="33">
        <f>SUMIF(MasterTable[Aircraft ID],Aircraft!A:A,MasterTable[INST
(Mil)])</f>
        <v>0</v>
      </c>
      <c r="V65" s="33">
        <f>SUMIF(MasterTable[Aircraft ID],Aircraft!A:A,MasterTable[Actual
Instrument])</f>
        <v>1.5</v>
      </c>
      <c r="W65" s="33">
        <f>SUMIF(MasterTable[Aircraft ID],Aircraft!A:A,MasterTable[Simulated
Instrument])</f>
        <v>12.700000000000001</v>
      </c>
      <c r="X65" s="33">
        <f>SUMIF(MasterTable[Aircraft ID],Aircraft!A:A,MasterTable[Cross
Country])</f>
        <v>13.900000000000002</v>
      </c>
      <c r="Y65" s="33">
        <f>SUMIF(MasterTable[Aircraft ID],Aircraft!A:A,MasterTable[Dual
Received])</f>
        <v>73.90000000000002</v>
      </c>
      <c r="Z65" s="33">
        <f>SUMIF(MasterTable[Aircraft ID],Aircraft!A:A,MasterTable[Formation])</f>
        <v>42.100000000000016</v>
      </c>
      <c r="AA65" s="33">
        <f>SUMIF(MasterTable[Aircraft ID],Aircraft!A:A,MasterTable[Landings
Day])</f>
        <v>144</v>
      </c>
      <c r="AB65" s="33">
        <f>SUMIF(MasterTable[Aircraft ID],Aircraft!A:A,MasterTable[Landings
Night])</f>
        <v>9</v>
      </c>
      <c r="AC65" s="33">
        <f>SUMIF(MasterTable[Aircraft ID],Aircraft!A:A,MasterTable[Landings
Total])</f>
        <v>153</v>
      </c>
      <c r="AD65" s="33">
        <f>SUMIF(MasterTable[Aircraft ID],Aircraft!A:A,MasterTable[Holds])</f>
        <v>9</v>
      </c>
      <c r="AE65" s="33">
        <f>SUMIF(MasterTable[Aircraft ID],Aircraft!$A:$A,Flights!AE:AE)</f>
        <v>50</v>
      </c>
      <c r="AF65" s="33">
        <f>SUMIF(MasterTable[Aircraft ID],Aircraft!$A:$A,MasterTable[ILS])</f>
        <v>26</v>
      </c>
      <c r="AG65" s="33">
        <f>SUMIF(MasterTable[Aircraft ID],Aircraft!$A:$A,MasterTable[LOC])</f>
        <v>6</v>
      </c>
      <c r="AH65" s="33">
        <f>SUMIF(MasterTable[Aircraft ID],Aircraft!$A:$A,MasterTable[VOR/
TCN])</f>
        <v>7</v>
      </c>
      <c r="AI65" s="33">
        <f>SUMIF(MasterTable[Aircraft ID],Aircraft!$A:$A,MasterTable[RNAV])</f>
        <v>8</v>
      </c>
      <c r="AJ65" s="33">
        <f>SUMIF(MasterTable[Aircraft ID],Aircraft!$A:$A,MasterTable[ASR])</f>
        <v>2</v>
      </c>
      <c r="AK65" s="33">
        <f>SUMIF(MasterTable[Aircraft ID],Aircraft!$A:$A,MasterTable[PAR])</f>
        <v>1</v>
      </c>
      <c r="AL65" s="33">
        <f>SUMIF(MasterTable[Aircraft ID],Aircraft!$A:$A,MasterTable[CIRCLE])</f>
        <v>0</v>
      </c>
    </row>
  </sheetData>
  <phoneticPr fontId="18" type="noConversion"/>
  <dataValidations count="2">
    <dataValidation type="list" allowBlank="1" showInputMessage="1" showErrorMessage="1" sqref="H1:H1048576" xr:uid="{7ECBAE94-D199-4814-87A8-391DDAB6EE12}">
      <formula1>INDIRECT("Setup[AircraftClass]")</formula1>
    </dataValidation>
    <dataValidation type="list" allowBlank="1" showInputMessage="1" showErrorMessage="1" sqref="G1:G1048576" xr:uid="{80B23A7C-367C-40D3-B889-4E26D00857D1}">
      <formula1>INDIRECT("Setup[Engine Type]")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AF7AE-143D-492C-878D-EC531597EDF6}">
  <sheetPr codeName="Sheet6">
    <tabColor theme="0" tint="-4.9989318521683403E-2"/>
  </sheetPr>
  <dimension ref="A1:AG64"/>
  <sheetViews>
    <sheetView workbookViewId="0">
      <selection activeCell="H28" sqref="H28"/>
    </sheetView>
  </sheetViews>
  <sheetFormatPr defaultRowHeight="13.8" x14ac:dyDescent="0.3"/>
  <cols>
    <col min="1" max="10" width="8.88671875" style="59"/>
    <col min="11" max="11" width="8.88671875" style="59" customWidth="1"/>
    <col min="12" max="12" width="8.88671875" style="59"/>
    <col min="13" max="13" width="12.109375" style="59" customWidth="1"/>
    <col min="14" max="16384" width="8.88671875" style="59"/>
  </cols>
  <sheetData>
    <row r="1" spans="1:33" ht="14.4" customHeight="1" thickBot="1" x14ac:dyDescent="0.35">
      <c r="A1" s="72"/>
      <c r="B1" s="121" t="s">
        <v>480</v>
      </c>
      <c r="C1" s="121" t="s">
        <v>481</v>
      </c>
      <c r="D1" s="121" t="s">
        <v>187</v>
      </c>
      <c r="E1" s="121" t="s">
        <v>482</v>
      </c>
      <c r="F1" s="121" t="s">
        <v>483</v>
      </c>
      <c r="G1" s="121" t="s">
        <v>484</v>
      </c>
      <c r="H1" s="121" t="s">
        <v>485</v>
      </c>
      <c r="I1" s="121" t="s">
        <v>470</v>
      </c>
      <c r="J1" s="121" t="s">
        <v>486</v>
      </c>
      <c r="K1" s="121" t="s">
        <v>496</v>
      </c>
      <c r="L1" s="121" t="s">
        <v>487</v>
      </c>
      <c r="M1" s="126" t="s">
        <v>497</v>
      </c>
      <c r="N1" s="123" t="s">
        <v>498</v>
      </c>
      <c r="O1" s="124"/>
      <c r="P1" s="124"/>
      <c r="Q1" s="124"/>
      <c r="R1" s="125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</row>
    <row r="2" spans="1:33" ht="34.200000000000003" customHeight="1" x14ac:dyDescent="0.3">
      <c r="A2" s="72"/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7"/>
      <c r="N2" s="62"/>
      <c r="O2" s="63" t="s">
        <v>427</v>
      </c>
      <c r="P2" s="63" t="s">
        <v>499</v>
      </c>
      <c r="Q2" s="64" t="s">
        <v>500</v>
      </c>
      <c r="R2" s="65" t="s">
        <v>501</v>
      </c>
      <c r="S2" s="73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</row>
    <row r="3" spans="1:33" x14ac:dyDescent="0.3">
      <c r="A3" s="137" t="s">
        <v>488</v>
      </c>
      <c r="B3" s="138">
        <f>SUMIF(AircraftTable[aircraftClass (FAA)],"Airplane*",AircraftTable[Total Time])</f>
        <v>1620.7</v>
      </c>
      <c r="C3" s="130">
        <f>SUMIF(AircraftTable[aircraftClass (FAA)],"Airplane*",AircraftTable[Dual Received])</f>
        <v>418.5</v>
      </c>
      <c r="D3" s="130">
        <f>SUMIF(AircraftTable[aircraftClass (FAA)],"Airplane*",AircraftTable[Solo])</f>
        <v>0</v>
      </c>
      <c r="E3" s="93">
        <f>SUMIF(AircraftTable[aircraftClass (FAA)],"Airplane*",AircraftTable[PIC])</f>
        <v>1318</v>
      </c>
      <c r="F3" s="130">
        <f>SUMIFS(MasterTable[Dual
Received], MasterTable[ClassCheck], "Airplane*", MasterTable[Cross
Country], "&gt;0")</f>
        <v>86.6</v>
      </c>
      <c r="G3" s="130">
        <f>SUMIFS(MasterTable[Solo], MasterTable[ClassCheck], "Airplane*", MasterTable[Cross
Country], "&gt;0")</f>
        <v>0</v>
      </c>
      <c r="H3" s="60">
        <f>SUMIFS(MasterTable[PIC], MasterTable[ClassCheck], "Airplane*", MasterTable[Cross
Country], "&gt;0")</f>
        <v>542.1999999999997</v>
      </c>
      <c r="I3" s="130">
        <f>SUMIF(AircraftTable[aircraftClass (FAA)],"Airplane*",AircraftTable[Sim Inst]) + SUMIF(AircraftTable[aircraftClass (FAA)],"Airplane*",AircraftTable[Actual Inst])</f>
        <v>124.50000000000003</v>
      </c>
      <c r="J3" s="130">
        <f>SUMIFS(MasterTable[Dual
Received], MasterTable[ClassCheck], "Airplane*", MasterTable[Night], "&gt;0")</f>
        <v>28.5</v>
      </c>
      <c r="K3" s="130">
        <f>SUMIFS(MasterTable[Landings
Night], MasterTable[ClassCheck], "Airplane*")</f>
        <v>160</v>
      </c>
      <c r="L3" s="93">
        <f>SUMIFS(MasterTable[Night], MasterTable[ClassCheck], "Airplane*", MasterTable[PIC], "&gt;0")</f>
        <v>90.000000000000014</v>
      </c>
      <c r="M3" s="75">
        <f>SUMIFS(MasterTable[Landings
Night], MasterTable[ClassCheck], "Airplane*", MasterTable[PIC], "&gt;0")</f>
        <v>121</v>
      </c>
      <c r="N3" s="66" t="s">
        <v>491</v>
      </c>
      <c r="O3" s="86">
        <f>SUMIF(AircraftTable[aircraftClass (FAA)],"Glider*",AircraftTable[Flights])</f>
        <v>5</v>
      </c>
      <c r="P3" s="67" t="s">
        <v>530</v>
      </c>
      <c r="Q3" s="67" t="s">
        <v>530</v>
      </c>
      <c r="R3" s="68" t="s">
        <v>530</v>
      </c>
      <c r="S3" s="73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</row>
    <row r="4" spans="1:33" ht="14.4" thickBot="1" x14ac:dyDescent="0.35">
      <c r="A4" s="137"/>
      <c r="B4" s="138"/>
      <c r="C4" s="130"/>
      <c r="D4" s="130"/>
      <c r="E4" s="60">
        <f>SUMIF(AircraftTable[aircraftClass (FAA)],"Airplane*",AircraftTable[SIC])</f>
        <v>57.400000000000013</v>
      </c>
      <c r="F4" s="130"/>
      <c r="G4" s="130"/>
      <c r="H4" s="60">
        <f>SUMIFS(MasterTable[SIC], MasterTable[ClassCheck], "Airplane*", MasterTable[Cross
Country], "&gt;0")</f>
        <v>17.900000000000002</v>
      </c>
      <c r="I4" s="130"/>
      <c r="J4" s="130"/>
      <c r="K4" s="130"/>
      <c r="L4" s="60">
        <f>SUMIFS(MasterTable[Night], MasterTable[ClassCheck], "Airplane*", MasterTable[SIC], "&gt;0")</f>
        <v>5.1000000000000005</v>
      </c>
      <c r="M4" s="75">
        <f>SUMIFS(MasterTable[Landings
Night], MasterTable[ClassCheck], "Airplane*", MasterTable[SIC], "&gt;0")</f>
        <v>3</v>
      </c>
      <c r="N4" s="61" t="s">
        <v>492</v>
      </c>
      <c r="O4" s="87">
        <f>SUMIF(AircraftTable[aircraftClass (FAA)],"Ligher*",AircraftTable[Flights])</f>
        <v>0</v>
      </c>
      <c r="P4" s="69" t="s">
        <v>530</v>
      </c>
      <c r="Q4" s="69" t="s">
        <v>530</v>
      </c>
      <c r="R4" s="70" t="s">
        <v>530</v>
      </c>
      <c r="S4" s="73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</row>
    <row r="5" spans="1:33" ht="14.4" thickBot="1" x14ac:dyDescent="0.35">
      <c r="A5" s="137" t="s">
        <v>489</v>
      </c>
      <c r="B5" s="130">
        <f>SUMIF(AircraftTable[aircraftClass (FAA)],"Rotorcraft*",AircraftTable[Total Time])</f>
        <v>0</v>
      </c>
      <c r="C5" s="130">
        <f>SUMIF(AircraftTable[aircraftClass (FAA)],"Rotorcraft*",AircraftTable[Dual Received])</f>
        <v>0</v>
      </c>
      <c r="D5" s="130">
        <f>SUMIF(AircraftTable[aircraftClass (FAA)],"Rotorcraft*",AircraftTable[Solo])</f>
        <v>0</v>
      </c>
      <c r="E5" s="60">
        <f>SUMIF(AircraftTable[aircraftClass (FAA)],"Rotorcraft*",AircraftTable[PIC])</f>
        <v>0</v>
      </c>
      <c r="F5" s="130">
        <f>SUMIFS(MasterTable[Dual
Received], MasterTable[ClassCheck], "Rotorcraft*", MasterTable[Cross
Country], "&gt;0")</f>
        <v>0</v>
      </c>
      <c r="G5" s="130">
        <f>SUMIFS(MasterTable[Solo], MasterTable[ClassCheck], "Rotorcraft*", MasterTable[Cross
Country], "&gt;0")</f>
        <v>0</v>
      </c>
      <c r="H5" s="60">
        <f>SUMIFS(MasterTable[PIC], MasterTable[ClassCheck], "Rotorcraft*", MasterTable[Cross
Country], "&gt;0")</f>
        <v>0</v>
      </c>
      <c r="I5" s="130">
        <f>SUMIF(AircraftTable[aircraftClass (FAA)],"Rotorcraft*",AircraftTable[Sim Inst]) + SUMIF(AircraftTable[aircraftClass (FAA)],"Rotorcraft*",AircraftTable[Actual Inst])</f>
        <v>0</v>
      </c>
      <c r="J5" s="141">
        <f>SUMIFS(MasterTable[Dual
Received], MasterTable[ClassCheck], "Rotorcraft*", MasterTable[Night], "&gt;0")</f>
        <v>0</v>
      </c>
      <c r="K5" s="141">
        <f>SUMIFS(MasterTable[Landings
Night], MasterTable[ClassCheck], "Rotorcraft*")</f>
        <v>0</v>
      </c>
      <c r="L5" s="60">
        <f>SUMIFS(MasterTable[Night], MasterTable[ClassCheck], "Rotorcraft*", MasterTable[PIC], "&gt;0")</f>
        <v>0</v>
      </c>
      <c r="M5" s="75">
        <f>SUMIFS(MasterTable[Landings
Night], MasterTable[ClassCheck], "Rotorcraft*", MasterTable[PIC], "&gt;0")</f>
        <v>0</v>
      </c>
      <c r="N5" s="131" t="s">
        <v>502</v>
      </c>
      <c r="O5" s="132"/>
      <c r="P5" s="132"/>
      <c r="Q5" s="132"/>
      <c r="R5" s="133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</row>
    <row r="6" spans="1:33" x14ac:dyDescent="0.3">
      <c r="A6" s="137"/>
      <c r="B6" s="130"/>
      <c r="C6" s="130"/>
      <c r="D6" s="130"/>
      <c r="E6" s="60">
        <f>SUMIF(AircraftTable[aircraftClass (FAA)],"Rotorcraft*",AircraftTable[SIC])</f>
        <v>0</v>
      </c>
      <c r="F6" s="130"/>
      <c r="G6" s="130"/>
      <c r="H6" s="60">
        <f>SUMIFS(MasterTable[SIC], MasterTable[ClassCheck], "Rotorcraft*", MasterTable[Cross
Country], "&gt;0")</f>
        <v>0</v>
      </c>
      <c r="I6" s="130"/>
      <c r="J6" s="142"/>
      <c r="K6" s="142"/>
      <c r="L6" s="60">
        <f>SUMIFS(MasterTable[Night], MasterTable[ClassCheck], "Rotorcraft*", MasterTable[SIC], "&gt;0")</f>
        <v>0</v>
      </c>
      <c r="M6" s="75">
        <f>SUMIFS(MasterTable[Landings
Night], MasterTable[ClassCheck], "Rotorcraft*", MasterTable[SIC], "&gt;0")</f>
        <v>0</v>
      </c>
      <c r="N6" s="134" t="s">
        <v>503</v>
      </c>
      <c r="O6" s="63" t="s">
        <v>505</v>
      </c>
      <c r="P6" s="63" t="s">
        <v>506</v>
      </c>
      <c r="Q6" s="63" t="s">
        <v>507</v>
      </c>
      <c r="R6" s="71" t="s">
        <v>508</v>
      </c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</row>
    <row r="7" spans="1:33" x14ac:dyDescent="0.3">
      <c r="A7" s="137" t="s">
        <v>490</v>
      </c>
      <c r="B7" s="130">
        <f>SUMIF(AircraftTable[aircraftClass (FAA)],"Powered Lift*",AircraftTable[Total Time])</f>
        <v>0</v>
      </c>
      <c r="C7" s="130">
        <f>SUMIF(AircraftTable[aircraftClass (FAA)],"Powered*",AircraftTable[Dual Received])</f>
        <v>0</v>
      </c>
      <c r="D7" s="130">
        <f>SUMIF(AircraftTable[aircraftClass (FAA)],"Powered*",AircraftTable[Solo])</f>
        <v>0</v>
      </c>
      <c r="E7" s="60">
        <f>SUMIF(AircraftTable[aircraftClass (FAA)],"Powered*",AircraftTable[PIC])</f>
        <v>0</v>
      </c>
      <c r="F7" s="130">
        <f>SUMIFS(MasterTable[Dual
Received], MasterTable[ClassCheck], "Powered*", MasterTable[Cross
Country], "&gt;0")</f>
        <v>0</v>
      </c>
      <c r="G7" s="130">
        <f>SUMIFS(MasterTable[Solo], MasterTable[ClassCheck], "Powered*", MasterTable[Cross
Country], "&gt;0")</f>
        <v>0</v>
      </c>
      <c r="H7" s="60">
        <f>SUMIFS(MasterTable[PIC], MasterTable[ClassCheck], "Powered*", MasterTable[Cross
Country], "&gt;0")</f>
        <v>0</v>
      </c>
      <c r="I7" s="130">
        <f>SUMIF(AircraftTable[aircraftClass (FAA)],"Powered*",AircraftTable[Sim Inst]) + SUMIF(AircraftTable[aircraftClass (FAA)],"Powered*",AircraftTable[Actual Inst])</f>
        <v>0</v>
      </c>
      <c r="J7" s="141">
        <f>SUMIFS(MasterTable[Dual
Received], MasterTable[ClassCheck], "Powered*", MasterTable[Night], "&gt;0")</f>
        <v>0</v>
      </c>
      <c r="K7" s="141">
        <f>SUMIFS(MasterTable[Landings
Night], MasterTable[ClassCheck], "Powered*")</f>
        <v>0</v>
      </c>
      <c r="L7" s="60">
        <f>SUMIFS(MasterTable[Night], MasterTable[ClassCheck], "Powered*", MasterTable[PIC], "&gt;0")</f>
        <v>0</v>
      </c>
      <c r="M7" s="75">
        <f>SUMIFS(MasterTable[Landings
Night], MasterTable[ClassCheck], "Powered*", MasterTable[PIC], "&gt;0")</f>
        <v>0</v>
      </c>
      <c r="N7" s="117"/>
      <c r="O7" s="85">
        <f>SUMIF(AircraftTable[aircraftClass (FAA)],"Airplane Single Engine Land",AircraftTable[PIC])</f>
        <v>1236</v>
      </c>
      <c r="P7" s="67">
        <f>SUMIF(AircraftTable[aircraftClass (FAA)],"Airplane Multi Engine Land",AircraftTable[PIC])</f>
        <v>80.8</v>
      </c>
      <c r="Q7" s="67">
        <f>SUMIF(AircraftTable[aircraftClass (FAA)],"Airplane Single Engine Sea",AircraftTable[PIC])</f>
        <v>1.2</v>
      </c>
      <c r="R7" s="68">
        <f>SUMIF(AircraftTable[aircraftClass (FAA)],"Airplane Multi Engine Sea",AircraftTable[PIC])</f>
        <v>0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</row>
    <row r="8" spans="1:33" x14ac:dyDescent="0.3">
      <c r="A8" s="137"/>
      <c r="B8" s="130"/>
      <c r="C8" s="130"/>
      <c r="D8" s="130"/>
      <c r="E8" s="60">
        <f>SUMIF(AircraftTable[aircraftClass (FAA)],"Powered*",AircraftTable[SIC])</f>
        <v>0</v>
      </c>
      <c r="F8" s="130"/>
      <c r="G8" s="130"/>
      <c r="H8" s="60">
        <f>SUMIFS(MasterTable[SIC], MasterTable[ClassCheck], "Powered*", MasterTable[Cross
Country], "&gt;0")</f>
        <v>0</v>
      </c>
      <c r="I8" s="130"/>
      <c r="J8" s="142"/>
      <c r="K8" s="142"/>
      <c r="L8" s="60">
        <f>SUMIFS(MasterTable[Night], MasterTable[ClassCheck], "Powered*", MasterTable[SIC], "&gt;0")</f>
        <v>0</v>
      </c>
      <c r="M8" s="75">
        <f>SUMIFS(MasterTable[Landings
Night], MasterTable[ClassCheck], "Powered*", MasterTable[SIC], "&gt;0")</f>
        <v>0</v>
      </c>
      <c r="N8" s="117"/>
      <c r="O8" s="67">
        <f>SUMIF(AircraftTable[aircraftClass (FAA)],"Airplane Single Engine Land",AircraftTable[SIC])</f>
        <v>0</v>
      </c>
      <c r="P8" s="67">
        <f>SUMIF(AircraftTable[aircraftClass (FAA)],"Airplane Multi Engine Land",AircraftTable[SIC])</f>
        <v>57.400000000000013</v>
      </c>
      <c r="Q8" s="67">
        <f>SUMIF(AircraftTable[aircraftClass (FAA)],"Airplane Single Engine Sea",AircraftTable[SIC])</f>
        <v>0</v>
      </c>
      <c r="R8" s="68">
        <f>SUMIF(AircraftTable[aircraftClass (FAA)],"Airplane Multi Engine Sea",AircraftTable[SIC])</f>
        <v>0</v>
      </c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</row>
    <row r="9" spans="1:33" x14ac:dyDescent="0.3">
      <c r="A9" s="137" t="s">
        <v>491</v>
      </c>
      <c r="B9" s="130">
        <f>SUMIF(AircraftTable[aircraftClass (FAA)],"Glider*",AircraftTable[Total Time])</f>
        <v>2.7</v>
      </c>
      <c r="C9" s="130">
        <f>SUMIF(AircraftTable[aircraftClass (FAA)],"Glider*",AircraftTable[Dual Received])</f>
        <v>2.7</v>
      </c>
      <c r="D9" s="130">
        <f>SUMIF(AircraftTable[aircraftClass (FAA)],"Glider*",AircraftTable[Solo])</f>
        <v>0</v>
      </c>
      <c r="E9" s="60">
        <f>SUMIF(AircraftTable[aircraftClass (FAA)],"Glider*",AircraftTable[PIC])</f>
        <v>0</v>
      </c>
      <c r="F9" s="130">
        <f>SUMIFS(MasterTable[Dual
Received], MasterTable[ClassCheck], "Glider*", MasterTable[Cross
Country], "&gt;0")</f>
        <v>0</v>
      </c>
      <c r="G9" s="130">
        <f>SUMIFS(MasterTable[Solo], MasterTable[ClassCheck], "Glider*", MasterTable[Cross
Country], "&gt;0")</f>
        <v>0</v>
      </c>
      <c r="H9" s="74"/>
      <c r="I9" s="130">
        <f>SUMIF(AircraftTable[aircraftClass (FAA)],"Glider*",AircraftTable[Sim Inst]) + SUMIF(AircraftTable[aircraftClass (FAA)],"Glider*",AircraftTable[Actual Inst])</f>
        <v>0</v>
      </c>
      <c r="J9" s="128"/>
      <c r="K9" s="128"/>
      <c r="L9" s="128"/>
      <c r="M9" s="129"/>
      <c r="N9" s="117" t="s">
        <v>489</v>
      </c>
      <c r="O9" s="115" t="s">
        <v>509</v>
      </c>
      <c r="P9" s="115"/>
      <c r="Q9" s="115" t="s">
        <v>512</v>
      </c>
      <c r="R9" s="116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</row>
    <row r="10" spans="1:33" x14ac:dyDescent="0.3">
      <c r="A10" s="137"/>
      <c r="B10" s="130"/>
      <c r="C10" s="130"/>
      <c r="D10" s="130"/>
      <c r="E10" s="60">
        <f>SUMIF(AircraftTable[aircraftClass (FAA)],"Glider*",AircraftTable[SIC])</f>
        <v>0</v>
      </c>
      <c r="F10" s="130"/>
      <c r="G10" s="130"/>
      <c r="H10" s="74"/>
      <c r="I10" s="130"/>
      <c r="J10" s="128"/>
      <c r="K10" s="128"/>
      <c r="L10" s="128"/>
      <c r="M10" s="129"/>
      <c r="N10" s="117"/>
      <c r="O10" s="115">
        <f>SUMIF(AircraftTable[aircraftClass (FAA)],"Rotorcraft Helicopter",AircraftTable[Total Time])</f>
        <v>0</v>
      </c>
      <c r="P10" s="115"/>
      <c r="Q10" s="115">
        <f>SUMIF(AircraftTable[aircraftClass (FAA)],"Rotorcraft Gyroplane",AircraftTable[Total Time])</f>
        <v>0</v>
      </c>
      <c r="R10" s="116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</row>
    <row r="11" spans="1:33" x14ac:dyDescent="0.3">
      <c r="A11" s="137" t="s">
        <v>492</v>
      </c>
      <c r="B11" s="130">
        <f>SUMIF(AircraftTable[aircraftClass (FAA)],"Lighter*",AircraftTable[Total Time])</f>
        <v>0</v>
      </c>
      <c r="C11" s="130">
        <f>SUMIF(AircraftTable[aircraftClass (FAA)],"Lighter*",AircraftTable[Dual Received])</f>
        <v>0</v>
      </c>
      <c r="D11" s="130">
        <f>SUMIF(AircraftTable[aircraftClass (FAA)],"Lighter*",AircraftTable[Solo])</f>
        <v>0</v>
      </c>
      <c r="E11" s="60">
        <f>SUMIF(AircraftTable[aircraftClass (FAA)],"Lighter*",AircraftTable[PIC])</f>
        <v>0</v>
      </c>
      <c r="F11" s="130">
        <f>SUMIFS(MasterTable[Dual
Received], MasterTable[ClassCheck], "Lighter*", MasterTable[Cross
Country], "&gt;0")</f>
        <v>0</v>
      </c>
      <c r="G11" s="141">
        <f>SUMIFS(MasterTable[Solo], MasterTable[ClassCheck], "Glider*", MasterTable[Cross
Country], "&gt;0")</f>
        <v>0</v>
      </c>
      <c r="H11" s="60">
        <f>SUMIFS(MasterTable[PIC], MasterTable[ClassCheck], "Lighter*", MasterTable[Cross
Country], "&gt;0")</f>
        <v>0</v>
      </c>
      <c r="I11" s="130">
        <f>SUMIF(AircraftTable[aircraftClass (FAA)],"Lighter*",AircraftTable[Sim Inst]) + SUMIF(AircraftTable[aircraftClass (FAA)],"Lighter*",AircraftTable[Actual Inst])</f>
        <v>0</v>
      </c>
      <c r="J11" s="130">
        <f>SUMIFS(MasterTable[Dual
Received], MasterTable[ClassCheck], "Lighter*", MasterTable[Night], "&gt;0")</f>
        <v>0</v>
      </c>
      <c r="K11" s="130">
        <f>SUMIFS(MasterTable[Landings
Night], MasterTable[ClassCheck], "Lighter*")</f>
        <v>0</v>
      </c>
      <c r="L11" s="60">
        <f>SUMIFS(MasterTable[Night], MasterTable[ClassCheck], "Lighter*", MasterTable[PIC], "&gt;0")</f>
        <v>0</v>
      </c>
      <c r="M11" s="75">
        <f>SUMIFS(MasterTable[Landings
Night], MasterTable[ClassCheck], "Lighter*", MasterTable[PIC], "&gt;0")</f>
        <v>0</v>
      </c>
      <c r="N11" s="117" t="s">
        <v>504</v>
      </c>
      <c r="O11" s="115" t="s">
        <v>510</v>
      </c>
      <c r="P11" s="115"/>
      <c r="Q11" s="115" t="s">
        <v>511</v>
      </c>
      <c r="R11" s="116"/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72"/>
      <c r="AD11" s="72"/>
      <c r="AE11" s="72"/>
      <c r="AF11" s="72"/>
      <c r="AG11" s="72"/>
    </row>
    <row r="12" spans="1:33" x14ac:dyDescent="0.3">
      <c r="A12" s="137"/>
      <c r="B12" s="130"/>
      <c r="C12" s="130"/>
      <c r="D12" s="130"/>
      <c r="E12" s="60">
        <f>SUMIF(AircraftTable[aircraftClass (FAA)],"Lighter*",AircraftTable[SIC])</f>
        <v>0</v>
      </c>
      <c r="F12" s="130"/>
      <c r="G12" s="142"/>
      <c r="H12" s="60">
        <f>SUMIFS(MasterTable[SIC], MasterTable[ClassCheck], "Lighter*", MasterTable[Cross
Country], "&gt;0")</f>
        <v>0</v>
      </c>
      <c r="I12" s="130"/>
      <c r="J12" s="130"/>
      <c r="K12" s="130"/>
      <c r="L12" s="60">
        <f>SUMIFS(MasterTable[Night], MasterTable[ClassCheck], "Lighter*", MasterTable[SIC], "&gt;0")</f>
        <v>0</v>
      </c>
      <c r="M12" s="75">
        <f>SUMIFS(MasterTable[Landings
Night], MasterTable[ClassCheck], "Lighter*", MasterTable[SIC], "&gt;0")</f>
        <v>0</v>
      </c>
      <c r="N12" s="117"/>
      <c r="O12" s="115">
        <f>SUMIF(AircraftTable[aircraftClass (FAA)],"Lighter-than-Air Balloon",AircraftTable[Total Time])</f>
        <v>0</v>
      </c>
      <c r="P12" s="115"/>
      <c r="Q12" s="115">
        <f>SUMIF(AircraftTable[aircraftClass (FAA)],"Lighter-than-Air Airship",AircraftTable[Total Time])</f>
        <v>0</v>
      </c>
      <c r="R12" s="116"/>
      <c r="S12" s="72"/>
      <c r="T12" s="72"/>
      <c r="U12" s="72"/>
      <c r="V12" s="72"/>
      <c r="W12" s="72"/>
      <c r="X12" s="72"/>
      <c r="Y12" s="72"/>
      <c r="Z12" s="72"/>
      <c r="AA12" s="72"/>
      <c r="AB12" s="72"/>
      <c r="AC12" s="72"/>
      <c r="AD12" s="72"/>
      <c r="AE12" s="72"/>
      <c r="AF12" s="72"/>
      <c r="AG12" s="72"/>
    </row>
    <row r="13" spans="1:33" x14ac:dyDescent="0.3">
      <c r="A13" s="137" t="s">
        <v>493</v>
      </c>
      <c r="B13" s="130" t="s">
        <v>530</v>
      </c>
      <c r="C13" s="130" t="s">
        <v>530</v>
      </c>
      <c r="D13" s="128"/>
      <c r="E13" s="128"/>
      <c r="F13" s="128"/>
      <c r="G13" s="128"/>
      <c r="H13" s="128"/>
      <c r="I13" s="130" t="s">
        <v>530</v>
      </c>
      <c r="J13" s="130" t="s">
        <v>530</v>
      </c>
      <c r="K13" s="130" t="s">
        <v>530</v>
      </c>
      <c r="L13" s="130" t="s">
        <v>530</v>
      </c>
      <c r="M13" s="135" t="s">
        <v>530</v>
      </c>
      <c r="N13" s="117" t="s">
        <v>493</v>
      </c>
      <c r="O13" s="67" t="s">
        <v>513</v>
      </c>
      <c r="P13" s="67" t="s">
        <v>514</v>
      </c>
      <c r="Q13" s="115" t="s">
        <v>509</v>
      </c>
      <c r="R13" s="116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</row>
    <row r="14" spans="1:33" x14ac:dyDescent="0.3">
      <c r="A14" s="137"/>
      <c r="B14" s="130"/>
      <c r="C14" s="130"/>
      <c r="D14" s="128"/>
      <c r="E14" s="128"/>
      <c r="F14" s="128"/>
      <c r="G14" s="128"/>
      <c r="H14" s="128"/>
      <c r="I14" s="130"/>
      <c r="J14" s="130"/>
      <c r="K14" s="130"/>
      <c r="L14" s="130"/>
      <c r="M14" s="135"/>
      <c r="N14" s="117"/>
      <c r="O14" s="67" t="s">
        <v>530</v>
      </c>
      <c r="P14" s="67" t="s">
        <v>530</v>
      </c>
      <c r="Q14" s="115" t="s">
        <v>530</v>
      </c>
      <c r="R14" s="116"/>
      <c r="S14" s="72"/>
      <c r="T14" s="72"/>
      <c r="U14" s="72"/>
      <c r="V14" s="72"/>
      <c r="W14" s="72"/>
      <c r="X14" s="72"/>
      <c r="Y14" s="72"/>
      <c r="Z14" s="72"/>
      <c r="AA14" s="72"/>
      <c r="AB14" s="72"/>
      <c r="AC14" s="72"/>
      <c r="AD14" s="72"/>
      <c r="AE14" s="72"/>
      <c r="AF14" s="72"/>
      <c r="AG14" s="72"/>
    </row>
    <row r="15" spans="1:33" x14ac:dyDescent="0.3">
      <c r="A15" s="137" t="s">
        <v>494</v>
      </c>
      <c r="B15" s="130" t="s">
        <v>530</v>
      </c>
      <c r="C15" s="130" t="s">
        <v>530</v>
      </c>
      <c r="D15" s="128"/>
      <c r="E15" s="128"/>
      <c r="F15" s="128"/>
      <c r="G15" s="128"/>
      <c r="H15" s="128"/>
      <c r="I15" s="130" t="s">
        <v>530</v>
      </c>
      <c r="J15" s="130" t="s">
        <v>530</v>
      </c>
      <c r="K15" s="128"/>
      <c r="L15" s="130" t="s">
        <v>530</v>
      </c>
      <c r="M15" s="129"/>
      <c r="N15" s="117" t="s">
        <v>494</v>
      </c>
      <c r="O15" s="115" t="s">
        <v>530</v>
      </c>
      <c r="P15" s="115" t="s">
        <v>530</v>
      </c>
      <c r="Q15" s="115" t="s">
        <v>530</v>
      </c>
      <c r="R15" s="116" t="s">
        <v>530</v>
      </c>
      <c r="S15" s="72"/>
      <c r="T15" s="72"/>
      <c r="U15" s="72"/>
      <c r="V15" s="72"/>
      <c r="W15" s="72"/>
      <c r="X15" s="72"/>
      <c r="Y15" s="72"/>
      <c r="Z15" s="72"/>
      <c r="AA15" s="72"/>
      <c r="AB15" s="72"/>
      <c r="AC15" s="72"/>
      <c r="AD15" s="72"/>
      <c r="AE15" s="72"/>
      <c r="AF15" s="72"/>
      <c r="AG15" s="72"/>
    </row>
    <row r="16" spans="1:33" x14ac:dyDescent="0.3">
      <c r="A16" s="137"/>
      <c r="B16" s="130"/>
      <c r="C16" s="130"/>
      <c r="D16" s="128"/>
      <c r="E16" s="128"/>
      <c r="F16" s="128"/>
      <c r="G16" s="128"/>
      <c r="H16" s="128"/>
      <c r="I16" s="130"/>
      <c r="J16" s="130"/>
      <c r="K16" s="128"/>
      <c r="L16" s="130"/>
      <c r="M16" s="129"/>
      <c r="N16" s="117"/>
      <c r="O16" s="115"/>
      <c r="P16" s="115"/>
      <c r="Q16" s="115"/>
      <c r="R16" s="116"/>
      <c r="S16" s="72"/>
      <c r="T16" s="72"/>
      <c r="U16" s="72"/>
      <c r="V16" s="72"/>
      <c r="W16" s="72"/>
      <c r="X16" s="72"/>
      <c r="Y16" s="72"/>
      <c r="Z16" s="72"/>
      <c r="AA16" s="72"/>
      <c r="AB16" s="72"/>
      <c r="AC16" s="72"/>
      <c r="AD16" s="72"/>
      <c r="AE16" s="72"/>
      <c r="AF16" s="72"/>
      <c r="AG16" s="72"/>
    </row>
    <row r="17" spans="1:33" x14ac:dyDescent="0.3">
      <c r="A17" s="137" t="s">
        <v>495</v>
      </c>
      <c r="B17" s="130" t="s">
        <v>530</v>
      </c>
      <c r="C17" s="130" t="s">
        <v>530</v>
      </c>
      <c r="D17" s="128"/>
      <c r="E17" s="128"/>
      <c r="F17" s="128"/>
      <c r="G17" s="128"/>
      <c r="H17" s="128"/>
      <c r="I17" s="130" t="s">
        <v>530</v>
      </c>
      <c r="J17" s="128"/>
      <c r="K17" s="128"/>
      <c r="L17" s="128"/>
      <c r="M17" s="129"/>
      <c r="N17" s="117" t="s">
        <v>495</v>
      </c>
      <c r="O17" s="115" t="s">
        <v>530</v>
      </c>
      <c r="P17" s="115" t="s">
        <v>530</v>
      </c>
      <c r="Q17" s="115" t="s">
        <v>530</v>
      </c>
      <c r="R17" s="116" t="s">
        <v>530</v>
      </c>
      <c r="S17" s="72"/>
      <c r="T17" s="72"/>
      <c r="U17" s="72"/>
      <c r="V17" s="72"/>
      <c r="W17" s="72"/>
      <c r="X17" s="72"/>
      <c r="Y17" s="72"/>
      <c r="Z17" s="72"/>
      <c r="AA17" s="72"/>
      <c r="AB17" s="72"/>
      <c r="AC17" s="72"/>
      <c r="AD17" s="72"/>
      <c r="AE17" s="72"/>
      <c r="AF17" s="72"/>
      <c r="AG17" s="72"/>
    </row>
    <row r="18" spans="1:33" ht="15" customHeight="1" thickBot="1" x14ac:dyDescent="0.35">
      <c r="A18" s="137"/>
      <c r="B18" s="130"/>
      <c r="C18" s="130"/>
      <c r="D18" s="128"/>
      <c r="E18" s="128"/>
      <c r="F18" s="128"/>
      <c r="G18" s="128"/>
      <c r="H18" s="128"/>
      <c r="I18" s="130"/>
      <c r="J18" s="128"/>
      <c r="K18" s="128"/>
      <c r="L18" s="128"/>
      <c r="M18" s="129"/>
      <c r="N18" s="118"/>
      <c r="O18" s="119"/>
      <c r="P18" s="119"/>
      <c r="Q18" s="119"/>
      <c r="R18" s="120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72"/>
      <c r="AD18" s="72"/>
      <c r="AE18" s="72"/>
      <c r="AF18" s="72"/>
      <c r="AG18" s="72"/>
    </row>
    <row r="19" spans="1:33" x14ac:dyDescent="0.3">
      <c r="A19" s="72"/>
      <c r="B19" s="136" t="s">
        <v>531</v>
      </c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36"/>
      <c r="Q19" s="136"/>
      <c r="R19" s="136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</row>
    <row r="20" spans="1:33" x14ac:dyDescent="0.3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  <c r="AB20" s="72"/>
      <c r="AC20" s="72"/>
      <c r="AD20" s="72"/>
      <c r="AE20" s="72"/>
      <c r="AF20" s="72"/>
      <c r="AG20" s="72"/>
    </row>
    <row r="21" spans="1:33" x14ac:dyDescent="0.3">
      <c r="A21" s="72"/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  <c r="AA21" s="72"/>
      <c r="AB21" s="72"/>
      <c r="AC21" s="72"/>
      <c r="AD21" s="72"/>
      <c r="AE21" s="72"/>
      <c r="AF21" s="72"/>
      <c r="AG21" s="72"/>
    </row>
    <row r="22" spans="1:33" x14ac:dyDescent="0.3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  <c r="AB22" s="72"/>
      <c r="AC22" s="72"/>
      <c r="AD22" s="72"/>
      <c r="AE22" s="72"/>
      <c r="AF22" s="72"/>
      <c r="AG22" s="72"/>
    </row>
    <row r="23" spans="1:33" x14ac:dyDescent="0.3">
      <c r="A23" s="72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</row>
    <row r="24" spans="1:33" x14ac:dyDescent="0.3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72"/>
      <c r="AE24" s="72"/>
      <c r="AF24" s="72"/>
      <c r="AG24" s="72"/>
    </row>
    <row r="25" spans="1:33" x14ac:dyDescent="0.3">
      <c r="A25" s="72"/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</row>
    <row r="26" spans="1:33" x14ac:dyDescent="0.3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72"/>
      <c r="AF26" s="72"/>
      <c r="AG26" s="72"/>
    </row>
    <row r="27" spans="1:33" x14ac:dyDescent="0.3">
      <c r="A27" s="72"/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72"/>
      <c r="AG27" s="72"/>
    </row>
    <row r="28" spans="1:33" x14ac:dyDescent="0.3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</row>
    <row r="29" spans="1:33" x14ac:dyDescent="0.3">
      <c r="A29" s="72"/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72"/>
      <c r="AF29" s="72"/>
      <c r="AG29" s="72"/>
    </row>
    <row r="30" spans="1:33" x14ac:dyDescent="0.3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</row>
    <row r="31" spans="1:33" x14ac:dyDescent="0.3">
      <c r="A31" s="72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72"/>
      <c r="AF31" s="72"/>
      <c r="AG31" s="72"/>
    </row>
    <row r="32" spans="1:33" x14ac:dyDescent="0.3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72"/>
      <c r="AE32" s="72"/>
      <c r="AF32" s="72"/>
      <c r="AG32" s="72"/>
    </row>
    <row r="33" spans="1:33" x14ac:dyDescent="0.3">
      <c r="A33" s="72"/>
      <c r="B33" s="72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72"/>
      <c r="AF33" s="72"/>
      <c r="AG33" s="72"/>
    </row>
    <row r="34" spans="1:33" x14ac:dyDescent="0.3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</row>
    <row r="35" spans="1:33" x14ac:dyDescent="0.3">
      <c r="A35" s="72"/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</row>
    <row r="36" spans="1:33" x14ac:dyDescent="0.3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</row>
    <row r="37" spans="1:33" x14ac:dyDescent="0.3">
      <c r="A37" s="72"/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72"/>
    </row>
    <row r="38" spans="1:33" x14ac:dyDescent="0.3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</row>
    <row r="39" spans="1:33" x14ac:dyDescent="0.3">
      <c r="A39" s="72"/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</row>
    <row r="40" spans="1:33" x14ac:dyDescent="0.3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</row>
    <row r="41" spans="1:33" x14ac:dyDescent="0.3">
      <c r="A41" s="72"/>
      <c r="B41" s="72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</row>
    <row r="42" spans="1:33" x14ac:dyDescent="0.3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</row>
    <row r="43" spans="1:33" x14ac:dyDescent="0.3">
      <c r="A43" s="72"/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</row>
    <row r="44" spans="1:33" x14ac:dyDescent="0.3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</row>
    <row r="45" spans="1:33" x14ac:dyDescent="0.3">
      <c r="A45" s="72"/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</row>
    <row r="46" spans="1:33" x14ac:dyDescent="0.3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</row>
    <row r="47" spans="1:33" x14ac:dyDescent="0.3">
      <c r="A47" s="72"/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</row>
    <row r="48" spans="1:33" x14ac:dyDescent="0.3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</row>
    <row r="49" spans="1:33" x14ac:dyDescent="0.3">
      <c r="A49" s="72"/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</row>
    <row r="50" spans="1:33" x14ac:dyDescent="0.3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</row>
    <row r="51" spans="1:33" x14ac:dyDescent="0.3">
      <c r="A51" s="72"/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</row>
    <row r="52" spans="1:33" x14ac:dyDescent="0.3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</row>
    <row r="53" spans="1:33" x14ac:dyDescent="0.3">
      <c r="A53" s="72"/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</row>
    <row r="54" spans="1:33" x14ac:dyDescent="0.3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2"/>
      <c r="AF54" s="72"/>
      <c r="AG54" s="72"/>
    </row>
    <row r="55" spans="1:33" x14ac:dyDescent="0.3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</row>
    <row r="56" spans="1:33" x14ac:dyDescent="0.3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</row>
    <row r="57" spans="1:33" x14ac:dyDescent="0.3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</row>
    <row r="58" spans="1:33" x14ac:dyDescent="0.3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</row>
    <row r="59" spans="1:33" x14ac:dyDescent="0.3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</row>
    <row r="60" spans="1:33" x14ac:dyDescent="0.3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</row>
    <row r="61" spans="1:33" x14ac:dyDescent="0.3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</row>
    <row r="62" spans="1:33" x14ac:dyDescent="0.3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</row>
    <row r="63" spans="1:33" x14ac:dyDescent="0.3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</row>
    <row r="64" spans="1:33" x14ac:dyDescent="0.3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</row>
  </sheetData>
  <mergeCells count="125">
    <mergeCell ref="K5:K6"/>
    <mergeCell ref="K7:K8"/>
    <mergeCell ref="B19:R19"/>
    <mergeCell ref="A15:A16"/>
    <mergeCell ref="A17:A18"/>
    <mergeCell ref="B3:B4"/>
    <mergeCell ref="B5:B6"/>
    <mergeCell ref="B7:B8"/>
    <mergeCell ref="C3:C4"/>
    <mergeCell ref="A3:A4"/>
    <mergeCell ref="A5:A6"/>
    <mergeCell ref="A7:A8"/>
    <mergeCell ref="A9:A10"/>
    <mergeCell ref="A11:A12"/>
    <mergeCell ref="A13:A14"/>
    <mergeCell ref="K3:K4"/>
    <mergeCell ref="C5:C6"/>
    <mergeCell ref="D5:D6"/>
    <mergeCell ref="D7:D8"/>
    <mergeCell ref="C7:C8"/>
    <mergeCell ref="C9:C10"/>
    <mergeCell ref="D9:D10"/>
    <mergeCell ref="F7:F8"/>
    <mergeCell ref="F5:F6"/>
    <mergeCell ref="F9:F10"/>
    <mergeCell ref="D3:D4"/>
    <mergeCell ref="F3:F4"/>
    <mergeCell ref="G3:G4"/>
    <mergeCell ref="I3:I4"/>
    <mergeCell ref="J3:J4"/>
    <mergeCell ref="I9:I10"/>
    <mergeCell ref="I11:I12"/>
    <mergeCell ref="D11:D12"/>
    <mergeCell ref="C11:C12"/>
    <mergeCell ref="B9:B10"/>
    <mergeCell ref="J5:J6"/>
    <mergeCell ref="J7:J8"/>
    <mergeCell ref="B17:B18"/>
    <mergeCell ref="C17:C18"/>
    <mergeCell ref="C15:C16"/>
    <mergeCell ref="C13:C14"/>
    <mergeCell ref="B11:B12"/>
    <mergeCell ref="B13:B14"/>
    <mergeCell ref="B15:B16"/>
    <mergeCell ref="H15:H16"/>
    <mergeCell ref="G15:G16"/>
    <mergeCell ref="F15:F16"/>
    <mergeCell ref="F17:F18"/>
    <mergeCell ref="G17:G18"/>
    <mergeCell ref="H17:H18"/>
    <mergeCell ref="M9:M10"/>
    <mergeCell ref="D13:D14"/>
    <mergeCell ref="E13:E14"/>
    <mergeCell ref="E15:E16"/>
    <mergeCell ref="E17:E18"/>
    <mergeCell ref="D15:D16"/>
    <mergeCell ref="D17:D18"/>
    <mergeCell ref="F13:F14"/>
    <mergeCell ref="G13:G14"/>
    <mergeCell ref="H13:H14"/>
    <mergeCell ref="I13:I14"/>
    <mergeCell ref="I15:I16"/>
    <mergeCell ref="I17:I18"/>
    <mergeCell ref="J9:J10"/>
    <mergeCell ref="K9:K10"/>
    <mergeCell ref="L9:L10"/>
    <mergeCell ref="J13:J14"/>
    <mergeCell ref="K13:K14"/>
    <mergeCell ref="M13:M14"/>
    <mergeCell ref="M15:M16"/>
    <mergeCell ref="L15:L16"/>
    <mergeCell ref="K15:K16"/>
    <mergeCell ref="J15:J16"/>
    <mergeCell ref="J17:J18"/>
    <mergeCell ref="K17:K18"/>
    <mergeCell ref="L17:L18"/>
    <mergeCell ref="M17:M18"/>
    <mergeCell ref="L13:L14"/>
    <mergeCell ref="G1:G2"/>
    <mergeCell ref="F1:F2"/>
    <mergeCell ref="E1:E2"/>
    <mergeCell ref="D1:D2"/>
    <mergeCell ref="N5:R5"/>
    <mergeCell ref="N6:N8"/>
    <mergeCell ref="K11:K12"/>
    <mergeCell ref="J11:J12"/>
    <mergeCell ref="F11:F12"/>
    <mergeCell ref="G5:G6"/>
    <mergeCell ref="G7:G8"/>
    <mergeCell ref="G9:G10"/>
    <mergeCell ref="G11:G12"/>
    <mergeCell ref="I5:I6"/>
    <mergeCell ref="I7:I8"/>
    <mergeCell ref="Q9:R9"/>
    <mergeCell ref="Q10:R10"/>
    <mergeCell ref="O11:P11"/>
    <mergeCell ref="Q11:R11"/>
    <mergeCell ref="O12:P12"/>
    <mergeCell ref="B1:B2"/>
    <mergeCell ref="C1:C2"/>
    <mergeCell ref="N1:R1"/>
    <mergeCell ref="M1:M2"/>
    <mergeCell ref="L1:L2"/>
    <mergeCell ref="K1:K2"/>
    <mergeCell ref="J1:J2"/>
    <mergeCell ref="I1:I2"/>
    <mergeCell ref="H1:H2"/>
    <mergeCell ref="Q12:R12"/>
    <mergeCell ref="N13:N14"/>
    <mergeCell ref="N15:N16"/>
    <mergeCell ref="N17:N18"/>
    <mergeCell ref="N11:N12"/>
    <mergeCell ref="N9:N10"/>
    <mergeCell ref="O9:P9"/>
    <mergeCell ref="O10:P10"/>
    <mergeCell ref="O17:O18"/>
    <mergeCell ref="P17:P18"/>
    <mergeCell ref="Q17:Q18"/>
    <mergeCell ref="R17:R18"/>
    <mergeCell ref="Q13:R13"/>
    <mergeCell ref="Q14:R14"/>
    <mergeCell ref="O15:O16"/>
    <mergeCell ref="P15:P16"/>
    <mergeCell ref="Q15:Q16"/>
    <mergeCell ref="R15:R1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59891-0ADE-4759-9CE3-97D4CC4028C5}">
  <sheetPr codeName="Sheet4">
    <tabColor theme="0" tint="-0.499984740745262"/>
  </sheetPr>
  <dimension ref="A1:D13"/>
  <sheetViews>
    <sheetView workbookViewId="0"/>
  </sheetViews>
  <sheetFormatPr defaultRowHeight="14.4" x14ac:dyDescent="0.3"/>
  <cols>
    <col min="2" max="2" width="21.109375" customWidth="1"/>
    <col min="3" max="3" width="18.6640625" customWidth="1"/>
    <col min="4" max="4" width="27.6640625" customWidth="1"/>
  </cols>
  <sheetData>
    <row r="1" spans="1:4" x14ac:dyDescent="0.3"/>
    <row r="2" spans="1:4" x14ac:dyDescent="0.3">
      <c r="B2" t="s">
        <v>515</v>
      </c>
      <c r="C2" t="s">
        <v>516</v>
      </c>
      <c r="D2" t="s">
        <v>517</v>
      </c>
    </row>
    <row r="3" spans="1:4" x14ac:dyDescent="0.3">
      <c r="B3" t="s">
        <v>548</v>
      </c>
      <c r="C3" t="s">
        <v>13</v>
      </c>
      <c r="D3" t="s">
        <v>521</v>
      </c>
    </row>
    <row r="4" spans="1:4" x14ac:dyDescent="0.3">
      <c r="B4" t="s">
        <v>549</v>
      </c>
      <c r="C4" t="s">
        <v>46</v>
      </c>
      <c r="D4" t="s">
        <v>522</v>
      </c>
    </row>
    <row r="5" spans="1:4" x14ac:dyDescent="0.3">
      <c r="B5" t="s">
        <v>551</v>
      </c>
      <c r="C5" t="s">
        <v>35</v>
      </c>
      <c r="D5" t="s">
        <v>524</v>
      </c>
    </row>
    <row r="6" spans="1:4" x14ac:dyDescent="0.3">
      <c r="B6" t="s">
        <v>550</v>
      </c>
      <c r="C6" t="s">
        <v>179</v>
      </c>
      <c r="D6" t="s">
        <v>523</v>
      </c>
    </row>
    <row r="7" spans="1:4" x14ac:dyDescent="0.3">
      <c r="B7" t="s">
        <v>552</v>
      </c>
      <c r="C7" t="s">
        <v>96</v>
      </c>
      <c r="D7" t="s">
        <v>465</v>
      </c>
    </row>
    <row r="8" spans="1:4" x14ac:dyDescent="0.3">
      <c r="B8" t="s">
        <v>555</v>
      </c>
      <c r="C8" t="s">
        <v>547</v>
      </c>
      <c r="D8" t="s">
        <v>518</v>
      </c>
    </row>
    <row r="9" spans="1:4" x14ac:dyDescent="0.3">
      <c r="B9" t="s">
        <v>553</v>
      </c>
      <c r="C9" t="s">
        <v>546</v>
      </c>
      <c r="D9" t="s">
        <v>528</v>
      </c>
    </row>
    <row r="10" spans="1:4" x14ac:dyDescent="0.3">
      <c r="B10" t="s">
        <v>554</v>
      </c>
      <c r="C10" t="s">
        <v>169</v>
      </c>
      <c r="D10" t="s">
        <v>529</v>
      </c>
    </row>
    <row r="11" spans="1:4" x14ac:dyDescent="0.3">
      <c r="D11" t="s">
        <v>519</v>
      </c>
    </row>
    <row r="12" spans="1:4" x14ac:dyDescent="0.3">
      <c r="D12" t="s">
        <v>520</v>
      </c>
    </row>
    <row r="13" spans="1:4" x14ac:dyDescent="0.3">
      <c r="D13" t="s">
        <v>490</v>
      </c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Flights</vt:lpstr>
      <vt:lpstr>Totals</vt:lpstr>
      <vt:lpstr>Currencies</vt:lpstr>
      <vt:lpstr>Aircraft</vt:lpstr>
      <vt:lpstr>FAA 8710-1</vt:lpstr>
      <vt:lpstr>Setup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O'Dell</dc:creator>
  <cp:lastModifiedBy>John O'Dell</cp:lastModifiedBy>
  <dcterms:created xsi:type="dcterms:W3CDTF">2026-09-26T20:39:03Z</dcterms:created>
  <dcterms:modified xsi:type="dcterms:W3CDTF">2026-10-28T01:57:12Z</dcterms:modified>
</cp:coreProperties>
</file>